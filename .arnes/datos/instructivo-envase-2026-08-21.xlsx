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1fa30187816fa7/"/>
    </mc:Choice>
  </mc:AlternateContent>
  <xr:revisionPtr revIDLastSave="38" documentId="11_6F20B37351143ABB0866E1BBCCA9D12DCAF563D4" xr6:coauthVersionLast="47" xr6:coauthVersionMax="47" xr10:uidLastSave="{98CB4070-6BED-4FB0-A628-ABCEF80A2690}"/>
  <bookViews>
    <workbookView xWindow="-108" yWindow="-108" windowWidth="23256" windowHeight="13896" activeTab="4" xr2:uid="{00000000-000D-0000-FFFF-FFFF00000000}"/>
  </bookViews>
  <sheets>
    <sheet name="Resumen País" sheetId="9" r:id="rId1"/>
    <sheet name="Semana 34" sheetId="1" r:id="rId2"/>
    <sheet name="Semana 35" sheetId="2" r:id="rId3"/>
    <sheet name="Semana 36" sheetId="3" r:id="rId4"/>
    <sheet name="Semana 37" sheetId="4" r:id="rId5"/>
    <sheet name="Semana 38" sheetId="5" r:id="rId6"/>
    <sheet name="Velocidad Eficiencia" sheetId="6" r:id="rId7"/>
    <sheet name="CAFOS" sheetId="7" r:id="rId8"/>
    <sheet name="Tiempos Paradas" sheetId="8" r:id="rId9"/>
  </sheets>
  <definedNames>
    <definedName name="_xlnm._FilterDatabase" localSheetId="7" hidden="1">CAFOS!$A$1:$I$1</definedName>
    <definedName name="_xlnm._FilterDatabase" localSheetId="0" hidden="1">'Resumen País'!$A$1:$K$1</definedName>
    <definedName name="_xlnm._FilterDatabase" localSheetId="8" hidden="1">'Tiempos Paradas'!$A$1:$F$1</definedName>
    <definedName name="_xlnm._FilterDatabase" localSheetId="6" hidden="1">'Velocidad Eficiencia'!$A$1:$H$1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N63" i="5" l="1"/>
  <c r="DF63" i="5"/>
  <c r="AR62" i="5"/>
  <c r="AJ62" i="5"/>
  <c r="GU61" i="5"/>
  <c r="GW61" i="5" s="1"/>
  <c r="GR61" i="5"/>
  <c r="GM61" i="5"/>
  <c r="GO61" i="5" s="1"/>
  <c r="GJ61" i="5"/>
  <c r="GE61" i="5"/>
  <c r="GG61" i="5" s="1"/>
  <c r="GB61" i="5"/>
  <c r="FW61" i="5"/>
  <c r="FY61" i="5" s="1"/>
  <c r="FT61" i="5"/>
  <c r="FO61" i="5"/>
  <c r="FQ61" i="5" s="1"/>
  <c r="FL61" i="5"/>
  <c r="FG61" i="5"/>
  <c r="FI61" i="5" s="1"/>
  <c r="FD61" i="5"/>
  <c r="EY61" i="5"/>
  <c r="FA61" i="5" s="1"/>
  <c r="EV61" i="5"/>
  <c r="EQ61" i="5"/>
  <c r="ES61" i="5" s="1"/>
  <c r="EN61" i="5"/>
  <c r="GW60" i="5"/>
  <c r="GO60" i="5"/>
  <c r="GG60" i="5"/>
  <c r="FY60" i="5"/>
  <c r="FQ60" i="5"/>
  <c r="FI60" i="5"/>
  <c r="FA60" i="5"/>
  <c r="ES60" i="5"/>
  <c r="GW59" i="5"/>
  <c r="GO59" i="5"/>
  <c r="GG59" i="5"/>
  <c r="FY59" i="5"/>
  <c r="FQ59" i="5"/>
  <c r="FI59" i="5"/>
  <c r="FA59" i="5"/>
  <c r="ES59" i="5"/>
  <c r="GW58" i="5"/>
  <c r="GO58" i="5"/>
  <c r="GG58" i="5"/>
  <c r="FY58" i="5"/>
  <c r="FQ58" i="5"/>
  <c r="FI58" i="5"/>
  <c r="FA58" i="5"/>
  <c r="ES58" i="5"/>
  <c r="GW57" i="5"/>
  <c r="GO57" i="5"/>
  <c r="GG57" i="5"/>
  <c r="FY57" i="5"/>
  <c r="FQ57" i="5"/>
  <c r="FI57" i="5"/>
  <c r="FA57" i="5"/>
  <c r="ES57" i="5"/>
  <c r="GW56" i="5"/>
  <c r="GO56" i="5"/>
  <c r="GG56" i="5"/>
  <c r="FY56" i="5"/>
  <c r="FQ56" i="5"/>
  <c r="FI56" i="5"/>
  <c r="FA56" i="5"/>
  <c r="ES56" i="5"/>
  <c r="GW55" i="5"/>
  <c r="GO55" i="5"/>
  <c r="GG55" i="5"/>
  <c r="FY55" i="5"/>
  <c r="FQ55" i="5"/>
  <c r="FI55" i="5"/>
  <c r="FA55" i="5"/>
  <c r="ES55" i="5"/>
  <c r="GW54" i="5"/>
  <c r="GO54" i="5"/>
  <c r="GG54" i="5"/>
  <c r="FY54" i="5"/>
  <c r="FQ54" i="5"/>
  <c r="FI54" i="5"/>
  <c r="FA54" i="5"/>
  <c r="ES54" i="5"/>
  <c r="FL50" i="5"/>
  <c r="FD50" i="5"/>
  <c r="GJ49" i="5"/>
  <c r="GJ50" i="5" s="1"/>
  <c r="GB49" i="5"/>
  <c r="GB50" i="5" s="1"/>
  <c r="FT49" i="5"/>
  <c r="FT50" i="5" s="1"/>
  <c r="FL49" i="5"/>
  <c r="FD49" i="5"/>
  <c r="EV49" i="5"/>
  <c r="EV50" i="5" s="1"/>
  <c r="EN49" i="5"/>
  <c r="GR49" i="5" s="1"/>
  <c r="GR50" i="5" s="1"/>
  <c r="GR48" i="5"/>
  <c r="GR47" i="5"/>
  <c r="GR46" i="5"/>
  <c r="GR45" i="5"/>
  <c r="GR44" i="5"/>
  <c r="GR43" i="5"/>
  <c r="DN65" i="4"/>
  <c r="DF65" i="4"/>
  <c r="AR64" i="4"/>
  <c r="AJ64" i="4"/>
  <c r="GU61" i="4"/>
  <c r="GW61" i="4" s="1"/>
  <c r="GR61" i="4"/>
  <c r="GO61" i="4"/>
  <c r="GM61" i="4"/>
  <c r="GJ61" i="4"/>
  <c r="GE61" i="4"/>
  <c r="GG61" i="4" s="1"/>
  <c r="GB61" i="4"/>
  <c r="FY61" i="4"/>
  <c r="FW61" i="4"/>
  <c r="FT61" i="4"/>
  <c r="FO61" i="4"/>
  <c r="FQ61" i="4" s="1"/>
  <c r="FL61" i="4"/>
  <c r="FI61" i="4"/>
  <c r="FG61" i="4"/>
  <c r="FD61" i="4"/>
  <c r="EY61" i="4"/>
  <c r="FA61" i="4" s="1"/>
  <c r="EV61" i="4"/>
  <c r="ES61" i="4"/>
  <c r="EQ61" i="4"/>
  <c r="EN61" i="4"/>
  <c r="GW60" i="4"/>
  <c r="GO60" i="4"/>
  <c r="GG60" i="4"/>
  <c r="FY60" i="4"/>
  <c r="FQ60" i="4"/>
  <c r="FI60" i="4"/>
  <c r="FA60" i="4"/>
  <c r="ES60" i="4"/>
  <c r="GW59" i="4"/>
  <c r="GO59" i="4"/>
  <c r="GG59" i="4"/>
  <c r="FY59" i="4"/>
  <c r="FQ59" i="4"/>
  <c r="FI59" i="4"/>
  <c r="FA59" i="4"/>
  <c r="ES59" i="4"/>
  <c r="GW58" i="4"/>
  <c r="GO58" i="4"/>
  <c r="GG58" i="4"/>
  <c r="FY58" i="4"/>
  <c r="FQ58" i="4"/>
  <c r="FI58" i="4"/>
  <c r="FA58" i="4"/>
  <c r="ES58" i="4"/>
  <c r="GW57" i="4"/>
  <c r="GO57" i="4"/>
  <c r="GG57" i="4"/>
  <c r="FY57" i="4"/>
  <c r="FQ57" i="4"/>
  <c r="FI57" i="4"/>
  <c r="FA57" i="4"/>
  <c r="ES57" i="4"/>
  <c r="GW56" i="4"/>
  <c r="GO56" i="4"/>
  <c r="GG56" i="4"/>
  <c r="FY56" i="4"/>
  <c r="FQ56" i="4"/>
  <c r="FI56" i="4"/>
  <c r="FA56" i="4"/>
  <c r="ES56" i="4"/>
  <c r="GW55" i="4"/>
  <c r="GO55" i="4"/>
  <c r="GG55" i="4"/>
  <c r="FY55" i="4"/>
  <c r="FQ55" i="4"/>
  <c r="FI55" i="4"/>
  <c r="FA55" i="4"/>
  <c r="ES55" i="4"/>
  <c r="GW54" i="4"/>
  <c r="GO54" i="4"/>
  <c r="GG54" i="4"/>
  <c r="FY54" i="4"/>
  <c r="FQ54" i="4"/>
  <c r="FI54" i="4"/>
  <c r="FA54" i="4"/>
  <c r="ES54" i="4"/>
  <c r="GJ50" i="4"/>
  <c r="EN50" i="4"/>
  <c r="GJ49" i="4"/>
  <c r="GB49" i="4"/>
  <c r="GB50" i="4" s="1"/>
  <c r="FT49" i="4"/>
  <c r="FT50" i="4" s="1"/>
  <c r="FL49" i="4"/>
  <c r="FL50" i="4" s="1"/>
  <c r="FD49" i="4"/>
  <c r="FD50" i="4" s="1"/>
  <c r="EV49" i="4"/>
  <c r="EV50" i="4" s="1"/>
  <c r="EN49" i="4"/>
  <c r="GR49" i="4" s="1"/>
  <c r="GR50" i="4" s="1"/>
  <c r="GR48" i="4"/>
  <c r="GR47" i="4"/>
  <c r="GR46" i="4"/>
  <c r="GR45" i="4"/>
  <c r="GR44" i="4"/>
  <c r="GR43" i="4"/>
  <c r="GU61" i="3"/>
  <c r="GW61" i="3" s="1"/>
  <c r="GR61" i="3"/>
  <c r="GO61" i="3"/>
  <c r="GM61" i="3"/>
  <c r="GJ61" i="3"/>
  <c r="GE61" i="3"/>
  <c r="GG61" i="3" s="1"/>
  <c r="GB61" i="3"/>
  <c r="FY61" i="3"/>
  <c r="FW61" i="3"/>
  <c r="FT61" i="3"/>
  <c r="FO61" i="3"/>
  <c r="FQ61" i="3" s="1"/>
  <c r="FL61" i="3"/>
  <c r="FI61" i="3"/>
  <c r="FG61" i="3"/>
  <c r="FD61" i="3"/>
  <c r="EY61" i="3"/>
  <c r="FA61" i="3" s="1"/>
  <c r="EV61" i="3"/>
  <c r="ES61" i="3"/>
  <c r="EQ61" i="3"/>
  <c r="EN61" i="3"/>
  <c r="GW60" i="3"/>
  <c r="GO60" i="3"/>
  <c r="GG60" i="3"/>
  <c r="FY60" i="3"/>
  <c r="FQ60" i="3"/>
  <c r="FI60" i="3"/>
  <c r="FA60" i="3"/>
  <c r="ES60" i="3"/>
  <c r="GW59" i="3"/>
  <c r="GO59" i="3"/>
  <c r="GG59" i="3"/>
  <c r="FY59" i="3"/>
  <c r="FQ59" i="3"/>
  <c r="FI59" i="3"/>
  <c r="FA59" i="3"/>
  <c r="ES59" i="3"/>
  <c r="DN59" i="3"/>
  <c r="DF59" i="3"/>
  <c r="AR59" i="3"/>
  <c r="AJ59" i="3"/>
  <c r="GW58" i="3"/>
  <c r="GO58" i="3"/>
  <c r="GG58" i="3"/>
  <c r="FY58" i="3"/>
  <c r="FQ58" i="3"/>
  <c r="FI58" i="3"/>
  <c r="FA58" i="3"/>
  <c r="ES58" i="3"/>
  <c r="GW57" i="3"/>
  <c r="GO57" i="3"/>
  <c r="GG57" i="3"/>
  <c r="FY57" i="3"/>
  <c r="FQ57" i="3"/>
  <c r="FI57" i="3"/>
  <c r="FA57" i="3"/>
  <c r="ES57" i="3"/>
  <c r="GW56" i="3"/>
  <c r="GO56" i="3"/>
  <c r="GG56" i="3"/>
  <c r="FY56" i="3"/>
  <c r="FQ56" i="3"/>
  <c r="FI56" i="3"/>
  <c r="FA56" i="3"/>
  <c r="ES56" i="3"/>
  <c r="GW55" i="3"/>
  <c r="GO55" i="3"/>
  <c r="GG55" i="3"/>
  <c r="FY55" i="3"/>
  <c r="FQ55" i="3"/>
  <c r="FI55" i="3"/>
  <c r="FA55" i="3"/>
  <c r="ES55" i="3"/>
  <c r="GW54" i="3"/>
  <c r="GO54" i="3"/>
  <c r="GG54" i="3"/>
  <c r="FY54" i="3"/>
  <c r="FQ54" i="3"/>
  <c r="FI54" i="3"/>
  <c r="FA54" i="3"/>
  <c r="ES54" i="3"/>
  <c r="GJ50" i="3"/>
  <c r="GB50" i="3"/>
  <c r="FT50" i="3"/>
  <c r="GJ49" i="3"/>
  <c r="GB49" i="3"/>
  <c r="FT49" i="3"/>
  <c r="FL49" i="3"/>
  <c r="FL50" i="3" s="1"/>
  <c r="FD49" i="3"/>
  <c r="FD50" i="3" s="1"/>
  <c r="EV49" i="3"/>
  <c r="EV50" i="3" s="1"/>
  <c r="EN49" i="3"/>
  <c r="EN50" i="3" s="1"/>
  <c r="GR48" i="3"/>
  <c r="GR47" i="3"/>
  <c r="GR46" i="3"/>
  <c r="GR45" i="3"/>
  <c r="GR44" i="3"/>
  <c r="GR43" i="3"/>
  <c r="DN66" i="2"/>
  <c r="DF66" i="2"/>
  <c r="AR66" i="2"/>
  <c r="AJ66" i="2"/>
  <c r="GU61" i="2"/>
  <c r="GW61" i="2" s="1"/>
  <c r="GR61" i="2"/>
  <c r="GM61" i="2"/>
  <c r="GO61" i="2" s="1"/>
  <c r="GJ61" i="2"/>
  <c r="GE61" i="2"/>
  <c r="GG61" i="2" s="1"/>
  <c r="GB61" i="2"/>
  <c r="FW61" i="2"/>
  <c r="FY61" i="2" s="1"/>
  <c r="FT61" i="2"/>
  <c r="FO61" i="2"/>
  <c r="FQ61" i="2" s="1"/>
  <c r="FL61" i="2"/>
  <c r="FG61" i="2"/>
  <c r="FI61" i="2" s="1"/>
  <c r="FD61" i="2"/>
  <c r="EY61" i="2"/>
  <c r="FA61" i="2" s="1"/>
  <c r="EV61" i="2"/>
  <c r="EQ61" i="2"/>
  <c r="ES61" i="2" s="1"/>
  <c r="EN61" i="2"/>
  <c r="GW60" i="2"/>
  <c r="GO60" i="2"/>
  <c r="GG60" i="2"/>
  <c r="FY60" i="2"/>
  <c r="FQ60" i="2"/>
  <c r="FI60" i="2"/>
  <c r="FA60" i="2"/>
  <c r="ES60" i="2"/>
  <c r="GW59" i="2"/>
  <c r="GO59" i="2"/>
  <c r="GG59" i="2"/>
  <c r="FY59" i="2"/>
  <c r="FQ59" i="2"/>
  <c r="FI59" i="2"/>
  <c r="FA59" i="2"/>
  <c r="ES59" i="2"/>
  <c r="GW58" i="2"/>
  <c r="GO58" i="2"/>
  <c r="GG58" i="2"/>
  <c r="FY58" i="2"/>
  <c r="FQ58" i="2"/>
  <c r="FI58" i="2"/>
  <c r="FA58" i="2"/>
  <c r="ES58" i="2"/>
  <c r="GW57" i="2"/>
  <c r="GO57" i="2"/>
  <c r="GG57" i="2"/>
  <c r="FY57" i="2"/>
  <c r="FQ57" i="2"/>
  <c r="FI57" i="2"/>
  <c r="FA57" i="2"/>
  <c r="ES57" i="2"/>
  <c r="GW56" i="2"/>
  <c r="GO56" i="2"/>
  <c r="GG56" i="2"/>
  <c r="FY56" i="2"/>
  <c r="FQ56" i="2"/>
  <c r="FI56" i="2"/>
  <c r="FA56" i="2"/>
  <c r="ES56" i="2"/>
  <c r="GW55" i="2"/>
  <c r="GO55" i="2"/>
  <c r="GG55" i="2"/>
  <c r="FY55" i="2"/>
  <c r="FQ55" i="2"/>
  <c r="FI55" i="2"/>
  <c r="FA55" i="2"/>
  <c r="ES55" i="2"/>
  <c r="GW54" i="2"/>
  <c r="GO54" i="2"/>
  <c r="GG54" i="2"/>
  <c r="FY54" i="2"/>
  <c r="FQ54" i="2"/>
  <c r="FI54" i="2"/>
  <c r="FA54" i="2"/>
  <c r="ES54" i="2"/>
  <c r="GB50" i="2"/>
  <c r="FT50" i="2"/>
  <c r="FL50" i="2"/>
  <c r="FD50" i="2"/>
  <c r="GJ49" i="2"/>
  <c r="GJ50" i="2" s="1"/>
  <c r="GB49" i="2"/>
  <c r="FT49" i="2"/>
  <c r="FL49" i="2"/>
  <c r="FD49" i="2"/>
  <c r="EV49" i="2"/>
  <c r="EV50" i="2" s="1"/>
  <c r="EN49" i="2"/>
  <c r="GR49" i="2" s="1"/>
  <c r="GR50" i="2" s="1"/>
  <c r="GR48" i="2"/>
  <c r="GR47" i="2"/>
  <c r="GR46" i="2"/>
  <c r="GR45" i="2"/>
  <c r="GR44" i="2"/>
  <c r="GR43" i="2"/>
  <c r="GU61" i="1"/>
  <c r="GW61" i="1" s="1"/>
  <c r="GR61" i="1"/>
  <c r="GM61" i="1"/>
  <c r="GO61" i="1" s="1"/>
  <c r="GJ61" i="1"/>
  <c r="GE61" i="1"/>
  <c r="GG61" i="1" s="1"/>
  <c r="GB61" i="1"/>
  <c r="FW61" i="1"/>
  <c r="FY61" i="1" s="1"/>
  <c r="FT61" i="1"/>
  <c r="FO61" i="1"/>
  <c r="FQ61" i="1" s="1"/>
  <c r="FL61" i="1"/>
  <c r="FG61" i="1"/>
  <c r="FI61" i="1" s="1"/>
  <c r="FD61" i="1"/>
  <c r="EY61" i="1"/>
  <c r="FA61" i="1" s="1"/>
  <c r="EV61" i="1"/>
  <c r="EQ61" i="1"/>
  <c r="ES61" i="1" s="1"/>
  <c r="EN61" i="1"/>
  <c r="GW60" i="1"/>
  <c r="GO60" i="1"/>
  <c r="GG60" i="1"/>
  <c r="FY60" i="1"/>
  <c r="FQ60" i="1"/>
  <c r="FI60" i="1"/>
  <c r="FA60" i="1"/>
  <c r="ES60" i="1"/>
  <c r="GW59" i="1"/>
  <c r="GO59" i="1"/>
  <c r="GG59" i="1"/>
  <c r="FY59" i="1"/>
  <c r="FQ59" i="1"/>
  <c r="FI59" i="1"/>
  <c r="FA59" i="1"/>
  <c r="ES59" i="1"/>
  <c r="GW58" i="1"/>
  <c r="GO58" i="1"/>
  <c r="GG58" i="1"/>
  <c r="FY58" i="1"/>
  <c r="FQ58" i="1"/>
  <c r="FI58" i="1"/>
  <c r="FA58" i="1"/>
  <c r="ES58" i="1"/>
  <c r="GW57" i="1"/>
  <c r="GO57" i="1"/>
  <c r="GG57" i="1"/>
  <c r="FY57" i="1"/>
  <c r="FQ57" i="1"/>
  <c r="FI57" i="1"/>
  <c r="FA57" i="1"/>
  <c r="ES57" i="1"/>
  <c r="GW56" i="1"/>
  <c r="GO56" i="1"/>
  <c r="GG56" i="1"/>
  <c r="FY56" i="1"/>
  <c r="FQ56" i="1"/>
  <c r="FI56" i="1"/>
  <c r="FA56" i="1"/>
  <c r="ES56" i="1"/>
  <c r="GW55" i="1"/>
  <c r="GO55" i="1"/>
  <c r="GG55" i="1"/>
  <c r="FY55" i="1"/>
  <c r="FQ55" i="1"/>
  <c r="FI55" i="1"/>
  <c r="FA55" i="1"/>
  <c r="ES55" i="1"/>
  <c r="DN55" i="1"/>
  <c r="DF55" i="1"/>
  <c r="AR55" i="1"/>
  <c r="AJ55" i="1"/>
  <c r="GW54" i="1"/>
  <c r="GO54" i="1"/>
  <c r="GG54" i="1"/>
  <c r="FY54" i="1"/>
  <c r="FQ54" i="1"/>
  <c r="FI54" i="1"/>
  <c r="FA54" i="1"/>
  <c r="ES54" i="1"/>
  <c r="GJ50" i="1"/>
  <c r="FL50" i="1"/>
  <c r="FD50" i="1"/>
  <c r="EV50" i="1"/>
  <c r="EN50" i="1"/>
  <c r="GJ49" i="1"/>
  <c r="GB49" i="1"/>
  <c r="GB50" i="1" s="1"/>
  <c r="FT49" i="1"/>
  <c r="FT50" i="1" s="1"/>
  <c r="FL49" i="1"/>
  <c r="FD49" i="1"/>
  <c r="EV49" i="1"/>
  <c r="EN49" i="1"/>
  <c r="GR49" i="1" s="1"/>
  <c r="GR50" i="1" s="1"/>
  <c r="GR48" i="1"/>
  <c r="GR47" i="1"/>
  <c r="GR46" i="1"/>
  <c r="GR45" i="1"/>
  <c r="GR44" i="1"/>
  <c r="GR43" i="1"/>
  <c r="EN50" i="5" l="1"/>
  <c r="GR49" i="3"/>
  <c r="GR50" i="3" s="1"/>
  <c r="EN50" i="2"/>
</calcChain>
</file>

<file path=xl/sharedStrings.xml><?xml version="1.0" encoding="utf-8"?>
<sst xmlns="http://schemas.openxmlformats.org/spreadsheetml/2006/main" count="3962" uniqueCount="484">
  <si>
    <t>Generado en:</t>
  </si>
  <si>
    <t>Suite 360</t>
  </si>
  <si>
    <t>CERVECERÍA BARRANQUILLA</t>
  </si>
  <si>
    <t>Escenario:</t>
  </si>
  <si>
    <t>00 Escenario Oficial</t>
  </si>
  <si>
    <t>Fecha:</t>
  </si>
  <si>
    <t>2026-08-21</t>
  </si>
  <si>
    <t>Página:</t>
  </si>
  <si>
    <t>1 de 5</t>
  </si>
  <si>
    <t>agosto del 2026</t>
  </si>
  <si>
    <t>Semana:</t>
  </si>
  <si>
    <t>34</t>
  </si>
  <si>
    <t>lunes 17 de agosto de 2026</t>
  </si>
  <si>
    <t>martes 18 de agosto de 2026</t>
  </si>
  <si>
    <t>miércoles 19 de agosto de 2026</t>
  </si>
  <si>
    <t>jueves 20 de agosto de 2026</t>
  </si>
  <si>
    <t>viernes 21 de agosto de 2026</t>
  </si>
  <si>
    <t>sábado 22 de agosto de 2026</t>
  </si>
  <si>
    <t>domingo 23 de agosto de 2026</t>
  </si>
  <si>
    <t>TURNOS EN LÍNEA</t>
  </si>
  <si>
    <t>T1</t>
  </si>
  <si>
    <t>T2</t>
  </si>
  <si>
    <t>T3</t>
  </si>
  <si>
    <t>TREN-1</t>
  </si>
  <si>
    <t>Cost175</t>
  </si>
  <si>
    <t>PROGRAMA INICIAL.</t>
  </si>
  <si>
    <t>175 X 38</t>
  </si>
  <si>
    <t>Hl ENVASADOS</t>
  </si>
  <si>
    <t>Hl TOTAL DÍA PROG.</t>
  </si>
  <si>
    <t>TREN-2</t>
  </si>
  <si>
    <t>13451</t>
  </si>
  <si>
    <t/>
  </si>
  <si>
    <t>Agu330x30</t>
  </si>
  <si>
    <t>320 X 30</t>
  </si>
  <si>
    <t>DPA - Liquid changes - Cambio de Liquido</t>
  </si>
  <si>
    <t>330 X 30</t>
  </si>
  <si>
    <t>TREN-4</t>
  </si>
  <si>
    <t>Pok330</t>
  </si>
  <si>
    <t>Cos 20867</t>
  </si>
  <si>
    <t>Club330R</t>
  </si>
  <si>
    <t>DPA - Programmed maintenance activities - Actividades de mantenimiento programado</t>
  </si>
  <si>
    <t>TREN-5</t>
  </si>
  <si>
    <t>PMal 16210</t>
  </si>
  <si>
    <t>PMal 17740</t>
  </si>
  <si>
    <t>22753</t>
  </si>
  <si>
    <t>330 X 6</t>
  </si>
  <si>
    <t>DPA - Start up - Inicio de producción</t>
  </si>
  <si>
    <t>330 X 24</t>
  </si>
  <si>
    <t>DPA - Primary package - Cambio de empaque primario</t>
  </si>
  <si>
    <t>NST - Sin programación / demanda</t>
  </si>
  <si>
    <t>TREN-6</t>
  </si>
  <si>
    <t>Agu 9494</t>
  </si>
  <si>
    <t>1000 X 13</t>
  </si>
  <si>
    <t>TREN-7</t>
  </si>
  <si>
    <t>PM</t>
  </si>
  <si>
    <t>200 X 30</t>
  </si>
  <si>
    <t>1000 X 15</t>
  </si>
  <si>
    <t>Hl DIARIO TOTAL PROGRAMADO</t>
  </si>
  <si>
    <t>Pendiente por envasar global</t>
  </si>
  <si>
    <t>Pendiente por envasar específico</t>
  </si>
  <si>
    <t>Resumen de Tiempos Programados (horas)</t>
  </si>
  <si>
    <t>SKU</t>
  </si>
  <si>
    <t>SAP</t>
  </si>
  <si>
    <t>Formato</t>
  </si>
  <si>
    <t>Referencia</t>
  </si>
  <si>
    <t>HL</t>
  </si>
  <si>
    <t>Unidades</t>
  </si>
  <si>
    <t>Línea</t>
  </si>
  <si>
    <t>Eficiencia</t>
  </si>
  <si>
    <t>TOTAL</t>
  </si>
  <si>
    <t>Aguila BR 1000cc X 13</t>
  </si>
  <si>
    <t>Costeñita R 175cc X 38</t>
  </si>
  <si>
    <t>Aguila RN 330cc X 30</t>
  </si>
  <si>
    <t>Club Col R 330cc X 30 N</t>
  </si>
  <si>
    <t>COSTENA BACANA BR 320CCX30</t>
  </si>
  <si>
    <t>Paradas</t>
  </si>
  <si>
    <t>Paradas Programadas</t>
  </si>
  <si>
    <t>COSTEÑA RB 330 cc X30</t>
  </si>
  <si>
    <t>Total Envasado (EPT)</t>
  </si>
  <si>
    <t>Poker R 330cc X 30</t>
  </si>
  <si>
    <t>Causas Externas e Internas</t>
  </si>
  <si>
    <t>PONY LATA MALTA 330CC X6 NUEVO</t>
  </si>
  <si>
    <t>Total Resumen (ST)</t>
  </si>
  <si>
    <t>PONY MALTA LATA 330CC x6 EXP ESP</t>
  </si>
  <si>
    <t>GLY</t>
  </si>
  <si>
    <t>PONY MALTA LTA 330 X6 TERMO EXP USA</t>
  </si>
  <si>
    <t>DÍA</t>
  </si>
  <si>
    <t>Pony Malta Pet 1.0L X 15</t>
  </si>
  <si>
    <t>EPT</t>
  </si>
  <si>
    <t>ST</t>
  </si>
  <si>
    <t>Pony Malta Pet 200ccX30</t>
  </si>
  <si>
    <t>Total</t>
  </si>
  <si>
    <t>2 de 5</t>
  </si>
  <si>
    <t>35</t>
  </si>
  <si>
    <t>lunes 24 de agosto de 2026</t>
  </si>
  <si>
    <t>martes 25 de agosto de 2026</t>
  </si>
  <si>
    <t>miércoles 26 de agosto de 2026</t>
  </si>
  <si>
    <t>jueves 27 de agosto de 2026</t>
  </si>
  <si>
    <t>viernes 28 de agosto de 2026</t>
  </si>
  <si>
    <t>sábado 29 de agosto de 2026</t>
  </si>
  <si>
    <t>domingo 30 de agosto de 2026</t>
  </si>
  <si>
    <t>AgNR</t>
  </si>
  <si>
    <t>DPA - Overhauls</t>
  </si>
  <si>
    <t>9139</t>
  </si>
  <si>
    <t>20546</t>
  </si>
  <si>
    <t>9150</t>
  </si>
  <si>
    <t>250 X 38</t>
  </si>
  <si>
    <t>22102</t>
  </si>
  <si>
    <t>ALig 7584</t>
  </si>
  <si>
    <t>Agu330x6</t>
  </si>
  <si>
    <t>Ag269x6</t>
  </si>
  <si>
    <t>269 X 24</t>
  </si>
  <si>
    <t>269 X 6</t>
  </si>
  <si>
    <t>Pok 9480</t>
  </si>
  <si>
    <t>21173</t>
  </si>
  <si>
    <t>21447</t>
  </si>
  <si>
    <t>23211</t>
  </si>
  <si>
    <t>1500 X 6</t>
  </si>
  <si>
    <t>DPA - Caustic or acid - Esterilización con soda, ácido o agua caliente</t>
  </si>
  <si>
    <t>200 X 6</t>
  </si>
  <si>
    <t>DPA - Secondary package - Cambio de empaque exterior</t>
  </si>
  <si>
    <t>Aguila Exp TW 330ccX30  USA</t>
  </si>
  <si>
    <t>Aguila Lig Lta 269cc X 6</t>
  </si>
  <si>
    <t>Aguila Light 250cc X 38 BOT RB</t>
  </si>
  <si>
    <t>AGUILA LTA 269CC X 6</t>
  </si>
  <si>
    <t>Aguila Lta 330cc X 6</t>
  </si>
  <si>
    <t>AGUILA ORIGINAL RB 250CC X38</t>
  </si>
  <si>
    <t>Poker 250cc X 38 BOT RB</t>
  </si>
  <si>
    <t>COSTEÑA BACANA CAN 269cc X6</t>
  </si>
  <si>
    <t>Poker BR 1000cc X 13</t>
  </si>
  <si>
    <t>PONY MALTA GO PET 200cc X30</t>
  </si>
  <si>
    <t>PONY MALTA LESS SUGAR PET 1000CC X15</t>
  </si>
  <si>
    <t>PONY MALTA LESS SUGAR PET 200CC X6</t>
  </si>
  <si>
    <t>Pony Mlta Pet 1.5L X 6</t>
  </si>
  <si>
    <t>Pony Mlta Pet 330cc X 24</t>
  </si>
  <si>
    <t>3 de 5</t>
  </si>
  <si>
    <t>36</t>
  </si>
  <si>
    <t>lunes 31 de agosto de 2026</t>
  </si>
  <si>
    <t>martes 1 de septiembre de 2026</t>
  </si>
  <si>
    <t>miércoles 2 de septiembre de 2026</t>
  </si>
  <si>
    <t>jueves 3 de septiembre de 2026</t>
  </si>
  <si>
    <t>viernes 4 de septiembre de 2026</t>
  </si>
  <si>
    <t>sábado 5 de septiembre de 2026</t>
  </si>
  <si>
    <t>domingo 6 de septiembre de 2026</t>
  </si>
  <si>
    <t>PM 2912</t>
  </si>
  <si>
    <t>PMal 11635</t>
  </si>
  <si>
    <t>CClo 14709</t>
  </si>
  <si>
    <t>21959</t>
  </si>
  <si>
    <t>Pony Malta EXP NR 330ccX30 CHI</t>
  </si>
  <si>
    <t>Pony Malta EXP TW 330cc X 30 USA</t>
  </si>
  <si>
    <t>Pony Malta R 330cc X 30</t>
  </si>
  <si>
    <t>COSTENA BACANA LATA 330CCX6</t>
  </si>
  <si>
    <t>PONY MALTA GO LESS SUGAR PET 1.5CC X6</t>
  </si>
  <si>
    <t>4 de 5</t>
  </si>
  <si>
    <t>septiembre del 2026</t>
  </si>
  <si>
    <t>37</t>
  </si>
  <si>
    <t>lunes 7 de septiembre de 2026</t>
  </si>
  <si>
    <t>martes 8 de septiembre de 2026</t>
  </si>
  <si>
    <t>miércoles 9 de septiembre de 2026</t>
  </si>
  <si>
    <t>jueves 10 de septiembre de 2026</t>
  </si>
  <si>
    <t>viernes 11 de septiembre de 2026</t>
  </si>
  <si>
    <t>sábado 12 de septiembre de 2026</t>
  </si>
  <si>
    <t>domingo 13 de septiembre de 2026</t>
  </si>
  <si>
    <t>CC</t>
  </si>
  <si>
    <t>Aus 16466</t>
  </si>
  <si>
    <t>ALig 9482</t>
  </si>
  <si>
    <t>Aguila Lig BR 1000cc X 13</t>
  </si>
  <si>
    <t>AUSTEN LTA 330CC X6</t>
  </si>
  <si>
    <t>Club Col Lta 330X6 N</t>
  </si>
  <si>
    <t>5 de 5</t>
  </si>
  <si>
    <t>38</t>
  </si>
  <si>
    <t>lunes 14 de septiembre de 2026</t>
  </si>
  <si>
    <t>martes 15 de septiembre de 2026</t>
  </si>
  <si>
    <t>miércoles 16 de septiembre de 2026</t>
  </si>
  <si>
    <t>jueves 17 de septiembre de 2026</t>
  </si>
  <si>
    <t>viernes 18 de septiembre de 2026</t>
  </si>
  <si>
    <t>sábado 19 de septiembre de 2026</t>
  </si>
  <si>
    <t>domingo 20 de septiembre de 2026</t>
  </si>
  <si>
    <t>23223</t>
  </si>
  <si>
    <t>POKER NR 330 X30 EXP USA TERC</t>
  </si>
  <si>
    <t>RECURSO</t>
  </si>
  <si>
    <t>CÓDIGO</t>
  </si>
  <si>
    <t>DESCRIPCIÓN</t>
  </si>
  <si>
    <t>FORMATO</t>
  </si>
  <si>
    <t>REFERENCIA</t>
  </si>
  <si>
    <t>TIPO ENVASE</t>
  </si>
  <si>
    <t>VELOCIDAD(Hl/h)</t>
  </si>
  <si>
    <t>EFICIENCIA</t>
  </si>
  <si>
    <t>REEMPAQUE</t>
  </si>
  <si>
    <t>2169</t>
  </si>
  <si>
    <t>Aguila Lig Lta N 330ccX12</t>
  </si>
  <si>
    <t>Canning</t>
  </si>
  <si>
    <t>90%</t>
  </si>
  <si>
    <t>2171</t>
  </si>
  <si>
    <t>Aguila Lig Lta N 330cc X 6</t>
  </si>
  <si>
    <t>2223</t>
  </si>
  <si>
    <t>Pony Mlta Pet 330cc X 6</t>
  </si>
  <si>
    <t>PET</t>
  </si>
  <si>
    <t>22616</t>
  </si>
  <si>
    <t>Aguila Lig Tw 330cc X 24 TERMOINK Reempaque</t>
  </si>
  <si>
    <t>Bottling</t>
  </si>
  <si>
    <t>3787</t>
  </si>
  <si>
    <t>Club Col TW 330ccX6 N</t>
  </si>
  <si>
    <t>3803</t>
  </si>
  <si>
    <t>Aguila Lig Lta 330ccX6 Pro</t>
  </si>
  <si>
    <t>3878</t>
  </si>
  <si>
    <t>Aguila Lig Lta 330ccX6 Evt</t>
  </si>
  <si>
    <t>5252</t>
  </si>
  <si>
    <t>5630</t>
  </si>
  <si>
    <t>Aguila Lta 473CC X 6</t>
  </si>
  <si>
    <t>5632</t>
  </si>
  <si>
    <t>Aguila Lig Lta 473ccX6</t>
  </si>
  <si>
    <t>7584</t>
  </si>
  <si>
    <t>7990</t>
  </si>
  <si>
    <t>Budweiser Lta 269ccX6 Pack</t>
  </si>
  <si>
    <t>7996</t>
  </si>
  <si>
    <t>BUDWEISER LTA 269CC X 12 PACK</t>
  </si>
  <si>
    <t>8065</t>
  </si>
  <si>
    <t>Poker Lta 355cc X 6</t>
  </si>
  <si>
    <t>8073</t>
  </si>
  <si>
    <t>Aguila Lta 355cc X 6</t>
  </si>
  <si>
    <t>8323</t>
  </si>
  <si>
    <t>AGUILA LTA 355CC X 6 C Bquilla</t>
  </si>
  <si>
    <t>8507</t>
  </si>
  <si>
    <t>Aguila Lta 355ccX 6 Evt</t>
  </si>
  <si>
    <t>8510</t>
  </si>
  <si>
    <t>Aguila Lta 355cc X 6 Pro</t>
  </si>
  <si>
    <t>8532</t>
  </si>
  <si>
    <t>Club Col Lata 269cc X 6</t>
  </si>
  <si>
    <t>8555</t>
  </si>
  <si>
    <t>Aguila Lta 355cc X 6 Fes Vallenato</t>
  </si>
  <si>
    <t>8722</t>
  </si>
  <si>
    <t>Club Col Lata 269cc X 6 TAT</t>
  </si>
  <si>
    <t>8723</t>
  </si>
  <si>
    <t>Busch Light Lta 330ccX6 FUNDA</t>
  </si>
  <si>
    <t>9128</t>
  </si>
  <si>
    <t>Aguila TW 330cc X 6 CANASTILLA</t>
  </si>
  <si>
    <t>9856</t>
  </si>
  <si>
    <t>Aguila  TW 330cc X 24 MANUAL</t>
  </si>
  <si>
    <t>9858</t>
  </si>
  <si>
    <t>Aguila Lig Tw 330cc X 24 MANUAL</t>
  </si>
  <si>
    <t>9909</t>
  </si>
  <si>
    <t>11815</t>
  </si>
  <si>
    <t>Aguila Fusion Limon NR 175 x 38</t>
  </si>
  <si>
    <t>12260</t>
  </si>
  <si>
    <t xml:space="preserve">AGUILA LIG AZUL 175CCX38NR	</t>
  </si>
  <si>
    <t>3130</t>
  </si>
  <si>
    <t>Aguila RN 225cc X 38</t>
  </si>
  <si>
    <t>75%</t>
  </si>
  <si>
    <t>3617</t>
  </si>
  <si>
    <t>80%</t>
  </si>
  <si>
    <t>5768</t>
  </si>
  <si>
    <t>Aguila Lig R 175cc X 38</t>
  </si>
  <si>
    <t>70%</t>
  </si>
  <si>
    <t>11635</t>
  </si>
  <si>
    <t>11812</t>
  </si>
  <si>
    <t>BUSCH LIGHT NR 330CCX30</t>
  </si>
  <si>
    <t>12503</t>
  </si>
  <si>
    <t>AGUILA LIG AZUL 330X30NR</t>
  </si>
  <si>
    <t>86.22%</t>
  </si>
  <si>
    <t>14779</t>
  </si>
  <si>
    <t xml:space="preserve">SAMIRA BR 330 X 30 </t>
  </si>
  <si>
    <t>20867</t>
  </si>
  <si>
    <t>21182</t>
  </si>
  <si>
    <t>AGUILA NRB 330cc X30</t>
  </si>
  <si>
    <t>21184</t>
  </si>
  <si>
    <t>AGUILA LIGHT NRB 330cc X30</t>
  </si>
  <si>
    <t>2160</t>
  </si>
  <si>
    <t>Aguila Lig R 330cc X 30</t>
  </si>
  <si>
    <t>71.2%</t>
  </si>
  <si>
    <t>2182</t>
  </si>
  <si>
    <t>74%</t>
  </si>
  <si>
    <t>22272</t>
  </si>
  <si>
    <t>PONY GO 330 RGB</t>
  </si>
  <si>
    <t>2228</t>
  </si>
  <si>
    <t>22613</t>
  </si>
  <si>
    <t>AGUILA LIGHT RB 330CC X30</t>
  </si>
  <si>
    <t>22615</t>
  </si>
  <si>
    <t>Aguila Lig Tw 330cc X 30 TERMOINK Linea Prod</t>
  </si>
  <si>
    <t>2512</t>
  </si>
  <si>
    <t>2772</t>
  </si>
  <si>
    <t>Pony Malta R 330cc X 30 PRO</t>
  </si>
  <si>
    <t>2912</t>
  </si>
  <si>
    <t>2986</t>
  </si>
  <si>
    <t>Aguila R 330cc X 30 Pro</t>
  </si>
  <si>
    <t>3059</t>
  </si>
  <si>
    <t>Aguila R 330cc X 30 Evt</t>
  </si>
  <si>
    <t>3078</t>
  </si>
  <si>
    <t>Poker R 330cc X 30 Pro</t>
  </si>
  <si>
    <t>3128</t>
  </si>
  <si>
    <t>3485</t>
  </si>
  <si>
    <t>Pony Malta EXP TW 330cc X 30 ESP</t>
  </si>
  <si>
    <t>3514</t>
  </si>
  <si>
    <t>Pony Malta R 330X30 Evt</t>
  </si>
  <si>
    <t>3647</t>
  </si>
  <si>
    <t>Aguila Lig R 330 X 30 Pro</t>
  </si>
  <si>
    <t>83%</t>
  </si>
  <si>
    <t>4773</t>
  </si>
  <si>
    <t>Aguila Lig R 330cc X 30 Evt</t>
  </si>
  <si>
    <t>5049</t>
  </si>
  <si>
    <t>Pony Malta EXP NR 330cc X 30 PAN - Prod</t>
  </si>
  <si>
    <t>5726</t>
  </si>
  <si>
    <t>Aguila Lig R 330 X 30 Pro2</t>
  </si>
  <si>
    <t>7167</t>
  </si>
  <si>
    <t>Poker R 330cc X 30 DDA</t>
  </si>
  <si>
    <t>7928</t>
  </si>
  <si>
    <t>Miller Lite TW 330cc X 30</t>
  </si>
  <si>
    <t>8814</t>
  </si>
  <si>
    <t>BUSCH LIGHT RB 330CCX30</t>
  </si>
  <si>
    <t>8830</t>
  </si>
  <si>
    <t>Aguila R 330cc X 30 Pro2</t>
  </si>
  <si>
    <t>9142</t>
  </si>
  <si>
    <t>Aguila Lime 330cc BOT NR X 30</t>
  </si>
  <si>
    <t>9143</t>
  </si>
  <si>
    <t>Aguila Lime 330cc BOT RB X 30</t>
  </si>
  <si>
    <t>9845</t>
  </si>
  <si>
    <t>Aguila TW 330cc X 30</t>
  </si>
  <si>
    <t>9846</t>
  </si>
  <si>
    <t>Aguila Lig Tw 330cc X 30</t>
  </si>
  <si>
    <t>12257</t>
  </si>
  <si>
    <t>CLUB COL DORADA TW 330CC X 30 ESP</t>
  </si>
  <si>
    <t>80.99%</t>
  </si>
  <si>
    <t>14588</t>
  </si>
  <si>
    <t>CLUB COL 330CC X 30 EXP USA</t>
  </si>
  <si>
    <t>20205</t>
  </si>
  <si>
    <t>NATIVA BR 250CC X38</t>
  </si>
  <si>
    <t>3751</t>
  </si>
  <si>
    <t>9798</t>
  </si>
  <si>
    <t>Club Col Tw 330cc X 30</t>
  </si>
  <si>
    <t>13631</t>
  </si>
  <si>
    <t>POKER LATA 269 X 6</t>
  </si>
  <si>
    <t>1428</t>
  </si>
  <si>
    <t>Poker Lta 330cc X 6</t>
  </si>
  <si>
    <t>1431</t>
  </si>
  <si>
    <t>Poker Lta 330ccX 24</t>
  </si>
  <si>
    <t>14709</t>
  </si>
  <si>
    <t>15070</t>
  </si>
  <si>
    <t>BUSCH LIGHT LTA 330CCX6 LINEA</t>
  </si>
  <si>
    <t>16210</t>
  </si>
  <si>
    <t>16398</t>
  </si>
  <si>
    <t xml:space="preserve">MALTA LEONA CAFE LATA 269X6	</t>
  </si>
  <si>
    <t>16466</t>
  </si>
  <si>
    <t>17740</t>
  </si>
  <si>
    <t>19224</t>
  </si>
  <si>
    <t>CLUB COL DRDA LTA 330X6 BAN EXP USA</t>
  </si>
  <si>
    <t>2170</t>
  </si>
  <si>
    <t>Aguila Lig Lta N 330cc X 24</t>
  </si>
  <si>
    <t>2173</t>
  </si>
  <si>
    <t>Aguila Lta N 330cc X 24</t>
  </si>
  <si>
    <t>89%</t>
  </si>
  <si>
    <t>2174</t>
  </si>
  <si>
    <t>2206</t>
  </si>
  <si>
    <t>Pony Malta Lt N 330cc X 24</t>
  </si>
  <si>
    <t>22315</t>
  </si>
  <si>
    <t>AGUILA LIGHT CAN 330CC X6 THERMO INK</t>
  </si>
  <si>
    <t>3229</t>
  </si>
  <si>
    <t>Aguila Lta 330ccX 12 Lta</t>
  </si>
  <si>
    <t>3656</t>
  </si>
  <si>
    <t>Aguila Lta 269cc X 24</t>
  </si>
  <si>
    <t>85%</t>
  </si>
  <si>
    <t>93%</t>
  </si>
  <si>
    <t>3829</t>
  </si>
  <si>
    <t>Pony Malta EXP Lta 330ccX24 ESP</t>
  </si>
  <si>
    <t>3867</t>
  </si>
  <si>
    <t>Aguila Lig Lta 330ccX24 Evt</t>
  </si>
  <si>
    <t>4477</t>
  </si>
  <si>
    <t>Aguila Lig Lta 269ccX24</t>
  </si>
  <si>
    <t>4648</t>
  </si>
  <si>
    <t>Miller Lite Lta 330ccX24</t>
  </si>
  <si>
    <t>5250</t>
  </si>
  <si>
    <t>Club Col Lta 330cc X 24 N</t>
  </si>
  <si>
    <t>88%</t>
  </si>
  <si>
    <t>5507</t>
  </si>
  <si>
    <t>Aguila Lig Lta 330ccX24 Pro</t>
  </si>
  <si>
    <t>5904</t>
  </si>
  <si>
    <t>Aguila Lta 473cc X 18</t>
  </si>
  <si>
    <t>5905</t>
  </si>
  <si>
    <t>Aguila Lig Lta 473ccX18</t>
  </si>
  <si>
    <t>7487</t>
  </si>
  <si>
    <t>Club Col Lta 269cc X 24</t>
  </si>
  <si>
    <t>8063</t>
  </si>
  <si>
    <t>Aguila Lta 355ccX 24</t>
  </si>
  <si>
    <t>8066</t>
  </si>
  <si>
    <t>Poker Lta 355ccX 24</t>
  </si>
  <si>
    <t>8156</t>
  </si>
  <si>
    <t>Club Col Lta 355cc X 24</t>
  </si>
  <si>
    <t>8212</t>
  </si>
  <si>
    <t>Busch Light Lta 330ccX24</t>
  </si>
  <si>
    <t>8363</t>
  </si>
  <si>
    <t>Aguila Lta 355ccX 24 C Bquilla</t>
  </si>
  <si>
    <t>8509</t>
  </si>
  <si>
    <t>Aguila Lta 355ccX 24 Evt</t>
  </si>
  <si>
    <t>8515</t>
  </si>
  <si>
    <t>Aguila Lta 355ccX 24 Pro</t>
  </si>
  <si>
    <t>8553</t>
  </si>
  <si>
    <t>Aguila Lta 355ccX 24 Fes Vallenato</t>
  </si>
  <si>
    <t>8554</t>
  </si>
  <si>
    <t>Aguila Lig Lta 330cc X 24 Fes Vallenato</t>
  </si>
  <si>
    <t>8556</t>
  </si>
  <si>
    <t>9141</t>
  </si>
  <si>
    <t>Aguila Lime 269cc LATA X 24</t>
  </si>
  <si>
    <t>3583</t>
  </si>
  <si>
    <t>Aguila R 750cc X 16</t>
  </si>
  <si>
    <t>84%</t>
  </si>
  <si>
    <t>3659</t>
  </si>
  <si>
    <t>Poker R 750cc X 16</t>
  </si>
  <si>
    <t>3664</t>
  </si>
  <si>
    <t>Aguila Lig R 750cc X 16</t>
  </si>
  <si>
    <t>5080</t>
  </si>
  <si>
    <t>Club Col RE Tw 900cc X 12 Prod</t>
  </si>
  <si>
    <t>9480</t>
  </si>
  <si>
    <t>9482</t>
  </si>
  <si>
    <t>9494</t>
  </si>
  <si>
    <t>21125</t>
  </si>
  <si>
    <t>PONY MALTA PET 200CC X6 BACK TO SCHOOL</t>
  </si>
  <si>
    <t>2222</t>
  </si>
  <si>
    <t>2224</t>
  </si>
  <si>
    <t>2759</t>
  </si>
  <si>
    <t>Pony Malta Pet 200cc X 6</t>
  </si>
  <si>
    <t>3810</t>
  </si>
  <si>
    <t>3864</t>
  </si>
  <si>
    <t>Pony Malta Pet 330ccX24 Evt</t>
  </si>
  <si>
    <t>4467</t>
  </si>
  <si>
    <t>Pony Malta Pet 1.0Lx12</t>
  </si>
  <si>
    <t>5881</t>
  </si>
  <si>
    <t>Pony Malta Fresa Pet 200X30 Pro</t>
  </si>
  <si>
    <t>5882</t>
  </si>
  <si>
    <t>Pony Malta BSplit Pet 200X30 Pro</t>
  </si>
  <si>
    <t>7078</t>
  </si>
  <si>
    <t>7538</t>
  </si>
  <si>
    <t>Pony Malta Pet 900cc X 15</t>
  </si>
  <si>
    <t>7539</t>
  </si>
  <si>
    <t>Pony Malta Pet 1175cc X 15</t>
  </si>
  <si>
    <t>7540</t>
  </si>
  <si>
    <t>Pony Malta Pet 1400 cc X 6</t>
  </si>
  <si>
    <t>CÓDIGO ANTERIOR</t>
  </si>
  <si>
    <t>DESCRIPCIÓN ANTERIOR</t>
  </si>
  <si>
    <t>CÓDIGO ACTUAL</t>
  </si>
  <si>
    <t>DESCRIPCIÓN ACTUAL</t>
  </si>
  <si>
    <t>TIPO CAMBIO</t>
  </si>
  <si>
    <t>ABREVIATURA</t>
  </si>
  <si>
    <t>DURACIÓN</t>
  </si>
  <si>
    <t>SEMANA</t>
  </si>
  <si>
    <t>Liquid changes - Cambio de Liquido</t>
  </si>
  <si>
    <t>CL</t>
  </si>
  <si>
    <t>02:00:00</t>
  </si>
  <si>
    <t>03:00:00</t>
  </si>
  <si>
    <t>Primary package - Cambio de empaque primario</t>
  </si>
  <si>
    <t>CEP</t>
  </si>
  <si>
    <t>01:00:00</t>
  </si>
  <si>
    <t>08:00:00</t>
  </si>
  <si>
    <t>Secondary package - Cambio de empaque exterior</t>
  </si>
  <si>
    <t>CEE</t>
  </si>
  <si>
    <t>04:00:00</t>
  </si>
  <si>
    <t>06:00:00</t>
  </si>
  <si>
    <t>TIPO PARADA</t>
  </si>
  <si>
    <t>CÓDIGO PARADA</t>
  </si>
  <si>
    <t>ABREVIATURA PARADA</t>
  </si>
  <si>
    <t>REQUIERE PERSONAL</t>
  </si>
  <si>
    <t>SI</t>
  </si>
  <si>
    <t>12:00:00</t>
  </si>
  <si>
    <t>00:06:27</t>
  </si>
  <si>
    <t>23:51:43</t>
  </si>
  <si>
    <t>10:00:00</t>
  </si>
  <si>
    <t>NO</t>
  </si>
  <si>
    <t>12:58:27</t>
  </si>
  <si>
    <t>21:22:00</t>
  </si>
  <si>
    <t>22:18:33</t>
  </si>
  <si>
    <t>00:05:16</t>
  </si>
  <si>
    <t>11:31:21</t>
  </si>
  <si>
    <t>05:00:00</t>
  </si>
  <si>
    <t>05:24:35</t>
  </si>
  <si>
    <t>08:10:35</t>
  </si>
  <si>
    <t>21:55:56</t>
  </si>
  <si>
    <t>FECHA</t>
  </si>
  <si>
    <t>AG01</t>
  </si>
  <si>
    <t>BA02</t>
  </si>
  <si>
    <t>BA04</t>
  </si>
  <si>
    <t>BA26</t>
  </si>
  <si>
    <t>BA28</t>
  </si>
  <si>
    <t>BBC</t>
  </si>
  <si>
    <t>CV01</t>
  </si>
  <si>
    <t>UN01</t>
  </si>
  <si>
    <t>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</si>
</sst>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164" formatCode="#"/>
    <numFmt numFmtId="165" formatCode="hh:mm"/>
    <numFmt numFmtId="166" formatCode="#0.00"/>
    <numFmt numFmtId="167" formatCode="#0.00%"/>
    <numFmt numFmtId="168" formatCode="#0.0"/>
    <numFmt numFmtId="169" formatCode="#0.0%"/>
    <numFmt numFmtId="170" formatCode="dd/mm/yyyy"/>
    <numFmt numFmtId="171" formatCode="hh:mm:ss"/>
  </numFmts>
  <fonts count="8" x14ac:knownFonts="1">
    <font>
      <sz val="11"/>
      <name val="Calibri"/>
    </font>
    <font>
      <sz val="20"/>
      <name val="Century Gothic"/>
    </font>
    <font>
      <b/>
      <sz val="20"/>
      <name val="Century Gothic"/>
    </font>
    <font>
      <b/>
      <sz val="60"/>
      <name val="Century Gothic"/>
    </font>
    <font>
      <b/>
      <sz val="16"/>
      <name val="Century Gothic"/>
    </font>
    <font>
      <b/>
      <sz val="11"/>
      <name val="Century Gothic"/>
    </font>
    <font>
      <b/>
      <sz val="11"/>
      <name val="Calibri"/>
    </font>
    <font>
      <sz val="11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3CCCC"/>
      </patternFill>
    </fill>
    <fill>
      <patternFill patternType="solid">
        <fgColor rgb="FFFFFF99"/>
      </patternFill>
    </fill>
    <fill>
      <patternFill patternType="solid">
        <fgColor rgb="FFFFCC99"/>
      </patternFill>
    </fill>
    <fill>
      <patternFill patternType="solid">
        <fgColor rgb="FFCCFFCC"/>
      </patternFill>
    </fill>
    <fill>
      <patternFill patternType="solid">
        <fgColor rgb="FF0B9823"/>
      </patternFill>
    </fill>
    <fill>
      <patternFill patternType="solid">
        <fgColor rgb="FF9DEC3C"/>
      </patternFill>
    </fill>
    <fill>
      <patternFill patternType="solid">
        <fgColor rgb="FF94A6AD"/>
      </patternFill>
    </fill>
    <fill>
      <patternFill patternType="solid">
        <fgColor rgb="FFF7F026"/>
      </patternFill>
    </fill>
    <fill>
      <patternFill patternType="solid">
        <fgColor rgb="FFFF6842"/>
      </patternFill>
    </fill>
    <fill>
      <patternFill patternType="solid">
        <fgColor rgb="FFE9EBE5"/>
      </patternFill>
    </fill>
    <fill>
      <patternFill patternType="solid">
        <fgColor rgb="FF23A4A2"/>
      </patternFill>
    </fill>
    <fill>
      <patternFill patternType="solid">
        <fgColor rgb="FFBA78D9"/>
      </patternFill>
    </fill>
    <fill>
      <patternFill patternType="solid">
        <fgColor rgb="FFB94B9C"/>
      </patternFill>
    </fill>
    <fill>
      <patternFill patternType="solid">
        <fgColor rgb="FF00E7EB"/>
      </patternFill>
    </fill>
    <fill>
      <patternFill patternType="solid">
        <fgColor rgb="FFD0D260"/>
      </patternFill>
    </fill>
    <fill>
      <patternFill patternType="solid">
        <fgColor rgb="FFF39C1F"/>
      </patternFill>
    </fill>
    <fill>
      <patternFill patternType="solid">
        <fgColor rgb="FFFFE68A"/>
      </patternFill>
    </fill>
    <fill>
      <patternFill patternType="solid">
        <fgColor rgb="FF70AD47"/>
      </patternFill>
    </fill>
    <fill>
      <patternFill patternType="solid">
        <fgColor rgb="FF9DEC26"/>
      </patternFill>
    </fill>
    <fill>
      <patternFill patternType="solid">
        <fgColor rgb="FF61CACC"/>
      </patternFill>
    </fill>
    <fill>
      <patternFill patternType="solid">
        <fgColor rgb="FF9F235F"/>
      </patternFill>
    </fill>
    <fill>
      <patternFill patternType="solid">
        <fgColor rgb="FFFF681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110">
    <xf numFmtId="0" fontId="0" fillId="0" borderId="0" xfId="0"/>
    <xf numFmtId="0" fontId="2" fillId="2" borderId="0" xfId="0" applyFont="1" applyFill="1"/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wrapText="1"/>
    </xf>
    <xf numFmtId="0" fontId="2" fillId="2" borderId="11" xfId="0" applyFont="1" applyFill="1" applyBorder="1"/>
    <xf numFmtId="0" fontId="4" fillId="2" borderId="11" xfId="0" applyFont="1" applyFill="1" applyBorder="1" applyAlignment="1">
      <alignment horizontal="center" vertical="center"/>
    </xf>
    <xf numFmtId="0" fontId="2" fillId="2" borderId="12" xfId="0" applyFont="1" applyFill="1" applyBorder="1"/>
    <xf numFmtId="165" fontId="4" fillId="4" borderId="5" xfId="0" applyNumberFormat="1" applyFont="1" applyFill="1" applyBorder="1" applyAlignment="1">
      <alignment horizontal="center" vertical="center" textRotation="90"/>
    </xf>
    <xf numFmtId="165" fontId="4" fillId="4" borderId="1" xfId="0" applyNumberFormat="1" applyFont="1" applyFill="1" applyBorder="1" applyAlignment="1">
      <alignment horizontal="center" vertical="center" textRotation="90"/>
    </xf>
    <xf numFmtId="165" fontId="4" fillId="4" borderId="8" xfId="0" applyNumberFormat="1" applyFont="1" applyFill="1" applyBorder="1" applyAlignment="1">
      <alignment horizontal="center" vertical="center" textRotation="90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10" fontId="0" fillId="0" borderId="1" xfId="0" applyNumberFormat="1" applyBorder="1"/>
    <xf numFmtId="171" fontId="0" fillId="0" borderId="1" xfId="0" applyNumberFormat="1" applyBorder="1"/>
    <xf numFmtId="170" fontId="0" fillId="0" borderId="1" xfId="0" applyNumberFormat="1" applyBorder="1"/>
    <xf numFmtId="3" fontId="0" fillId="0" borderId="1" xfId="0" applyNumberFormat="1" applyBorder="1"/>
    <xf numFmtId="167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17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8" fontId="5" fillId="2" borderId="1" xfId="0" applyNumberFormat="1" applyFont="1" applyFill="1" applyBorder="1" applyAlignment="1">
      <alignment horizontal="center" vertical="center"/>
    </xf>
    <xf numFmtId="169" fontId="5" fillId="2" borderId="1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textRotation="90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textRotation="90" wrapText="1"/>
    </xf>
    <xf numFmtId="0" fontId="2" fillId="1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9" borderId="1" xfId="0" applyFont="1" applyFill="1" applyBorder="1" applyAlignment="1">
      <alignment horizontal="center" vertical="center" textRotation="90" wrapText="1"/>
    </xf>
    <xf numFmtId="0" fontId="2" fillId="16" borderId="5" xfId="0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5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textRotation="90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textRotation="90" wrapText="1"/>
    </xf>
    <xf numFmtId="0" fontId="2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90" wrapText="1"/>
    </xf>
    <xf numFmtId="0" fontId="2" fillId="16" borderId="5" xfId="0" applyFont="1" applyFill="1" applyBorder="1" applyAlignment="1">
      <alignment horizontal="center" vertical="center" textRotation="90" wrapText="1"/>
    </xf>
    <xf numFmtId="0" fontId="2" fillId="14" borderId="8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19" borderId="5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18" borderId="5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21" borderId="5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12" borderId="8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textRotation="90" wrapText="1"/>
    </xf>
    <xf numFmtId="0" fontId="2" fillId="22" borderId="1" xfId="0" applyFont="1" applyFill="1" applyBorder="1" applyAlignment="1">
      <alignment horizontal="center" vertical="center" wrapText="1"/>
    </xf>
    <xf numFmtId="0" fontId="2" fillId="22" borderId="5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2" fillId="23" borderId="5" xfId="0" applyFont="1" applyFill="1" applyBorder="1" applyAlignment="1">
      <alignment horizontal="center" vertical="center" wrapText="1"/>
    </xf>
    <xf numFmtId="0" fontId="2" fillId="19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44" fontId="2" fillId="2" borderId="0" xfId="1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1.6640625" customWidth="1"/>
    <col min="2" max="2" width="11.77734375" customWidth="1"/>
    <col min="3" max="11" width="9.109375" customWidth="1"/>
  </cols>
  <sheetData>
    <row r="1" spans="1:11" x14ac:dyDescent="0.3">
      <c r="A1" s="10" t="s">
        <v>442</v>
      </c>
      <c r="B1" s="10" t="s">
        <v>474</v>
      </c>
      <c r="C1" s="10" t="s">
        <v>475</v>
      </c>
      <c r="D1" s="10" t="s">
        <v>476</v>
      </c>
      <c r="E1" s="10" t="s">
        <v>477</v>
      </c>
      <c r="F1" s="10" t="s">
        <v>478</v>
      </c>
      <c r="G1" s="10" t="s">
        <v>479</v>
      </c>
      <c r="H1" s="10" t="s">
        <v>480</v>
      </c>
      <c r="I1" s="10" t="s">
        <v>481</v>
      </c>
      <c r="J1" s="10" t="s">
        <v>482</v>
      </c>
      <c r="K1" s="10" t="s">
        <v>483</v>
      </c>
    </row>
    <row r="2" spans="1:11" x14ac:dyDescent="0.3">
      <c r="A2" s="11">
        <v>34</v>
      </c>
      <c r="B2" s="15">
        <v>46255</v>
      </c>
      <c r="C2" s="16">
        <v>17097</v>
      </c>
      <c r="D2" s="16">
        <v>8600</v>
      </c>
      <c r="E2" s="16">
        <v>17799</v>
      </c>
      <c r="F2" s="16">
        <v>39200</v>
      </c>
      <c r="G2" s="16">
        <v>11668</v>
      </c>
      <c r="H2" s="16">
        <v>0</v>
      </c>
      <c r="I2" s="16">
        <v>14445</v>
      </c>
      <c r="J2" s="16">
        <v>12201</v>
      </c>
      <c r="K2" s="16">
        <v>121010</v>
      </c>
    </row>
    <row r="3" spans="1:11" x14ac:dyDescent="0.3">
      <c r="A3" s="11">
        <v>34</v>
      </c>
      <c r="B3" s="15">
        <v>46256</v>
      </c>
      <c r="C3" s="16">
        <v>18360</v>
      </c>
      <c r="D3" s="16">
        <v>5457</v>
      </c>
      <c r="E3" s="16">
        <v>17623</v>
      </c>
      <c r="F3" s="16">
        <v>35629</v>
      </c>
      <c r="G3" s="16">
        <v>10804</v>
      </c>
      <c r="H3" s="16">
        <v>0</v>
      </c>
      <c r="I3" s="16">
        <v>15808</v>
      </c>
      <c r="J3" s="16">
        <v>13253</v>
      </c>
      <c r="K3" s="16">
        <v>116934</v>
      </c>
    </row>
    <row r="4" spans="1:11" x14ac:dyDescent="0.3">
      <c r="A4" s="11">
        <v>34</v>
      </c>
      <c r="B4" s="15">
        <v>46257</v>
      </c>
      <c r="C4" s="16">
        <v>10036</v>
      </c>
      <c r="D4" s="16">
        <v>0</v>
      </c>
      <c r="E4" s="16">
        <v>13486</v>
      </c>
      <c r="F4" s="16">
        <v>32932</v>
      </c>
      <c r="G4" s="16">
        <v>9422</v>
      </c>
      <c r="H4" s="16">
        <v>0</v>
      </c>
      <c r="I4" s="16">
        <v>17267</v>
      </c>
      <c r="J4" s="16">
        <v>9480</v>
      </c>
      <c r="K4" s="16">
        <v>92623</v>
      </c>
    </row>
    <row r="5" spans="1:11" x14ac:dyDescent="0.3">
      <c r="A5" s="11">
        <v>35</v>
      </c>
      <c r="B5" s="15">
        <v>46258</v>
      </c>
      <c r="C5" s="16">
        <v>14456</v>
      </c>
      <c r="D5" s="16">
        <v>3560</v>
      </c>
      <c r="E5" s="16">
        <v>13919</v>
      </c>
      <c r="F5" s="16">
        <v>36954</v>
      </c>
      <c r="G5" s="16">
        <v>6775</v>
      </c>
      <c r="H5" s="16">
        <v>0</v>
      </c>
      <c r="I5" s="16">
        <v>15822</v>
      </c>
      <c r="J5" s="16">
        <v>11269</v>
      </c>
      <c r="K5" s="16">
        <v>102755</v>
      </c>
    </row>
    <row r="6" spans="1:11" x14ac:dyDescent="0.3">
      <c r="A6" s="11">
        <v>35</v>
      </c>
      <c r="B6" s="15">
        <v>46259</v>
      </c>
      <c r="C6" s="16">
        <v>17560</v>
      </c>
      <c r="D6" s="16">
        <v>8382</v>
      </c>
      <c r="E6" s="16">
        <v>17685</v>
      </c>
      <c r="F6" s="16">
        <v>36165</v>
      </c>
      <c r="G6" s="16">
        <v>9759</v>
      </c>
      <c r="H6" s="16">
        <v>0</v>
      </c>
      <c r="I6" s="16">
        <v>15889</v>
      </c>
      <c r="J6" s="16">
        <v>13449</v>
      </c>
      <c r="K6" s="16">
        <v>118889</v>
      </c>
    </row>
    <row r="7" spans="1:11" x14ac:dyDescent="0.3">
      <c r="A7" s="11">
        <v>35</v>
      </c>
      <c r="B7" s="15">
        <v>46260</v>
      </c>
      <c r="C7" s="16">
        <v>16708</v>
      </c>
      <c r="D7" s="16">
        <v>8463</v>
      </c>
      <c r="E7" s="16">
        <v>16163</v>
      </c>
      <c r="F7" s="16">
        <v>36309</v>
      </c>
      <c r="G7" s="16">
        <v>11756</v>
      </c>
      <c r="H7" s="16">
        <v>0</v>
      </c>
      <c r="I7" s="16">
        <v>17608</v>
      </c>
      <c r="J7" s="16">
        <v>11685</v>
      </c>
      <c r="K7" s="16">
        <v>118692</v>
      </c>
    </row>
    <row r="8" spans="1:11" x14ac:dyDescent="0.3">
      <c r="A8" s="11">
        <v>35</v>
      </c>
      <c r="B8" s="15">
        <v>46261</v>
      </c>
      <c r="C8" s="16">
        <v>11993</v>
      </c>
      <c r="D8" s="16">
        <v>9219</v>
      </c>
      <c r="E8" s="16">
        <v>16499</v>
      </c>
      <c r="F8" s="16">
        <v>36976</v>
      </c>
      <c r="G8" s="16">
        <v>12525</v>
      </c>
      <c r="H8" s="16">
        <v>0</v>
      </c>
      <c r="I8" s="16">
        <v>12171</v>
      </c>
      <c r="J8" s="16">
        <v>12897</v>
      </c>
      <c r="K8" s="16">
        <v>112280</v>
      </c>
    </row>
    <row r="9" spans="1:11" x14ac:dyDescent="0.3">
      <c r="A9" s="11">
        <v>35</v>
      </c>
      <c r="B9" s="15">
        <v>46262</v>
      </c>
      <c r="C9" s="16">
        <v>12592</v>
      </c>
      <c r="D9" s="16">
        <v>8474</v>
      </c>
      <c r="E9" s="16">
        <v>16544</v>
      </c>
      <c r="F9" s="16">
        <v>37156</v>
      </c>
      <c r="G9" s="16">
        <v>11740</v>
      </c>
      <c r="H9" s="16">
        <v>0</v>
      </c>
      <c r="I9" s="16">
        <v>16563</v>
      </c>
      <c r="J9" s="16">
        <v>13736</v>
      </c>
      <c r="K9" s="16">
        <v>116805</v>
      </c>
    </row>
    <row r="10" spans="1:11" x14ac:dyDescent="0.3">
      <c r="A10" s="11">
        <v>35</v>
      </c>
      <c r="B10" s="15">
        <v>46263</v>
      </c>
      <c r="C10" s="16">
        <v>12382</v>
      </c>
      <c r="D10" s="16">
        <v>7502</v>
      </c>
      <c r="E10" s="16">
        <v>18398</v>
      </c>
      <c r="F10" s="16">
        <v>39682</v>
      </c>
      <c r="G10" s="16">
        <v>9690</v>
      </c>
      <c r="H10" s="16">
        <v>0</v>
      </c>
      <c r="I10" s="16">
        <v>18868</v>
      </c>
      <c r="J10" s="16">
        <v>15437</v>
      </c>
      <c r="K10" s="16">
        <v>121959</v>
      </c>
    </row>
    <row r="11" spans="1:11" x14ac:dyDescent="0.3">
      <c r="A11" s="11">
        <v>35</v>
      </c>
      <c r="B11" s="15">
        <v>46264</v>
      </c>
      <c r="C11" s="16">
        <v>5721</v>
      </c>
      <c r="D11" s="16">
        <v>0</v>
      </c>
      <c r="E11" s="16">
        <v>15210</v>
      </c>
      <c r="F11" s="16">
        <v>32381</v>
      </c>
      <c r="G11" s="16">
        <v>6554</v>
      </c>
      <c r="H11" s="16">
        <v>0</v>
      </c>
      <c r="I11" s="16">
        <v>13603</v>
      </c>
      <c r="J11" s="16">
        <v>12677</v>
      </c>
      <c r="K11" s="16">
        <v>86146</v>
      </c>
    </row>
    <row r="12" spans="1:11" x14ac:dyDescent="0.3">
      <c r="A12" s="11">
        <v>36</v>
      </c>
      <c r="B12" s="15">
        <v>46265</v>
      </c>
      <c r="C12" s="16">
        <v>13861</v>
      </c>
      <c r="D12" s="16">
        <v>4476</v>
      </c>
      <c r="E12" s="16">
        <v>13473</v>
      </c>
      <c r="F12" s="16">
        <v>35280</v>
      </c>
      <c r="G12" s="16">
        <v>10500</v>
      </c>
      <c r="H12" s="16">
        <v>0</v>
      </c>
      <c r="I12" s="16">
        <v>9271</v>
      </c>
      <c r="J12" s="16">
        <v>8065</v>
      </c>
      <c r="K12" s="16">
        <v>94926</v>
      </c>
    </row>
    <row r="13" spans="1:11" x14ac:dyDescent="0.3">
      <c r="A13" s="11">
        <v>36</v>
      </c>
      <c r="B13" s="15">
        <v>46266</v>
      </c>
      <c r="C13" s="16">
        <v>13402</v>
      </c>
      <c r="D13" s="16">
        <v>8104</v>
      </c>
      <c r="E13" s="16">
        <v>2716</v>
      </c>
      <c r="F13" s="16">
        <v>34363</v>
      </c>
      <c r="G13" s="16">
        <v>9908</v>
      </c>
      <c r="H13" s="16">
        <v>0</v>
      </c>
      <c r="I13" s="16">
        <v>13761</v>
      </c>
      <c r="J13" s="16">
        <v>10123</v>
      </c>
      <c r="K13" s="16">
        <v>92377</v>
      </c>
    </row>
    <row r="14" spans="1:11" x14ac:dyDescent="0.3">
      <c r="A14" s="11">
        <v>36</v>
      </c>
      <c r="B14" s="15">
        <v>46267</v>
      </c>
      <c r="C14" s="16">
        <v>13858</v>
      </c>
      <c r="D14" s="16">
        <v>7983</v>
      </c>
      <c r="E14" s="16">
        <v>5026</v>
      </c>
      <c r="F14" s="16">
        <v>34881</v>
      </c>
      <c r="G14" s="16">
        <v>12180</v>
      </c>
      <c r="H14" s="16">
        <v>0</v>
      </c>
      <c r="I14" s="16">
        <v>12391</v>
      </c>
      <c r="J14" s="16">
        <v>12883</v>
      </c>
      <c r="K14" s="16">
        <v>99202</v>
      </c>
    </row>
    <row r="15" spans="1:11" x14ac:dyDescent="0.3">
      <c r="A15" s="11">
        <v>36</v>
      </c>
      <c r="B15" s="15">
        <v>46268</v>
      </c>
      <c r="C15" s="16">
        <v>10538</v>
      </c>
      <c r="D15" s="16">
        <v>8148</v>
      </c>
      <c r="E15" s="16">
        <v>5192</v>
      </c>
      <c r="F15" s="16">
        <v>37437</v>
      </c>
      <c r="G15" s="16">
        <v>11809</v>
      </c>
      <c r="H15" s="16">
        <v>0</v>
      </c>
      <c r="I15" s="16">
        <v>18890</v>
      </c>
      <c r="J15" s="16">
        <v>12545</v>
      </c>
      <c r="K15" s="16">
        <v>104559</v>
      </c>
    </row>
    <row r="16" spans="1:11" x14ac:dyDescent="0.3">
      <c r="A16" s="11">
        <v>36</v>
      </c>
      <c r="B16" s="15">
        <v>46269</v>
      </c>
      <c r="C16" s="16">
        <v>11084</v>
      </c>
      <c r="D16" s="16">
        <v>6489</v>
      </c>
      <c r="E16" s="16">
        <v>5303</v>
      </c>
      <c r="F16" s="16">
        <v>35059</v>
      </c>
      <c r="G16" s="16">
        <v>5522</v>
      </c>
      <c r="H16" s="16">
        <v>0</v>
      </c>
      <c r="I16" s="16">
        <v>14004</v>
      </c>
      <c r="J16" s="16">
        <v>12505</v>
      </c>
      <c r="K16" s="16">
        <v>89966</v>
      </c>
    </row>
    <row r="17" spans="1:11" x14ac:dyDescent="0.3">
      <c r="A17" s="11">
        <v>36</v>
      </c>
      <c r="B17" s="15">
        <v>46270</v>
      </c>
      <c r="C17" s="16">
        <v>11583</v>
      </c>
      <c r="D17" s="16">
        <v>2001</v>
      </c>
      <c r="E17" s="16">
        <v>8516</v>
      </c>
      <c r="F17" s="16">
        <v>42988</v>
      </c>
      <c r="G17" s="16">
        <v>1581</v>
      </c>
      <c r="H17" s="16">
        <v>0</v>
      </c>
      <c r="I17" s="16">
        <v>12009</v>
      </c>
      <c r="J17" s="16">
        <v>14624</v>
      </c>
      <c r="K17" s="16">
        <v>93302</v>
      </c>
    </row>
    <row r="18" spans="1:11" x14ac:dyDescent="0.3">
      <c r="A18" s="11">
        <v>36</v>
      </c>
      <c r="B18" s="15">
        <v>46271</v>
      </c>
      <c r="C18" s="16">
        <v>12384</v>
      </c>
      <c r="D18" s="16">
        <v>0</v>
      </c>
      <c r="E18" s="16">
        <v>16980</v>
      </c>
      <c r="F18" s="16">
        <v>36900</v>
      </c>
      <c r="G18" s="16">
        <v>0</v>
      </c>
      <c r="H18" s="16">
        <v>0</v>
      </c>
      <c r="I18" s="16">
        <v>8836</v>
      </c>
      <c r="J18" s="16">
        <v>6954</v>
      </c>
      <c r="K18" s="16">
        <v>82054</v>
      </c>
    </row>
    <row r="19" spans="1:11" x14ac:dyDescent="0.3">
      <c r="A19" s="11">
        <v>37</v>
      </c>
      <c r="B19" s="15">
        <v>46272</v>
      </c>
      <c r="C19" s="16">
        <v>17552</v>
      </c>
      <c r="D19" s="16">
        <v>1139</v>
      </c>
      <c r="E19" s="16">
        <v>17388</v>
      </c>
      <c r="F19" s="16">
        <v>41142</v>
      </c>
      <c r="G19" s="16">
        <v>10862</v>
      </c>
      <c r="H19" s="16">
        <v>0</v>
      </c>
      <c r="I19" s="16">
        <v>14872</v>
      </c>
      <c r="J19" s="16">
        <v>10372</v>
      </c>
      <c r="K19" s="16">
        <v>113327</v>
      </c>
    </row>
    <row r="20" spans="1:11" x14ac:dyDescent="0.3">
      <c r="A20" s="11">
        <v>37</v>
      </c>
      <c r="B20" s="15">
        <v>46273</v>
      </c>
      <c r="C20" s="16">
        <v>18669</v>
      </c>
      <c r="D20" s="16">
        <v>6468</v>
      </c>
      <c r="E20" s="16">
        <v>16798</v>
      </c>
      <c r="F20" s="16">
        <v>33166</v>
      </c>
      <c r="G20" s="16">
        <v>11292</v>
      </c>
      <c r="H20" s="16">
        <v>0</v>
      </c>
      <c r="I20" s="16">
        <v>16447</v>
      </c>
      <c r="J20" s="16">
        <v>14390</v>
      </c>
      <c r="K20" s="16">
        <v>117230</v>
      </c>
    </row>
    <row r="21" spans="1:11" x14ac:dyDescent="0.3">
      <c r="A21" s="11">
        <v>37</v>
      </c>
      <c r="B21" s="15">
        <v>46274</v>
      </c>
      <c r="C21" s="16">
        <v>14534</v>
      </c>
      <c r="D21" s="16">
        <v>9350</v>
      </c>
      <c r="E21" s="16">
        <v>18551</v>
      </c>
      <c r="F21" s="16">
        <v>33119</v>
      </c>
      <c r="G21" s="16">
        <v>12065</v>
      </c>
      <c r="H21" s="16">
        <v>0</v>
      </c>
      <c r="I21" s="16">
        <v>14616</v>
      </c>
      <c r="J21" s="16">
        <v>16324</v>
      </c>
      <c r="K21" s="16">
        <v>118559</v>
      </c>
    </row>
    <row r="22" spans="1:11" x14ac:dyDescent="0.3">
      <c r="A22" s="11">
        <v>37</v>
      </c>
      <c r="B22" s="15">
        <v>46275</v>
      </c>
      <c r="C22" s="16">
        <v>15193</v>
      </c>
      <c r="D22" s="16">
        <v>8954</v>
      </c>
      <c r="E22" s="16">
        <v>16340</v>
      </c>
      <c r="F22" s="16">
        <v>35528</v>
      </c>
      <c r="G22" s="16">
        <v>10909</v>
      </c>
      <c r="H22" s="16">
        <v>0</v>
      </c>
      <c r="I22" s="16">
        <v>13048</v>
      </c>
      <c r="J22" s="16">
        <v>10843</v>
      </c>
      <c r="K22" s="16">
        <v>110815</v>
      </c>
    </row>
    <row r="23" spans="1:11" x14ac:dyDescent="0.3">
      <c r="A23" s="11">
        <v>37</v>
      </c>
      <c r="B23" s="15">
        <v>46276</v>
      </c>
      <c r="C23" s="16">
        <v>15273</v>
      </c>
      <c r="D23" s="16">
        <v>8199</v>
      </c>
      <c r="E23" s="16">
        <v>16263</v>
      </c>
      <c r="F23" s="16">
        <v>35874</v>
      </c>
      <c r="G23" s="16">
        <v>5873</v>
      </c>
      <c r="H23" s="16">
        <v>0</v>
      </c>
      <c r="I23" s="16">
        <v>16246</v>
      </c>
      <c r="J23" s="16">
        <v>11376</v>
      </c>
      <c r="K23" s="16">
        <v>109104</v>
      </c>
    </row>
    <row r="24" spans="1:11" x14ac:dyDescent="0.3">
      <c r="A24" s="11">
        <v>37</v>
      </c>
      <c r="B24" s="15">
        <v>46277</v>
      </c>
      <c r="C24" s="16">
        <v>13942</v>
      </c>
      <c r="D24" s="16">
        <v>3291</v>
      </c>
      <c r="E24" s="16">
        <v>13225</v>
      </c>
      <c r="F24" s="16">
        <v>37336</v>
      </c>
      <c r="G24" s="16">
        <v>0</v>
      </c>
      <c r="H24" s="16">
        <v>0</v>
      </c>
      <c r="I24" s="16">
        <v>10786</v>
      </c>
      <c r="J24" s="16">
        <v>12811</v>
      </c>
      <c r="K24" s="16">
        <v>91391</v>
      </c>
    </row>
    <row r="25" spans="1:11" x14ac:dyDescent="0.3">
      <c r="A25" s="11">
        <v>37</v>
      </c>
      <c r="B25" s="15">
        <v>46278</v>
      </c>
      <c r="C25" s="16">
        <v>12210</v>
      </c>
      <c r="D25" s="16">
        <v>0</v>
      </c>
      <c r="E25" s="16">
        <v>8504</v>
      </c>
      <c r="F25" s="16">
        <v>33567</v>
      </c>
      <c r="G25" s="16">
        <v>0</v>
      </c>
      <c r="H25" s="16">
        <v>0</v>
      </c>
      <c r="I25" s="16">
        <v>6054</v>
      </c>
      <c r="J25" s="16">
        <v>6334</v>
      </c>
      <c r="K25" s="16">
        <v>66669</v>
      </c>
    </row>
    <row r="26" spans="1:11" x14ac:dyDescent="0.3">
      <c r="A26" s="11">
        <v>38</v>
      </c>
      <c r="B26" s="15">
        <v>46279</v>
      </c>
      <c r="C26" s="16">
        <v>16835</v>
      </c>
      <c r="D26" s="16">
        <v>0</v>
      </c>
      <c r="E26" s="16">
        <v>8696</v>
      </c>
      <c r="F26" s="16">
        <v>32250</v>
      </c>
      <c r="G26" s="16">
        <v>9672</v>
      </c>
      <c r="H26" s="16">
        <v>0</v>
      </c>
      <c r="I26" s="16">
        <v>14331</v>
      </c>
      <c r="J26" s="16">
        <v>11269</v>
      </c>
      <c r="K26" s="16">
        <v>93053</v>
      </c>
    </row>
    <row r="27" spans="1:11" x14ac:dyDescent="0.3">
      <c r="A27" s="11">
        <v>38</v>
      </c>
      <c r="B27" s="15">
        <v>46280</v>
      </c>
      <c r="C27" s="16">
        <v>19121</v>
      </c>
      <c r="D27" s="16">
        <v>4566</v>
      </c>
      <c r="E27" s="16">
        <v>14782</v>
      </c>
      <c r="F27" s="16">
        <v>34818</v>
      </c>
      <c r="G27" s="16">
        <v>13007</v>
      </c>
      <c r="H27" s="16">
        <v>0</v>
      </c>
      <c r="I27" s="16">
        <v>13702</v>
      </c>
      <c r="J27" s="16">
        <v>13042</v>
      </c>
      <c r="K27" s="16">
        <v>113038</v>
      </c>
    </row>
    <row r="28" spans="1:11" x14ac:dyDescent="0.3">
      <c r="A28" s="11">
        <v>38</v>
      </c>
      <c r="B28" s="15">
        <v>46281</v>
      </c>
      <c r="C28" s="16">
        <v>16876</v>
      </c>
      <c r="D28" s="16">
        <v>9350</v>
      </c>
      <c r="E28" s="16">
        <v>17458</v>
      </c>
      <c r="F28" s="16">
        <v>33709</v>
      </c>
      <c r="G28" s="16">
        <v>12655</v>
      </c>
      <c r="H28" s="16">
        <v>0</v>
      </c>
      <c r="I28" s="16">
        <v>10278</v>
      </c>
      <c r="J28" s="16">
        <v>12880</v>
      </c>
      <c r="K28" s="16">
        <v>113206</v>
      </c>
    </row>
    <row r="29" spans="1:11" x14ac:dyDescent="0.3">
      <c r="A29" s="11">
        <v>38</v>
      </c>
      <c r="B29" s="15">
        <v>46282</v>
      </c>
      <c r="C29" s="16">
        <v>12507</v>
      </c>
      <c r="D29" s="16">
        <v>7153</v>
      </c>
      <c r="E29" s="16">
        <v>18232</v>
      </c>
      <c r="F29" s="16">
        <v>35845</v>
      </c>
      <c r="G29" s="16">
        <v>13770</v>
      </c>
      <c r="H29" s="16">
        <v>0</v>
      </c>
      <c r="I29" s="16">
        <v>11727</v>
      </c>
      <c r="J29" s="16">
        <v>11934</v>
      </c>
      <c r="K29" s="16">
        <v>111168</v>
      </c>
    </row>
    <row r="30" spans="1:11" x14ac:dyDescent="0.3">
      <c r="A30" s="11">
        <v>38</v>
      </c>
      <c r="B30" s="15">
        <v>46283</v>
      </c>
      <c r="C30" s="16">
        <v>10670</v>
      </c>
      <c r="D30" s="16">
        <v>8168</v>
      </c>
      <c r="E30" s="16">
        <v>17541</v>
      </c>
      <c r="F30" s="16">
        <v>38244</v>
      </c>
      <c r="G30" s="16">
        <v>11700</v>
      </c>
      <c r="H30" s="16">
        <v>0</v>
      </c>
      <c r="I30" s="16">
        <v>11311</v>
      </c>
      <c r="J30" s="16">
        <v>12702</v>
      </c>
      <c r="K30" s="16">
        <v>110336</v>
      </c>
    </row>
    <row r="31" spans="1:11" x14ac:dyDescent="0.3">
      <c r="A31" s="11">
        <v>38</v>
      </c>
      <c r="B31" s="15">
        <v>46284</v>
      </c>
      <c r="C31" s="16">
        <v>11570</v>
      </c>
      <c r="D31" s="16">
        <v>6763</v>
      </c>
      <c r="E31" s="16">
        <v>17501</v>
      </c>
      <c r="F31" s="16">
        <v>38217</v>
      </c>
      <c r="G31" s="16">
        <v>2196</v>
      </c>
      <c r="H31" s="16">
        <v>0</v>
      </c>
      <c r="I31" s="16">
        <v>15657</v>
      </c>
      <c r="J31" s="16">
        <v>13214</v>
      </c>
      <c r="K31" s="16">
        <v>105118</v>
      </c>
    </row>
    <row r="32" spans="1:11" x14ac:dyDescent="0.3">
      <c r="A32" s="11">
        <v>38</v>
      </c>
      <c r="B32" s="15">
        <v>46285</v>
      </c>
      <c r="C32" s="16">
        <v>11254</v>
      </c>
      <c r="D32" s="16">
        <v>0</v>
      </c>
      <c r="E32" s="16">
        <v>14468</v>
      </c>
      <c r="F32" s="16">
        <v>33933</v>
      </c>
      <c r="G32" s="16">
        <v>0</v>
      </c>
      <c r="H32" s="16">
        <v>0</v>
      </c>
      <c r="I32" s="16">
        <v>3591</v>
      </c>
      <c r="J32" s="16">
        <v>6909</v>
      </c>
      <c r="K32" s="16">
        <v>70155</v>
      </c>
    </row>
    <row r="33" spans="1:11" x14ac:dyDescent="0.3">
      <c r="A33" s="11">
        <v>39</v>
      </c>
      <c r="B33" s="15">
        <v>46286</v>
      </c>
      <c r="C33" s="16">
        <v>18202</v>
      </c>
      <c r="D33" s="16">
        <v>0</v>
      </c>
      <c r="E33" s="16">
        <v>7910</v>
      </c>
      <c r="F33" s="16">
        <v>37889</v>
      </c>
      <c r="G33" s="16">
        <v>11718</v>
      </c>
      <c r="H33" s="16">
        <v>0</v>
      </c>
      <c r="I33" s="16">
        <v>10510</v>
      </c>
      <c r="J33" s="16">
        <v>11269</v>
      </c>
      <c r="K33" s="16">
        <v>97498</v>
      </c>
    </row>
    <row r="34" spans="1:11" x14ac:dyDescent="0.3">
      <c r="A34" s="11">
        <v>39</v>
      </c>
      <c r="B34" s="15">
        <v>46287</v>
      </c>
      <c r="C34" s="16">
        <v>18563</v>
      </c>
      <c r="D34" s="16">
        <v>4517</v>
      </c>
      <c r="E34" s="16">
        <v>5193</v>
      </c>
      <c r="F34" s="16">
        <v>39399</v>
      </c>
      <c r="G34" s="16">
        <v>12784</v>
      </c>
      <c r="H34" s="16">
        <v>0</v>
      </c>
      <c r="I34" s="16">
        <v>14103</v>
      </c>
      <c r="J34" s="16">
        <v>13042</v>
      </c>
      <c r="K34" s="16">
        <v>107601</v>
      </c>
    </row>
    <row r="35" spans="1:11" x14ac:dyDescent="0.3">
      <c r="A35" s="11">
        <v>39</v>
      </c>
      <c r="B35" s="15">
        <v>46288</v>
      </c>
      <c r="C35" s="16">
        <v>11844</v>
      </c>
      <c r="D35" s="16">
        <v>8097</v>
      </c>
      <c r="E35" s="16">
        <v>7437</v>
      </c>
      <c r="F35" s="16">
        <v>35749</v>
      </c>
      <c r="G35" s="16">
        <v>12519</v>
      </c>
      <c r="H35" s="16">
        <v>0</v>
      </c>
      <c r="I35" s="16">
        <v>13586</v>
      </c>
      <c r="J35" s="16">
        <v>12880</v>
      </c>
      <c r="K35" s="16">
        <v>102112</v>
      </c>
    </row>
    <row r="36" spans="1:11" x14ac:dyDescent="0.3">
      <c r="A36" s="11">
        <v>39</v>
      </c>
      <c r="B36" s="15">
        <v>46289</v>
      </c>
      <c r="C36" s="16">
        <v>13384</v>
      </c>
      <c r="D36" s="16">
        <v>7916</v>
      </c>
      <c r="E36" s="16">
        <v>15180</v>
      </c>
      <c r="F36" s="16">
        <v>30382</v>
      </c>
      <c r="G36" s="16">
        <v>11480</v>
      </c>
      <c r="H36" s="16">
        <v>0</v>
      </c>
      <c r="I36" s="16">
        <v>8114</v>
      </c>
      <c r="J36" s="16">
        <v>11460</v>
      </c>
      <c r="K36" s="16">
        <v>97916</v>
      </c>
    </row>
    <row r="37" spans="1:11" x14ac:dyDescent="0.3">
      <c r="A37" s="11">
        <v>39</v>
      </c>
      <c r="B37" s="15">
        <v>46290</v>
      </c>
      <c r="C37" s="16">
        <v>13886</v>
      </c>
      <c r="D37" s="16">
        <v>9288</v>
      </c>
      <c r="E37" s="16">
        <v>17549</v>
      </c>
      <c r="F37" s="16">
        <v>30825</v>
      </c>
      <c r="G37" s="16">
        <v>1500</v>
      </c>
      <c r="H37" s="16">
        <v>0</v>
      </c>
      <c r="I37" s="16">
        <v>7810</v>
      </c>
      <c r="J37" s="16">
        <v>12545</v>
      </c>
      <c r="K37" s="16">
        <v>93403</v>
      </c>
    </row>
    <row r="38" spans="1:11" x14ac:dyDescent="0.3">
      <c r="A38" s="11">
        <v>39</v>
      </c>
      <c r="B38" s="15">
        <v>46291</v>
      </c>
      <c r="C38" s="16">
        <v>15160</v>
      </c>
      <c r="D38" s="16">
        <v>7382</v>
      </c>
      <c r="E38" s="16">
        <v>17055</v>
      </c>
      <c r="F38" s="16">
        <v>33369</v>
      </c>
      <c r="G38" s="16">
        <v>0</v>
      </c>
      <c r="H38" s="16">
        <v>0</v>
      </c>
      <c r="I38" s="16">
        <v>5467</v>
      </c>
      <c r="J38" s="16">
        <v>13214</v>
      </c>
      <c r="K38" s="16">
        <v>91647</v>
      </c>
    </row>
    <row r="39" spans="1:11" x14ac:dyDescent="0.3">
      <c r="A39" s="11">
        <v>39</v>
      </c>
      <c r="B39" s="15">
        <v>46292</v>
      </c>
      <c r="C39" s="16">
        <v>9980</v>
      </c>
      <c r="D39" s="16">
        <v>0</v>
      </c>
      <c r="E39" s="16">
        <v>15894</v>
      </c>
      <c r="F39" s="16">
        <v>29293</v>
      </c>
      <c r="G39" s="16">
        <v>0</v>
      </c>
      <c r="H39" s="16">
        <v>0</v>
      </c>
      <c r="I39" s="16">
        <v>4199</v>
      </c>
      <c r="J39" s="16">
        <v>7640</v>
      </c>
      <c r="K39" s="16">
        <v>67006</v>
      </c>
    </row>
    <row r="40" spans="1:11" x14ac:dyDescent="0.3">
      <c r="A40" s="11">
        <v>40</v>
      </c>
      <c r="B40" s="15">
        <v>46293</v>
      </c>
      <c r="C40" s="16">
        <v>10661</v>
      </c>
      <c r="D40" s="16">
        <v>0</v>
      </c>
      <c r="E40" s="16">
        <v>16804</v>
      </c>
      <c r="F40" s="16">
        <v>31198</v>
      </c>
      <c r="G40" s="16">
        <v>8621</v>
      </c>
      <c r="H40" s="16">
        <v>0</v>
      </c>
      <c r="I40" s="16">
        <v>9039</v>
      </c>
      <c r="J40" s="16">
        <v>11269</v>
      </c>
      <c r="K40" s="16">
        <v>87592</v>
      </c>
    </row>
    <row r="41" spans="1:11" x14ac:dyDescent="0.3">
      <c r="A41" s="11">
        <v>40</v>
      </c>
      <c r="B41" s="15">
        <v>46294</v>
      </c>
      <c r="C41" s="16">
        <v>6614</v>
      </c>
      <c r="D41" s="16">
        <v>3994</v>
      </c>
      <c r="E41" s="16">
        <v>11806</v>
      </c>
      <c r="F41" s="16">
        <v>35933</v>
      </c>
      <c r="G41" s="16">
        <v>8621</v>
      </c>
      <c r="H41" s="16">
        <v>0</v>
      </c>
      <c r="I41" s="16">
        <v>11017</v>
      </c>
      <c r="J41" s="16">
        <v>13042</v>
      </c>
      <c r="K41" s="16">
        <v>91027</v>
      </c>
    </row>
    <row r="42" spans="1:11" x14ac:dyDescent="0.3">
      <c r="A42" s="11">
        <v>40</v>
      </c>
      <c r="B42" s="15">
        <v>46295</v>
      </c>
      <c r="C42" s="16">
        <v>2218</v>
      </c>
      <c r="D42" s="16">
        <v>7750</v>
      </c>
      <c r="E42" s="16">
        <v>8058</v>
      </c>
      <c r="F42" s="16">
        <v>35799</v>
      </c>
      <c r="G42" s="16">
        <v>8357</v>
      </c>
      <c r="H42" s="16">
        <v>0</v>
      </c>
      <c r="I42" s="16">
        <v>8748</v>
      </c>
      <c r="J42" s="16">
        <v>12880</v>
      </c>
      <c r="K42" s="16">
        <v>83810</v>
      </c>
    </row>
    <row r="43" spans="1:11" x14ac:dyDescent="0.3">
      <c r="A43" s="11">
        <v>40</v>
      </c>
      <c r="B43" s="15">
        <v>46296</v>
      </c>
      <c r="C43" s="16">
        <v>12393</v>
      </c>
      <c r="D43" s="16">
        <v>8953</v>
      </c>
      <c r="E43" s="16">
        <v>0</v>
      </c>
      <c r="F43" s="16">
        <v>36558</v>
      </c>
      <c r="G43" s="16">
        <v>8621</v>
      </c>
      <c r="H43" s="16">
        <v>0</v>
      </c>
      <c r="I43" s="16">
        <v>8111</v>
      </c>
      <c r="J43" s="16">
        <v>11934</v>
      </c>
      <c r="K43" s="16">
        <v>86570</v>
      </c>
    </row>
    <row r="44" spans="1:11" x14ac:dyDescent="0.3">
      <c r="A44" s="11">
        <v>40</v>
      </c>
      <c r="B44" s="15">
        <v>46297</v>
      </c>
      <c r="C44" s="16">
        <v>17021</v>
      </c>
      <c r="D44" s="16">
        <v>8509</v>
      </c>
      <c r="E44" s="16">
        <v>0</v>
      </c>
      <c r="F44" s="16">
        <v>35397</v>
      </c>
      <c r="G44" s="16">
        <v>8356</v>
      </c>
      <c r="H44" s="16">
        <v>0</v>
      </c>
      <c r="I44" s="16">
        <v>6661</v>
      </c>
      <c r="J44" s="16">
        <v>12702</v>
      </c>
      <c r="K44" s="16">
        <v>88646</v>
      </c>
    </row>
    <row r="45" spans="1:11" x14ac:dyDescent="0.3">
      <c r="A45" s="11">
        <v>40</v>
      </c>
      <c r="B45" s="15">
        <v>46298</v>
      </c>
      <c r="C45" s="16">
        <v>16111</v>
      </c>
      <c r="D45" s="16">
        <v>7195</v>
      </c>
      <c r="E45" s="16">
        <v>0</v>
      </c>
      <c r="F45" s="16">
        <v>36899</v>
      </c>
      <c r="G45" s="16">
        <v>5826</v>
      </c>
      <c r="H45" s="16">
        <v>0</v>
      </c>
      <c r="I45" s="16">
        <v>2982</v>
      </c>
      <c r="J45" s="16">
        <v>13214</v>
      </c>
      <c r="K45" s="16">
        <v>82227</v>
      </c>
    </row>
    <row r="46" spans="1:11" x14ac:dyDescent="0.3">
      <c r="A46" s="11">
        <v>40</v>
      </c>
      <c r="B46" s="15">
        <v>46299</v>
      </c>
      <c r="C46" s="16">
        <v>16879</v>
      </c>
      <c r="D46" s="16">
        <v>0</v>
      </c>
      <c r="E46" s="16">
        <v>0</v>
      </c>
      <c r="F46" s="16">
        <v>34685</v>
      </c>
      <c r="G46" s="16">
        <v>0</v>
      </c>
      <c r="H46" s="16">
        <v>0</v>
      </c>
      <c r="I46" s="16">
        <v>2982</v>
      </c>
      <c r="J46" s="16">
        <v>6909</v>
      </c>
      <c r="K46" s="16">
        <v>61455</v>
      </c>
    </row>
    <row r="47" spans="1:11" x14ac:dyDescent="0.3">
      <c r="A47" s="11">
        <v>41</v>
      </c>
      <c r="B47" s="15">
        <v>46300</v>
      </c>
      <c r="C47" s="16">
        <v>15953</v>
      </c>
      <c r="D47" s="16">
        <v>0</v>
      </c>
      <c r="E47" s="16">
        <v>0</v>
      </c>
      <c r="F47" s="16">
        <v>32857</v>
      </c>
      <c r="G47" s="16">
        <v>0</v>
      </c>
      <c r="H47" s="16">
        <v>0</v>
      </c>
      <c r="I47" s="16">
        <v>2982</v>
      </c>
      <c r="J47" s="16">
        <v>0</v>
      </c>
      <c r="K47" s="16">
        <v>51792</v>
      </c>
    </row>
    <row r="48" spans="1:11" x14ac:dyDescent="0.3">
      <c r="A48" s="11">
        <v>41</v>
      </c>
      <c r="B48" s="15">
        <v>46301</v>
      </c>
      <c r="C48" s="16">
        <v>14837</v>
      </c>
      <c r="D48" s="16">
        <v>4566</v>
      </c>
      <c r="E48" s="16">
        <v>0</v>
      </c>
      <c r="F48" s="16">
        <v>32486</v>
      </c>
      <c r="G48" s="16">
        <v>0</v>
      </c>
      <c r="H48" s="16">
        <v>0</v>
      </c>
      <c r="I48" s="16">
        <v>2982</v>
      </c>
      <c r="J48" s="16">
        <v>0</v>
      </c>
      <c r="K48" s="16">
        <v>54871</v>
      </c>
    </row>
    <row r="49" spans="1:11" x14ac:dyDescent="0.3">
      <c r="A49" s="11">
        <v>41</v>
      </c>
      <c r="B49" s="15">
        <v>46302</v>
      </c>
      <c r="C49" s="16">
        <v>16739</v>
      </c>
      <c r="D49" s="16">
        <v>9350</v>
      </c>
      <c r="E49" s="16">
        <v>0</v>
      </c>
      <c r="F49" s="16">
        <v>31542</v>
      </c>
      <c r="G49" s="16">
        <v>0</v>
      </c>
      <c r="H49" s="16">
        <v>0</v>
      </c>
      <c r="I49" s="16">
        <v>127</v>
      </c>
      <c r="J49" s="16">
        <v>0</v>
      </c>
      <c r="K49" s="16">
        <v>57758</v>
      </c>
    </row>
    <row r="50" spans="1:11" x14ac:dyDescent="0.3">
      <c r="A50" s="11">
        <v>41</v>
      </c>
      <c r="B50" s="15">
        <v>46303</v>
      </c>
      <c r="C50" s="16">
        <v>10834</v>
      </c>
      <c r="D50" s="16">
        <v>7153</v>
      </c>
      <c r="E50" s="16">
        <v>0</v>
      </c>
      <c r="F50" s="16">
        <v>33501</v>
      </c>
      <c r="G50" s="16">
        <v>0</v>
      </c>
      <c r="H50" s="16">
        <v>0</v>
      </c>
      <c r="I50" s="16">
        <v>0</v>
      </c>
      <c r="J50" s="16">
        <v>0</v>
      </c>
      <c r="K50" s="16">
        <v>51488</v>
      </c>
    </row>
    <row r="51" spans="1:11" x14ac:dyDescent="0.3">
      <c r="A51" s="11">
        <v>41</v>
      </c>
      <c r="B51" s="15">
        <v>46304</v>
      </c>
      <c r="C51" s="16">
        <v>7642</v>
      </c>
      <c r="D51" s="16">
        <v>8168</v>
      </c>
      <c r="E51" s="16">
        <v>0</v>
      </c>
      <c r="F51" s="16">
        <v>32073</v>
      </c>
      <c r="G51" s="16">
        <v>0</v>
      </c>
      <c r="H51" s="16">
        <v>0</v>
      </c>
      <c r="I51" s="16">
        <v>0</v>
      </c>
      <c r="J51" s="16">
        <v>0</v>
      </c>
      <c r="K51" s="16">
        <v>47883</v>
      </c>
    </row>
    <row r="52" spans="1:11" x14ac:dyDescent="0.3">
      <c r="A52" s="11">
        <v>41</v>
      </c>
      <c r="B52" s="15">
        <v>46305</v>
      </c>
      <c r="C52" s="16">
        <v>5268</v>
      </c>
      <c r="D52" s="16">
        <v>6763</v>
      </c>
      <c r="E52" s="16">
        <v>0</v>
      </c>
      <c r="F52" s="16">
        <v>31072</v>
      </c>
      <c r="G52" s="16">
        <v>0</v>
      </c>
      <c r="H52" s="16">
        <v>0</v>
      </c>
      <c r="I52" s="16">
        <v>0</v>
      </c>
      <c r="J52" s="16">
        <v>0</v>
      </c>
      <c r="K52" s="16">
        <v>43103</v>
      </c>
    </row>
    <row r="53" spans="1:11" x14ac:dyDescent="0.3">
      <c r="A53" s="11">
        <v>41</v>
      </c>
      <c r="B53" s="15">
        <v>46306</v>
      </c>
      <c r="C53" s="16">
        <v>2016</v>
      </c>
      <c r="D53" s="16">
        <v>0</v>
      </c>
      <c r="E53" s="16">
        <v>0</v>
      </c>
      <c r="F53" s="16">
        <v>30579</v>
      </c>
      <c r="G53" s="16">
        <v>0</v>
      </c>
      <c r="H53" s="16">
        <v>0</v>
      </c>
      <c r="I53" s="16">
        <v>0</v>
      </c>
      <c r="J53" s="16">
        <v>0</v>
      </c>
      <c r="K53" s="16">
        <v>32595</v>
      </c>
    </row>
    <row r="54" spans="1:11" x14ac:dyDescent="0.3">
      <c r="A54" s="11">
        <v>42</v>
      </c>
      <c r="B54" s="15">
        <v>46307</v>
      </c>
      <c r="C54" s="16">
        <v>0</v>
      </c>
      <c r="D54" s="16">
        <v>0</v>
      </c>
      <c r="E54" s="16">
        <v>0</v>
      </c>
      <c r="F54" s="16">
        <v>6202</v>
      </c>
      <c r="G54" s="16">
        <v>0</v>
      </c>
      <c r="H54" s="16">
        <v>0</v>
      </c>
      <c r="I54" s="16">
        <v>0</v>
      </c>
      <c r="J54" s="16">
        <v>0</v>
      </c>
      <c r="K54" s="16">
        <v>6202</v>
      </c>
    </row>
    <row r="55" spans="1:11" x14ac:dyDescent="0.3">
      <c r="A55" s="11">
        <v>42</v>
      </c>
      <c r="B55" s="15">
        <v>46308</v>
      </c>
      <c r="C55" s="16">
        <v>0</v>
      </c>
      <c r="D55" s="16">
        <v>4517</v>
      </c>
      <c r="E55" s="16">
        <v>0</v>
      </c>
      <c r="F55" s="16">
        <v>4879</v>
      </c>
      <c r="G55" s="16">
        <v>0</v>
      </c>
      <c r="H55" s="16">
        <v>0</v>
      </c>
      <c r="I55" s="16">
        <v>0</v>
      </c>
      <c r="J55" s="16">
        <v>0</v>
      </c>
      <c r="K55" s="16">
        <v>9396</v>
      </c>
    </row>
    <row r="56" spans="1:11" x14ac:dyDescent="0.3">
      <c r="A56" s="11">
        <v>42</v>
      </c>
      <c r="B56" s="15">
        <v>46309</v>
      </c>
      <c r="C56" s="16">
        <v>0</v>
      </c>
      <c r="D56" s="16">
        <v>8097</v>
      </c>
      <c r="E56" s="16">
        <v>0</v>
      </c>
      <c r="F56" s="16">
        <v>7643</v>
      </c>
      <c r="G56" s="16">
        <v>0</v>
      </c>
      <c r="H56" s="16">
        <v>0</v>
      </c>
      <c r="I56" s="16">
        <v>0</v>
      </c>
      <c r="J56" s="16">
        <v>0</v>
      </c>
      <c r="K56" s="16">
        <v>15740</v>
      </c>
    </row>
    <row r="57" spans="1:11" x14ac:dyDescent="0.3">
      <c r="A57" s="11">
        <v>42</v>
      </c>
      <c r="B57" s="15">
        <v>46310</v>
      </c>
      <c r="C57" s="16">
        <v>0</v>
      </c>
      <c r="D57" s="16">
        <v>7916</v>
      </c>
      <c r="E57" s="16">
        <v>0</v>
      </c>
      <c r="F57" s="16">
        <v>7398</v>
      </c>
      <c r="G57" s="16">
        <v>0</v>
      </c>
      <c r="H57" s="16">
        <v>0</v>
      </c>
      <c r="I57" s="16">
        <v>0</v>
      </c>
      <c r="J57" s="16">
        <v>0</v>
      </c>
      <c r="K57" s="16">
        <v>15314</v>
      </c>
    </row>
    <row r="58" spans="1:11" x14ac:dyDescent="0.3">
      <c r="A58" s="11">
        <v>42</v>
      </c>
      <c r="B58" s="15">
        <v>46311</v>
      </c>
      <c r="C58" s="16">
        <v>0</v>
      </c>
      <c r="D58" s="16">
        <v>9289</v>
      </c>
      <c r="E58" s="16">
        <v>0</v>
      </c>
      <c r="F58" s="16">
        <v>7064</v>
      </c>
      <c r="G58" s="16">
        <v>0</v>
      </c>
      <c r="H58" s="16">
        <v>0</v>
      </c>
      <c r="I58" s="16">
        <v>0</v>
      </c>
      <c r="J58" s="16">
        <v>0</v>
      </c>
      <c r="K58" s="16">
        <v>16353</v>
      </c>
    </row>
    <row r="59" spans="1:11" x14ac:dyDescent="0.3">
      <c r="A59" s="11">
        <v>42</v>
      </c>
      <c r="B59" s="15">
        <v>46312</v>
      </c>
      <c r="C59" s="16">
        <v>0</v>
      </c>
      <c r="D59" s="16">
        <v>7382</v>
      </c>
      <c r="E59" s="16">
        <v>0</v>
      </c>
      <c r="F59" s="16">
        <v>6172</v>
      </c>
      <c r="G59" s="16">
        <v>0</v>
      </c>
      <c r="H59" s="16">
        <v>0</v>
      </c>
      <c r="I59" s="16">
        <v>0</v>
      </c>
      <c r="J59" s="16">
        <v>0</v>
      </c>
      <c r="K59" s="16">
        <v>13554</v>
      </c>
    </row>
    <row r="60" spans="1:11" x14ac:dyDescent="0.3">
      <c r="A60" s="11">
        <v>42</v>
      </c>
      <c r="B60" s="15">
        <v>46313</v>
      </c>
      <c r="C60" s="16">
        <v>0</v>
      </c>
      <c r="D60" s="16">
        <v>0</v>
      </c>
      <c r="E60" s="16">
        <v>0</v>
      </c>
      <c r="F60" s="16">
        <v>5180</v>
      </c>
      <c r="G60" s="16">
        <v>0</v>
      </c>
      <c r="H60" s="16">
        <v>0</v>
      </c>
      <c r="I60" s="16">
        <v>0</v>
      </c>
      <c r="J60" s="16">
        <v>0</v>
      </c>
      <c r="K60" s="16">
        <v>5180</v>
      </c>
    </row>
    <row r="61" spans="1:11" x14ac:dyDescent="0.3">
      <c r="A61" s="11">
        <v>43</v>
      </c>
      <c r="B61" s="15">
        <v>46314</v>
      </c>
      <c r="C61" s="16">
        <v>0</v>
      </c>
      <c r="D61" s="16">
        <v>0</v>
      </c>
      <c r="E61" s="16">
        <v>0</v>
      </c>
      <c r="F61" s="16">
        <v>3520</v>
      </c>
      <c r="G61" s="16">
        <v>0</v>
      </c>
      <c r="H61" s="16">
        <v>0</v>
      </c>
      <c r="I61" s="16">
        <v>0</v>
      </c>
      <c r="J61" s="16">
        <v>0</v>
      </c>
      <c r="K61" s="16">
        <v>3520</v>
      </c>
    </row>
    <row r="62" spans="1:11" x14ac:dyDescent="0.3">
      <c r="A62" s="11">
        <v>43</v>
      </c>
      <c r="B62" s="15">
        <v>46315</v>
      </c>
      <c r="C62" s="16">
        <v>0</v>
      </c>
      <c r="D62" s="16">
        <v>3994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3994</v>
      </c>
    </row>
    <row r="63" spans="1:11" x14ac:dyDescent="0.3">
      <c r="A63" s="11">
        <v>43</v>
      </c>
      <c r="B63" s="15">
        <v>46316</v>
      </c>
      <c r="C63" s="16">
        <v>0</v>
      </c>
      <c r="D63" s="16">
        <v>7750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7750</v>
      </c>
    </row>
    <row r="64" spans="1:11" x14ac:dyDescent="0.3">
      <c r="A64" s="11">
        <v>43</v>
      </c>
      <c r="B64" s="15">
        <v>46317</v>
      </c>
      <c r="C64" s="16">
        <v>0</v>
      </c>
      <c r="D64" s="16">
        <v>8953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8953</v>
      </c>
    </row>
    <row r="65" spans="1:11" x14ac:dyDescent="0.3">
      <c r="A65" s="11">
        <v>43</v>
      </c>
      <c r="B65" s="15">
        <v>46318</v>
      </c>
      <c r="C65" s="16">
        <v>0</v>
      </c>
      <c r="D65" s="16">
        <v>8509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8509</v>
      </c>
    </row>
    <row r="66" spans="1:11" x14ac:dyDescent="0.3">
      <c r="A66" s="11">
        <v>43</v>
      </c>
      <c r="B66" s="15">
        <v>46319</v>
      </c>
      <c r="C66" s="16">
        <v>0</v>
      </c>
      <c r="D66" s="16">
        <v>7195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7195</v>
      </c>
    </row>
    <row r="67" spans="1:11" x14ac:dyDescent="0.3">
      <c r="A67" s="11">
        <v>44</v>
      </c>
      <c r="B67" s="15">
        <v>46322</v>
      </c>
      <c r="C67" s="16">
        <v>0</v>
      </c>
      <c r="D67" s="16">
        <v>4566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4566</v>
      </c>
    </row>
    <row r="68" spans="1:11" x14ac:dyDescent="0.3">
      <c r="A68" s="11">
        <v>44</v>
      </c>
      <c r="B68" s="15">
        <v>46323</v>
      </c>
      <c r="C68" s="16">
        <v>0</v>
      </c>
      <c r="D68" s="16">
        <v>9350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9350</v>
      </c>
    </row>
    <row r="69" spans="1:11" x14ac:dyDescent="0.3">
      <c r="A69" s="11">
        <v>44</v>
      </c>
      <c r="B69" s="15">
        <v>46324</v>
      </c>
      <c r="C69" s="16">
        <v>0</v>
      </c>
      <c r="D69" s="16">
        <v>7153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7153</v>
      </c>
    </row>
    <row r="70" spans="1:11" x14ac:dyDescent="0.3">
      <c r="A70" s="11">
        <v>44</v>
      </c>
      <c r="B70" s="15">
        <v>46325</v>
      </c>
      <c r="C70" s="16">
        <v>0</v>
      </c>
      <c r="D70" s="16">
        <v>8168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8168</v>
      </c>
    </row>
    <row r="71" spans="1:11" x14ac:dyDescent="0.3">
      <c r="A71" s="11">
        <v>44</v>
      </c>
      <c r="B71" s="15">
        <v>46326</v>
      </c>
      <c r="C71" s="16">
        <v>0</v>
      </c>
      <c r="D71" s="16">
        <v>6763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6763</v>
      </c>
    </row>
    <row r="72" spans="1:11" x14ac:dyDescent="0.3">
      <c r="A72" s="11">
        <v>45</v>
      </c>
      <c r="B72" s="15">
        <v>46329</v>
      </c>
      <c r="C72" s="16">
        <v>0</v>
      </c>
      <c r="D72" s="16">
        <v>4517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4517</v>
      </c>
    </row>
    <row r="73" spans="1:11" x14ac:dyDescent="0.3">
      <c r="A73" s="11">
        <v>45</v>
      </c>
      <c r="B73" s="15">
        <v>46330</v>
      </c>
      <c r="C73" s="16">
        <v>0</v>
      </c>
      <c r="D73" s="16">
        <v>8097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8097</v>
      </c>
    </row>
    <row r="74" spans="1:11" x14ac:dyDescent="0.3">
      <c r="A74" s="11">
        <v>45</v>
      </c>
      <c r="B74" s="15">
        <v>46331</v>
      </c>
      <c r="C74" s="16">
        <v>0</v>
      </c>
      <c r="D74" s="16">
        <v>7916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7916</v>
      </c>
    </row>
    <row r="75" spans="1:11" x14ac:dyDescent="0.3">
      <c r="A75" s="11">
        <v>45</v>
      </c>
      <c r="B75" s="15">
        <v>46332</v>
      </c>
      <c r="C75" s="16">
        <v>0</v>
      </c>
      <c r="D75" s="16">
        <v>9289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9289</v>
      </c>
    </row>
    <row r="76" spans="1:11" x14ac:dyDescent="0.3">
      <c r="A76" s="11">
        <v>45</v>
      </c>
      <c r="B76" s="15">
        <v>46333</v>
      </c>
      <c r="C76" s="16">
        <v>0</v>
      </c>
      <c r="D76" s="16">
        <v>7382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7382</v>
      </c>
    </row>
    <row r="77" spans="1:11" x14ac:dyDescent="0.3">
      <c r="A77" s="11">
        <v>46</v>
      </c>
      <c r="B77" s="15">
        <v>46336</v>
      </c>
      <c r="C77" s="16">
        <v>0</v>
      </c>
      <c r="D77" s="16">
        <v>3994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3994</v>
      </c>
    </row>
    <row r="78" spans="1:11" x14ac:dyDescent="0.3">
      <c r="A78" s="11">
        <v>46</v>
      </c>
      <c r="B78" s="15">
        <v>46337</v>
      </c>
      <c r="C78" s="16">
        <v>0</v>
      </c>
      <c r="D78" s="16">
        <v>7750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7750</v>
      </c>
    </row>
    <row r="79" spans="1:11" x14ac:dyDescent="0.3">
      <c r="A79" s="11">
        <v>46</v>
      </c>
      <c r="B79" s="15">
        <v>46338</v>
      </c>
      <c r="C79" s="16">
        <v>0</v>
      </c>
      <c r="D79" s="16">
        <v>8953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8953</v>
      </c>
    </row>
    <row r="80" spans="1:11" x14ac:dyDescent="0.3">
      <c r="A80" s="11">
        <v>46</v>
      </c>
      <c r="B80" s="15">
        <v>46339</v>
      </c>
      <c r="C80" s="16">
        <v>0</v>
      </c>
      <c r="D80" s="16">
        <v>8509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8509</v>
      </c>
    </row>
    <row r="81" spans="1:11" x14ac:dyDescent="0.3">
      <c r="A81" s="11">
        <v>46</v>
      </c>
      <c r="B81" s="15">
        <v>46340</v>
      </c>
      <c r="C81" s="16">
        <v>0</v>
      </c>
      <c r="D81" s="16">
        <v>7195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7195</v>
      </c>
    </row>
  </sheetData>
  <autoFilter ref="A1:K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Y61"/>
  <sheetViews>
    <sheetView topLeftCell="A37" zoomScale="40" workbookViewId="0">
      <selection activeCell="AZ71" sqref="AZ71"/>
    </sheetView>
  </sheetViews>
  <sheetFormatPr baseColWidth="10" defaultColWidth="9.109375" defaultRowHeight="24" x14ac:dyDescent="0.35"/>
  <cols>
    <col min="1" max="3" width="9.109375" style="1" customWidth="1"/>
    <col min="4" max="250" width="3" style="1" customWidth="1"/>
    <col min="251" max="251" width="9.109375" style="1" customWidth="1"/>
    <col min="252" max="16384" width="9.109375" style="1"/>
  </cols>
  <sheetData>
    <row r="1" spans="1:176" x14ac:dyDescent="0.35">
      <c r="A1" s="83" t="s">
        <v>0</v>
      </c>
      <c r="B1" s="69"/>
      <c r="C1" s="69"/>
      <c r="D1" s="69" t="s">
        <v>1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80" t="s">
        <v>2</v>
      </c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9"/>
      <c r="EY1" s="69"/>
      <c r="EZ1" s="69"/>
      <c r="FA1" s="69"/>
      <c r="FB1" s="69"/>
      <c r="FC1" s="69"/>
      <c r="FD1" s="69"/>
      <c r="FE1" s="69"/>
      <c r="FF1" s="69"/>
      <c r="FG1" s="69"/>
      <c r="FH1" s="69"/>
      <c r="FI1" s="69"/>
      <c r="FJ1" s="69"/>
      <c r="FK1" s="69"/>
      <c r="FL1" s="69"/>
      <c r="FM1" s="69"/>
      <c r="FN1" s="69"/>
      <c r="FO1" s="69"/>
      <c r="FP1" s="69"/>
      <c r="FQ1" s="69"/>
      <c r="FR1" s="69"/>
      <c r="FS1" s="69"/>
      <c r="FT1" s="70"/>
    </row>
    <row r="2" spans="1:176" x14ac:dyDescent="0.35">
      <c r="A2" s="84" t="s">
        <v>3</v>
      </c>
      <c r="B2" s="21"/>
      <c r="C2" s="21"/>
      <c r="D2" s="21" t="s">
        <v>4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74"/>
    </row>
    <row r="3" spans="1:176" x14ac:dyDescent="0.35">
      <c r="A3" s="84" t="s">
        <v>5</v>
      </c>
      <c r="B3" s="21"/>
      <c r="C3" s="21"/>
      <c r="D3" s="21" t="s">
        <v>6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74"/>
    </row>
    <row r="4" spans="1:176" x14ac:dyDescent="0.35">
      <c r="A4" s="85" t="s">
        <v>7</v>
      </c>
      <c r="B4" s="81"/>
      <c r="C4" s="81"/>
      <c r="D4" s="81" t="s">
        <v>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  <c r="DF4" s="81"/>
      <c r="DG4" s="81"/>
      <c r="DH4" s="81"/>
      <c r="DI4" s="81"/>
      <c r="DJ4" s="81"/>
      <c r="DK4" s="81"/>
      <c r="DL4" s="81"/>
      <c r="DM4" s="81"/>
      <c r="DN4" s="81"/>
      <c r="DO4" s="81"/>
      <c r="DP4" s="81"/>
      <c r="DQ4" s="81"/>
      <c r="DR4" s="81"/>
      <c r="DS4" s="81"/>
      <c r="DT4" s="81"/>
      <c r="DU4" s="81"/>
      <c r="DV4" s="81"/>
      <c r="DW4" s="81"/>
      <c r="DX4" s="81"/>
      <c r="DY4" s="81"/>
      <c r="DZ4" s="81"/>
      <c r="EA4" s="81"/>
      <c r="EB4" s="81"/>
      <c r="EC4" s="81"/>
      <c r="ED4" s="81"/>
      <c r="EE4" s="81"/>
      <c r="EF4" s="81"/>
      <c r="EG4" s="81"/>
      <c r="EH4" s="81"/>
      <c r="EI4" s="81"/>
      <c r="EJ4" s="81"/>
      <c r="EK4" s="81"/>
      <c r="EL4" s="81"/>
      <c r="EM4" s="81"/>
      <c r="EN4" s="81"/>
      <c r="EO4" s="81"/>
      <c r="EP4" s="81"/>
      <c r="EQ4" s="81"/>
      <c r="ER4" s="81"/>
      <c r="ES4" s="81"/>
      <c r="ET4" s="81"/>
      <c r="EU4" s="81"/>
      <c r="EV4" s="81"/>
      <c r="EW4" s="81"/>
      <c r="EX4" s="81"/>
      <c r="EY4" s="81"/>
      <c r="EZ4" s="81"/>
      <c r="FA4" s="81"/>
      <c r="FB4" s="81"/>
      <c r="FC4" s="81"/>
      <c r="FD4" s="81"/>
      <c r="FE4" s="81"/>
      <c r="FF4" s="81"/>
      <c r="FG4" s="81"/>
      <c r="FH4" s="81"/>
      <c r="FI4" s="81"/>
      <c r="FJ4" s="81"/>
      <c r="FK4" s="81"/>
      <c r="FL4" s="81"/>
      <c r="FM4" s="81"/>
      <c r="FN4" s="81"/>
      <c r="FO4" s="81"/>
      <c r="FP4" s="81"/>
      <c r="FQ4" s="81"/>
      <c r="FR4" s="81"/>
      <c r="FS4" s="81"/>
      <c r="FT4" s="82"/>
    </row>
    <row r="5" spans="1:176" x14ac:dyDescent="0.35">
      <c r="A5" s="4"/>
      <c r="FT5" s="6"/>
    </row>
    <row r="6" spans="1:176" x14ac:dyDescent="0.35">
      <c r="A6" s="78" t="s">
        <v>5</v>
      </c>
      <c r="B6" s="79"/>
      <c r="C6" s="79"/>
      <c r="D6" s="79" t="s">
        <v>9</v>
      </c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 t="s">
        <v>10</v>
      </c>
      <c r="AC6" s="79"/>
      <c r="AD6" s="79"/>
      <c r="AE6" s="79"/>
      <c r="AF6" s="79"/>
      <c r="AG6" s="79"/>
      <c r="AH6" s="79"/>
      <c r="AI6" s="79"/>
      <c r="AJ6" s="79" t="s">
        <v>11</v>
      </c>
      <c r="AK6" s="79"/>
      <c r="AL6" s="79"/>
      <c r="AM6" s="79"/>
      <c r="AN6" s="79"/>
      <c r="FT6" s="6"/>
    </row>
    <row r="7" spans="1:176" x14ac:dyDescent="0.35">
      <c r="A7" s="4"/>
      <c r="FT7" s="6"/>
    </row>
    <row r="8" spans="1:176" x14ac:dyDescent="0.35">
      <c r="A8" s="4"/>
      <c r="D8" s="68" t="s">
        <v>12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70"/>
      <c r="AB8" s="68" t="s">
        <v>13</v>
      </c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70"/>
      <c r="AZ8" s="68" t="s">
        <v>14</v>
      </c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70"/>
      <c r="BX8" s="68" t="s">
        <v>15</v>
      </c>
      <c r="BY8" s="69"/>
      <c r="BZ8" s="69"/>
      <c r="CA8" s="69"/>
      <c r="CB8" s="69"/>
      <c r="CC8" s="69"/>
      <c r="CD8" s="69"/>
      <c r="CE8" s="69"/>
      <c r="CF8" s="69"/>
      <c r="CG8" s="69"/>
      <c r="CH8" s="69"/>
      <c r="CI8" s="69"/>
      <c r="CJ8" s="69"/>
      <c r="CK8" s="69"/>
      <c r="CL8" s="69"/>
      <c r="CM8" s="69"/>
      <c r="CN8" s="69"/>
      <c r="CO8" s="69"/>
      <c r="CP8" s="69"/>
      <c r="CQ8" s="69"/>
      <c r="CR8" s="69"/>
      <c r="CS8" s="69"/>
      <c r="CT8" s="69"/>
      <c r="CU8" s="70"/>
      <c r="CV8" s="68" t="s">
        <v>16</v>
      </c>
      <c r="CW8" s="69"/>
      <c r="CX8" s="69"/>
      <c r="CY8" s="69"/>
      <c r="CZ8" s="69"/>
      <c r="DA8" s="69"/>
      <c r="DB8" s="69"/>
      <c r="DC8" s="69"/>
      <c r="DD8" s="69"/>
      <c r="DE8" s="69"/>
      <c r="DF8" s="69"/>
      <c r="DG8" s="69"/>
      <c r="DH8" s="69"/>
      <c r="DI8" s="69"/>
      <c r="DJ8" s="69"/>
      <c r="DK8" s="69"/>
      <c r="DL8" s="69"/>
      <c r="DM8" s="69"/>
      <c r="DN8" s="69"/>
      <c r="DO8" s="69"/>
      <c r="DP8" s="69"/>
      <c r="DQ8" s="69"/>
      <c r="DR8" s="69"/>
      <c r="DS8" s="70"/>
      <c r="DT8" s="68" t="s">
        <v>17</v>
      </c>
      <c r="DU8" s="69"/>
      <c r="DV8" s="69"/>
      <c r="DW8" s="69"/>
      <c r="DX8" s="69"/>
      <c r="DY8" s="69"/>
      <c r="DZ8" s="69"/>
      <c r="EA8" s="69"/>
      <c r="EB8" s="69"/>
      <c r="EC8" s="69"/>
      <c r="ED8" s="69"/>
      <c r="EE8" s="69"/>
      <c r="EF8" s="69"/>
      <c r="EG8" s="69"/>
      <c r="EH8" s="69"/>
      <c r="EI8" s="69"/>
      <c r="EJ8" s="69"/>
      <c r="EK8" s="69"/>
      <c r="EL8" s="69"/>
      <c r="EM8" s="69"/>
      <c r="EN8" s="69"/>
      <c r="EO8" s="69"/>
      <c r="EP8" s="69"/>
      <c r="EQ8" s="70"/>
      <c r="ER8" s="68" t="s">
        <v>18</v>
      </c>
      <c r="ES8" s="69"/>
      <c r="ET8" s="69"/>
      <c r="EU8" s="69"/>
      <c r="EV8" s="69"/>
      <c r="EW8" s="69"/>
      <c r="EX8" s="69"/>
      <c r="EY8" s="69"/>
      <c r="EZ8" s="69"/>
      <c r="FA8" s="69"/>
      <c r="FB8" s="69"/>
      <c r="FC8" s="69"/>
      <c r="FD8" s="69"/>
      <c r="FE8" s="69"/>
      <c r="FF8" s="69"/>
      <c r="FG8" s="69"/>
      <c r="FH8" s="69"/>
      <c r="FI8" s="69"/>
      <c r="FJ8" s="69"/>
      <c r="FK8" s="69"/>
      <c r="FL8" s="69"/>
      <c r="FM8" s="69"/>
      <c r="FN8" s="69"/>
      <c r="FO8" s="70"/>
      <c r="FP8" s="75" t="s">
        <v>19</v>
      </c>
      <c r="FQ8" s="76"/>
      <c r="FR8" s="76"/>
      <c r="FS8" s="76"/>
      <c r="FT8" s="76"/>
    </row>
    <row r="9" spans="1:176" x14ac:dyDescent="0.35">
      <c r="A9" s="4"/>
      <c r="D9" s="71" t="s">
        <v>20</v>
      </c>
      <c r="E9" s="21"/>
      <c r="F9" s="21"/>
      <c r="G9" s="21"/>
      <c r="H9" s="21"/>
      <c r="I9" s="21"/>
      <c r="J9" s="21"/>
      <c r="K9" s="21"/>
      <c r="L9" s="72" t="s">
        <v>21</v>
      </c>
      <c r="M9" s="21"/>
      <c r="N9" s="21"/>
      <c r="O9" s="21"/>
      <c r="P9" s="21"/>
      <c r="Q9" s="21"/>
      <c r="R9" s="21"/>
      <c r="S9" s="21"/>
      <c r="T9" s="73" t="s">
        <v>22</v>
      </c>
      <c r="U9" s="21"/>
      <c r="V9" s="21"/>
      <c r="W9" s="21"/>
      <c r="X9" s="21"/>
      <c r="Y9" s="21"/>
      <c r="Z9" s="21"/>
      <c r="AA9" s="74"/>
      <c r="AB9" s="71" t="s">
        <v>20</v>
      </c>
      <c r="AC9" s="21"/>
      <c r="AD9" s="21"/>
      <c r="AE9" s="21"/>
      <c r="AF9" s="21"/>
      <c r="AG9" s="21"/>
      <c r="AH9" s="21"/>
      <c r="AI9" s="21"/>
      <c r="AJ9" s="72" t="s">
        <v>21</v>
      </c>
      <c r="AK9" s="21"/>
      <c r="AL9" s="21"/>
      <c r="AM9" s="21"/>
      <c r="AN9" s="21"/>
      <c r="AO9" s="21"/>
      <c r="AP9" s="21"/>
      <c r="AQ9" s="21"/>
      <c r="AR9" s="73" t="s">
        <v>22</v>
      </c>
      <c r="AS9" s="21"/>
      <c r="AT9" s="21"/>
      <c r="AU9" s="21"/>
      <c r="AV9" s="21"/>
      <c r="AW9" s="21"/>
      <c r="AX9" s="21"/>
      <c r="AY9" s="74"/>
      <c r="AZ9" s="71" t="s">
        <v>20</v>
      </c>
      <c r="BA9" s="21"/>
      <c r="BB9" s="21"/>
      <c r="BC9" s="21"/>
      <c r="BD9" s="21"/>
      <c r="BE9" s="21"/>
      <c r="BF9" s="21"/>
      <c r="BG9" s="21"/>
      <c r="BH9" s="72" t="s">
        <v>21</v>
      </c>
      <c r="BI9" s="21"/>
      <c r="BJ9" s="21"/>
      <c r="BK9" s="21"/>
      <c r="BL9" s="21"/>
      <c r="BM9" s="21"/>
      <c r="BN9" s="21"/>
      <c r="BO9" s="21"/>
      <c r="BP9" s="73" t="s">
        <v>22</v>
      </c>
      <c r="BQ9" s="21"/>
      <c r="BR9" s="21"/>
      <c r="BS9" s="21"/>
      <c r="BT9" s="21"/>
      <c r="BU9" s="21"/>
      <c r="BV9" s="21"/>
      <c r="BW9" s="74"/>
      <c r="BX9" s="71" t="s">
        <v>20</v>
      </c>
      <c r="BY9" s="21"/>
      <c r="BZ9" s="21"/>
      <c r="CA9" s="21"/>
      <c r="CB9" s="21"/>
      <c r="CC9" s="21"/>
      <c r="CD9" s="21"/>
      <c r="CE9" s="21"/>
      <c r="CF9" s="72" t="s">
        <v>21</v>
      </c>
      <c r="CG9" s="21"/>
      <c r="CH9" s="21"/>
      <c r="CI9" s="21"/>
      <c r="CJ9" s="21"/>
      <c r="CK9" s="21"/>
      <c r="CL9" s="21"/>
      <c r="CM9" s="21"/>
      <c r="CN9" s="73" t="s">
        <v>22</v>
      </c>
      <c r="CO9" s="21"/>
      <c r="CP9" s="21"/>
      <c r="CQ9" s="21"/>
      <c r="CR9" s="21"/>
      <c r="CS9" s="21"/>
      <c r="CT9" s="21"/>
      <c r="CU9" s="74"/>
      <c r="CV9" s="71" t="s">
        <v>20</v>
      </c>
      <c r="CW9" s="21"/>
      <c r="CX9" s="21"/>
      <c r="CY9" s="21"/>
      <c r="CZ9" s="21"/>
      <c r="DA9" s="21"/>
      <c r="DB9" s="21"/>
      <c r="DC9" s="21"/>
      <c r="DD9" s="72" t="s">
        <v>21</v>
      </c>
      <c r="DE9" s="21"/>
      <c r="DF9" s="21"/>
      <c r="DG9" s="21"/>
      <c r="DH9" s="21"/>
      <c r="DI9" s="21"/>
      <c r="DJ9" s="21"/>
      <c r="DK9" s="21"/>
      <c r="DL9" s="73" t="s">
        <v>22</v>
      </c>
      <c r="DM9" s="21"/>
      <c r="DN9" s="21"/>
      <c r="DO9" s="21"/>
      <c r="DP9" s="21"/>
      <c r="DQ9" s="21"/>
      <c r="DR9" s="21"/>
      <c r="DS9" s="74"/>
      <c r="DT9" s="71" t="s">
        <v>20</v>
      </c>
      <c r="DU9" s="21"/>
      <c r="DV9" s="21"/>
      <c r="DW9" s="21"/>
      <c r="DX9" s="21"/>
      <c r="DY9" s="21"/>
      <c r="DZ9" s="21"/>
      <c r="EA9" s="21"/>
      <c r="EB9" s="72" t="s">
        <v>21</v>
      </c>
      <c r="EC9" s="21"/>
      <c r="ED9" s="21"/>
      <c r="EE9" s="21"/>
      <c r="EF9" s="21"/>
      <c r="EG9" s="21"/>
      <c r="EH9" s="21"/>
      <c r="EI9" s="21"/>
      <c r="EJ9" s="73" t="s">
        <v>22</v>
      </c>
      <c r="EK9" s="21"/>
      <c r="EL9" s="21"/>
      <c r="EM9" s="21"/>
      <c r="EN9" s="21"/>
      <c r="EO9" s="21"/>
      <c r="EP9" s="21"/>
      <c r="EQ9" s="74"/>
      <c r="ER9" s="71" t="s">
        <v>20</v>
      </c>
      <c r="ES9" s="21"/>
      <c r="ET9" s="21"/>
      <c r="EU9" s="21"/>
      <c r="EV9" s="21"/>
      <c r="EW9" s="21"/>
      <c r="EX9" s="21"/>
      <c r="EY9" s="21"/>
      <c r="EZ9" s="72" t="s">
        <v>21</v>
      </c>
      <c r="FA9" s="21"/>
      <c r="FB9" s="21"/>
      <c r="FC9" s="21"/>
      <c r="FD9" s="21"/>
      <c r="FE9" s="21"/>
      <c r="FF9" s="21"/>
      <c r="FG9" s="21"/>
      <c r="FH9" s="73" t="s">
        <v>22</v>
      </c>
      <c r="FI9" s="21"/>
      <c r="FJ9" s="21"/>
      <c r="FK9" s="21"/>
      <c r="FL9" s="21"/>
      <c r="FM9" s="21"/>
      <c r="FN9" s="21"/>
      <c r="FO9" s="74"/>
      <c r="FP9" s="76"/>
      <c r="FQ9" s="76"/>
      <c r="FR9" s="76"/>
      <c r="FS9" s="76"/>
      <c r="FT9" s="76"/>
    </row>
    <row r="10" spans="1:176" s="2" customFormat="1" ht="58.05" customHeight="1" x14ac:dyDescent="0.3">
      <c r="A10" s="5"/>
      <c r="D10" s="7">
        <v>0</v>
      </c>
      <c r="E10" s="8">
        <v>4.1666666666666699E-2</v>
      </c>
      <c r="F10" s="8">
        <v>8.3333333333333301E-2</v>
      </c>
      <c r="G10" s="8">
        <v>0.125</v>
      </c>
      <c r="H10" s="8">
        <v>0.16666666666666699</v>
      </c>
      <c r="I10" s="8">
        <v>0.20833333333333301</v>
      </c>
      <c r="J10" s="8">
        <v>0.25</v>
      </c>
      <c r="K10" s="8">
        <v>0.29166666666666702</v>
      </c>
      <c r="L10" s="8">
        <v>0.33333333333333298</v>
      </c>
      <c r="M10" s="8">
        <v>0.375</v>
      </c>
      <c r="N10" s="8">
        <v>0.41666666666666702</v>
      </c>
      <c r="O10" s="8">
        <v>0.45833333333333298</v>
      </c>
      <c r="P10" s="8">
        <v>0.5</v>
      </c>
      <c r="Q10" s="8">
        <v>0.54166666666666696</v>
      </c>
      <c r="R10" s="8">
        <v>0.58333333333333304</v>
      </c>
      <c r="S10" s="8">
        <v>0.625</v>
      </c>
      <c r="T10" s="8">
        <v>0.66666666666666696</v>
      </c>
      <c r="U10" s="8">
        <v>0.70833333333333304</v>
      </c>
      <c r="V10" s="8">
        <v>0.75</v>
      </c>
      <c r="W10" s="8">
        <v>0.79166666666666696</v>
      </c>
      <c r="X10" s="8">
        <v>0.83333333333333304</v>
      </c>
      <c r="Y10" s="8">
        <v>0.875</v>
      </c>
      <c r="Z10" s="8">
        <v>0.91666666666666696</v>
      </c>
      <c r="AA10" s="9">
        <v>0.95833333333333304</v>
      </c>
      <c r="AB10" s="7">
        <v>0</v>
      </c>
      <c r="AC10" s="8">
        <v>4.1666666666666699E-2</v>
      </c>
      <c r="AD10" s="8">
        <v>8.3333333333333301E-2</v>
      </c>
      <c r="AE10" s="8">
        <v>0.125</v>
      </c>
      <c r="AF10" s="8">
        <v>0.16666666666666699</v>
      </c>
      <c r="AG10" s="8">
        <v>0.20833333333333301</v>
      </c>
      <c r="AH10" s="8">
        <v>0.25</v>
      </c>
      <c r="AI10" s="8">
        <v>0.29166666666666702</v>
      </c>
      <c r="AJ10" s="8">
        <v>0.33333333333333298</v>
      </c>
      <c r="AK10" s="8">
        <v>0.375</v>
      </c>
      <c r="AL10" s="8">
        <v>0.41666666666666702</v>
      </c>
      <c r="AM10" s="8">
        <v>0.45833333333333298</v>
      </c>
      <c r="AN10" s="8">
        <v>0.5</v>
      </c>
      <c r="AO10" s="8">
        <v>0.54166666666666696</v>
      </c>
      <c r="AP10" s="8">
        <v>0.58333333333333304</v>
      </c>
      <c r="AQ10" s="8">
        <v>0.625</v>
      </c>
      <c r="AR10" s="8">
        <v>0.66666666666666696</v>
      </c>
      <c r="AS10" s="8">
        <v>0.70833333333333304</v>
      </c>
      <c r="AT10" s="8">
        <v>0.75</v>
      </c>
      <c r="AU10" s="8">
        <v>0.79166666666666696</v>
      </c>
      <c r="AV10" s="8">
        <v>0.83333333333333304</v>
      </c>
      <c r="AW10" s="8">
        <v>0.875</v>
      </c>
      <c r="AX10" s="8">
        <v>0.91666666666666696</v>
      </c>
      <c r="AY10" s="9">
        <v>0.95833333333333304</v>
      </c>
      <c r="AZ10" s="7">
        <v>0</v>
      </c>
      <c r="BA10" s="8">
        <v>4.1666666666666699E-2</v>
      </c>
      <c r="BB10" s="8">
        <v>8.3333333333333301E-2</v>
      </c>
      <c r="BC10" s="8">
        <v>0.125</v>
      </c>
      <c r="BD10" s="8">
        <v>0.16666666666666699</v>
      </c>
      <c r="BE10" s="8">
        <v>0.20833333333333301</v>
      </c>
      <c r="BF10" s="8">
        <v>0.25</v>
      </c>
      <c r="BG10" s="8">
        <v>0.29166666666666702</v>
      </c>
      <c r="BH10" s="8">
        <v>0.33333333333333298</v>
      </c>
      <c r="BI10" s="8">
        <v>0.375</v>
      </c>
      <c r="BJ10" s="8">
        <v>0.41666666666666702</v>
      </c>
      <c r="BK10" s="8">
        <v>0.45833333333333298</v>
      </c>
      <c r="BL10" s="8">
        <v>0.5</v>
      </c>
      <c r="BM10" s="8">
        <v>0.54166666666666696</v>
      </c>
      <c r="BN10" s="8">
        <v>0.58333333333333304</v>
      </c>
      <c r="BO10" s="8">
        <v>0.625</v>
      </c>
      <c r="BP10" s="8">
        <v>0.66666666666666696</v>
      </c>
      <c r="BQ10" s="8">
        <v>0.70833333333333304</v>
      </c>
      <c r="BR10" s="8">
        <v>0.75</v>
      </c>
      <c r="BS10" s="8">
        <v>0.79166666666666696</v>
      </c>
      <c r="BT10" s="8">
        <v>0.83333333333333304</v>
      </c>
      <c r="BU10" s="8">
        <v>0.875</v>
      </c>
      <c r="BV10" s="8">
        <v>0.91666666666666696</v>
      </c>
      <c r="BW10" s="9">
        <v>0.95833333333333304</v>
      </c>
      <c r="BX10" s="7">
        <v>0</v>
      </c>
      <c r="BY10" s="8">
        <v>4.1666666666666699E-2</v>
      </c>
      <c r="BZ10" s="8">
        <v>8.3333333333333301E-2</v>
      </c>
      <c r="CA10" s="8">
        <v>0.125</v>
      </c>
      <c r="CB10" s="8">
        <v>0.16666666666666699</v>
      </c>
      <c r="CC10" s="8">
        <v>0.20833333333333301</v>
      </c>
      <c r="CD10" s="8">
        <v>0.25</v>
      </c>
      <c r="CE10" s="8">
        <v>0.29166666666666702</v>
      </c>
      <c r="CF10" s="8">
        <v>0.33333333333333298</v>
      </c>
      <c r="CG10" s="8">
        <v>0.375</v>
      </c>
      <c r="CH10" s="8">
        <v>0.41666666666666702</v>
      </c>
      <c r="CI10" s="8">
        <v>0.45833333333333298</v>
      </c>
      <c r="CJ10" s="8">
        <v>0.5</v>
      </c>
      <c r="CK10" s="8">
        <v>0.54166666666666696</v>
      </c>
      <c r="CL10" s="8">
        <v>0.58333333333333304</v>
      </c>
      <c r="CM10" s="8">
        <v>0.625</v>
      </c>
      <c r="CN10" s="8">
        <v>0.66666666666666696</v>
      </c>
      <c r="CO10" s="8">
        <v>0.70833333333333304</v>
      </c>
      <c r="CP10" s="8">
        <v>0.75</v>
      </c>
      <c r="CQ10" s="8">
        <v>0.79166666666666696</v>
      </c>
      <c r="CR10" s="8">
        <v>0.83333333333333304</v>
      </c>
      <c r="CS10" s="8">
        <v>0.875</v>
      </c>
      <c r="CT10" s="8">
        <v>0.91666666666666696</v>
      </c>
      <c r="CU10" s="9">
        <v>0.95833333333333304</v>
      </c>
      <c r="CV10" s="7">
        <v>0</v>
      </c>
      <c r="CW10" s="8">
        <v>4.1666666666666699E-2</v>
      </c>
      <c r="CX10" s="8">
        <v>8.3333333333333301E-2</v>
      </c>
      <c r="CY10" s="8">
        <v>0.125</v>
      </c>
      <c r="CZ10" s="8">
        <v>0.16666666666666699</v>
      </c>
      <c r="DA10" s="8">
        <v>0.20833333333333301</v>
      </c>
      <c r="DB10" s="8">
        <v>0.25</v>
      </c>
      <c r="DC10" s="8">
        <v>0.29166666666666702</v>
      </c>
      <c r="DD10" s="8">
        <v>0.33333333333333298</v>
      </c>
      <c r="DE10" s="8">
        <v>0.375</v>
      </c>
      <c r="DF10" s="8">
        <v>0.41666666666666702</v>
      </c>
      <c r="DG10" s="8">
        <v>0.45833333333333298</v>
      </c>
      <c r="DH10" s="8">
        <v>0.5</v>
      </c>
      <c r="DI10" s="8">
        <v>0.54166666666666696</v>
      </c>
      <c r="DJ10" s="8">
        <v>0.58333333333333304</v>
      </c>
      <c r="DK10" s="8">
        <v>0.625</v>
      </c>
      <c r="DL10" s="8">
        <v>0.66666666666666696</v>
      </c>
      <c r="DM10" s="8">
        <v>0.70833333333333304</v>
      </c>
      <c r="DN10" s="8">
        <v>0.75</v>
      </c>
      <c r="DO10" s="8">
        <v>0.79166666666666696</v>
      </c>
      <c r="DP10" s="8">
        <v>0.83333333333333304</v>
      </c>
      <c r="DQ10" s="8">
        <v>0.875</v>
      </c>
      <c r="DR10" s="8">
        <v>0.91666666666666696</v>
      </c>
      <c r="DS10" s="9">
        <v>0.95833333333333304</v>
      </c>
      <c r="DT10" s="7">
        <v>0</v>
      </c>
      <c r="DU10" s="8">
        <v>4.1666666666666699E-2</v>
      </c>
      <c r="DV10" s="8">
        <v>8.3333333333333301E-2</v>
      </c>
      <c r="DW10" s="8">
        <v>0.125</v>
      </c>
      <c r="DX10" s="8">
        <v>0.16666666666666699</v>
      </c>
      <c r="DY10" s="8">
        <v>0.20833333333333301</v>
      </c>
      <c r="DZ10" s="8">
        <v>0.25</v>
      </c>
      <c r="EA10" s="8">
        <v>0.29166666666666702</v>
      </c>
      <c r="EB10" s="8">
        <v>0.33333333333333298</v>
      </c>
      <c r="EC10" s="8">
        <v>0.375</v>
      </c>
      <c r="ED10" s="8">
        <v>0.41666666666666702</v>
      </c>
      <c r="EE10" s="8">
        <v>0.45833333333333298</v>
      </c>
      <c r="EF10" s="8">
        <v>0.5</v>
      </c>
      <c r="EG10" s="8">
        <v>0.54166666666666696</v>
      </c>
      <c r="EH10" s="8">
        <v>0.58333333333333304</v>
      </c>
      <c r="EI10" s="8">
        <v>0.625</v>
      </c>
      <c r="EJ10" s="8">
        <v>0.66666666666666696</v>
      </c>
      <c r="EK10" s="8">
        <v>0.70833333333333304</v>
      </c>
      <c r="EL10" s="8">
        <v>0.75</v>
      </c>
      <c r="EM10" s="8">
        <v>0.79166666666666696</v>
      </c>
      <c r="EN10" s="8">
        <v>0.83333333333333304</v>
      </c>
      <c r="EO10" s="8">
        <v>0.875</v>
      </c>
      <c r="EP10" s="8">
        <v>0.91666666666666696</v>
      </c>
      <c r="EQ10" s="9">
        <v>0.95833333333333304</v>
      </c>
      <c r="ER10" s="7">
        <v>0</v>
      </c>
      <c r="ES10" s="8">
        <v>4.1666666666666699E-2</v>
      </c>
      <c r="ET10" s="8">
        <v>8.3333333333333301E-2</v>
      </c>
      <c r="EU10" s="8">
        <v>0.125</v>
      </c>
      <c r="EV10" s="8">
        <v>0.16666666666666699</v>
      </c>
      <c r="EW10" s="8">
        <v>0.20833333333333301</v>
      </c>
      <c r="EX10" s="8">
        <v>0.25</v>
      </c>
      <c r="EY10" s="8">
        <v>0.29166666666666702</v>
      </c>
      <c r="EZ10" s="8">
        <v>0.33333333333333298</v>
      </c>
      <c r="FA10" s="8">
        <v>0.375</v>
      </c>
      <c r="FB10" s="8">
        <v>0.41666666666666702</v>
      </c>
      <c r="FC10" s="8">
        <v>0.45833333333333298</v>
      </c>
      <c r="FD10" s="8">
        <v>0.5</v>
      </c>
      <c r="FE10" s="8">
        <v>0.54166666666666696</v>
      </c>
      <c r="FF10" s="8">
        <v>0.58333333333333304</v>
      </c>
      <c r="FG10" s="8">
        <v>0.625</v>
      </c>
      <c r="FH10" s="8">
        <v>0.66666666666666696</v>
      </c>
      <c r="FI10" s="8">
        <v>0.70833333333333304</v>
      </c>
      <c r="FJ10" s="8">
        <v>0.75</v>
      </c>
      <c r="FK10" s="8">
        <v>0.79166666666666696</v>
      </c>
      <c r="FL10" s="8">
        <v>0.83333333333333304</v>
      </c>
      <c r="FM10" s="8">
        <v>0.875</v>
      </c>
      <c r="FN10" s="8">
        <v>0.91666666666666696</v>
      </c>
      <c r="FO10" s="9">
        <v>0.95833333333333304</v>
      </c>
      <c r="FP10" s="77"/>
      <c r="FQ10" s="77"/>
      <c r="FR10" s="77"/>
      <c r="FS10" s="77"/>
      <c r="FT10" s="77"/>
    </row>
    <row r="11" spans="1:176" s="3" customFormat="1" ht="60" customHeight="1" x14ac:dyDescent="0.35">
      <c r="A11" s="43" t="s">
        <v>23</v>
      </c>
      <c r="B11" s="44"/>
      <c r="C11" s="44"/>
      <c r="D11" s="43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5"/>
      <c r="AB11" s="43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5"/>
      <c r="AZ11" s="43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5"/>
      <c r="BX11" s="43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5"/>
      <c r="CV11" s="66" t="s">
        <v>24</v>
      </c>
      <c r="CW11" s="44"/>
      <c r="CX11" s="44"/>
      <c r="CY11" s="44"/>
      <c r="CZ11" s="44"/>
      <c r="DA11" s="44"/>
      <c r="DB11" s="44"/>
      <c r="DC11" s="44"/>
      <c r="DD11" s="67" t="s">
        <v>24</v>
      </c>
      <c r="DE11" s="44"/>
      <c r="DF11" s="44"/>
      <c r="DG11" s="44"/>
      <c r="DH11" s="44"/>
      <c r="DI11" s="44"/>
      <c r="DJ11" s="44"/>
      <c r="DK11" s="44"/>
      <c r="DL11" s="67" t="s">
        <v>24</v>
      </c>
      <c r="DM11" s="44"/>
      <c r="DN11" s="44"/>
      <c r="DO11" s="44"/>
      <c r="DP11" s="44"/>
      <c r="DQ11" s="44"/>
      <c r="DR11" s="44"/>
      <c r="DS11" s="45"/>
      <c r="DT11" s="66" t="s">
        <v>24</v>
      </c>
      <c r="DU11" s="44"/>
      <c r="DV11" s="44"/>
      <c r="DW11" s="44"/>
      <c r="DX11" s="44"/>
      <c r="DY11" s="44"/>
      <c r="DZ11" s="44"/>
      <c r="EA11" s="44"/>
      <c r="EB11" s="67" t="s">
        <v>24</v>
      </c>
      <c r="EC11" s="44"/>
      <c r="ED11" s="44"/>
      <c r="EE11" s="44"/>
      <c r="EF11" s="44"/>
      <c r="EG11" s="44"/>
      <c r="EH11" s="44"/>
      <c r="EI11" s="44"/>
      <c r="EJ11" s="67" t="s">
        <v>24</v>
      </c>
      <c r="EK11" s="44"/>
      <c r="EL11" s="44"/>
      <c r="EM11" s="44"/>
      <c r="EN11" s="44"/>
      <c r="EO11" s="44"/>
      <c r="EP11" s="44"/>
      <c r="EQ11" s="45"/>
      <c r="ER11" s="66" t="s">
        <v>24</v>
      </c>
      <c r="ES11" s="44"/>
      <c r="ET11" s="44"/>
      <c r="EU11" s="44"/>
      <c r="EV11" s="44"/>
      <c r="EW11" s="44"/>
      <c r="EX11" s="44"/>
      <c r="EY11" s="44"/>
      <c r="EZ11" s="67" t="s">
        <v>24</v>
      </c>
      <c r="FA11" s="44"/>
      <c r="FB11" s="44"/>
      <c r="FC11" s="44"/>
      <c r="FD11" s="44"/>
      <c r="FE11" s="44"/>
      <c r="FF11" s="44"/>
      <c r="FG11" s="44"/>
      <c r="FH11" s="67" t="s">
        <v>24</v>
      </c>
      <c r="FI11" s="44"/>
      <c r="FJ11" s="44"/>
      <c r="FK11" s="44"/>
      <c r="FL11" s="44"/>
      <c r="FM11" s="44"/>
      <c r="FN11" s="44"/>
      <c r="FO11" s="45"/>
      <c r="FP11" s="36">
        <v>5821</v>
      </c>
      <c r="FQ11" s="37"/>
      <c r="FR11" s="37"/>
      <c r="FS11" s="37"/>
      <c r="FT11" s="37"/>
    </row>
    <row r="12" spans="1:176" s="3" customFormat="1" ht="109.95" customHeight="1" x14ac:dyDescent="0.35">
      <c r="A12" s="43" t="s">
        <v>25</v>
      </c>
      <c r="B12" s="44"/>
      <c r="C12" s="44"/>
      <c r="D12" s="43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5"/>
      <c r="AB12" s="43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5"/>
      <c r="AZ12" s="43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5"/>
      <c r="BX12" s="43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5"/>
      <c r="CV12" s="43" t="s">
        <v>26</v>
      </c>
      <c r="CW12" s="44"/>
      <c r="CX12" s="44"/>
      <c r="CY12" s="44"/>
      <c r="CZ12" s="44"/>
      <c r="DA12" s="44"/>
      <c r="DB12" s="44"/>
      <c r="DC12" s="44"/>
      <c r="DD12" s="44" t="s">
        <v>26</v>
      </c>
      <c r="DE12" s="44"/>
      <c r="DF12" s="44"/>
      <c r="DG12" s="44"/>
      <c r="DH12" s="44"/>
      <c r="DI12" s="44"/>
      <c r="DJ12" s="44"/>
      <c r="DK12" s="44"/>
      <c r="DL12" s="44" t="s">
        <v>26</v>
      </c>
      <c r="DM12" s="44"/>
      <c r="DN12" s="44"/>
      <c r="DO12" s="44"/>
      <c r="DP12" s="44"/>
      <c r="DQ12" s="44"/>
      <c r="DR12" s="44"/>
      <c r="DS12" s="45"/>
      <c r="DT12" s="43" t="s">
        <v>26</v>
      </c>
      <c r="DU12" s="44"/>
      <c r="DV12" s="44"/>
      <c r="DW12" s="44"/>
      <c r="DX12" s="44"/>
      <c r="DY12" s="44"/>
      <c r="DZ12" s="44"/>
      <c r="EA12" s="44"/>
      <c r="EB12" s="44" t="s">
        <v>26</v>
      </c>
      <c r="EC12" s="44"/>
      <c r="ED12" s="44"/>
      <c r="EE12" s="44"/>
      <c r="EF12" s="44"/>
      <c r="EG12" s="44"/>
      <c r="EH12" s="44"/>
      <c r="EI12" s="44"/>
      <c r="EJ12" s="44" t="s">
        <v>26</v>
      </c>
      <c r="EK12" s="44"/>
      <c r="EL12" s="44"/>
      <c r="EM12" s="44"/>
      <c r="EN12" s="44"/>
      <c r="EO12" s="44"/>
      <c r="EP12" s="44"/>
      <c r="EQ12" s="45"/>
      <c r="ER12" s="43" t="s">
        <v>26</v>
      </c>
      <c r="ES12" s="44"/>
      <c r="ET12" s="44"/>
      <c r="EU12" s="44"/>
      <c r="EV12" s="44"/>
      <c r="EW12" s="44"/>
      <c r="EX12" s="44"/>
      <c r="EY12" s="44"/>
      <c r="EZ12" s="44" t="s">
        <v>26</v>
      </c>
      <c r="FA12" s="44"/>
      <c r="FB12" s="44"/>
      <c r="FC12" s="44"/>
      <c r="FD12" s="44"/>
      <c r="FE12" s="44"/>
      <c r="FF12" s="44"/>
      <c r="FG12" s="44"/>
      <c r="FH12" s="44" t="s">
        <v>26</v>
      </c>
      <c r="FI12" s="44"/>
      <c r="FJ12" s="44"/>
      <c r="FK12" s="44"/>
      <c r="FL12" s="44"/>
      <c r="FM12" s="44"/>
      <c r="FN12" s="44"/>
      <c r="FO12" s="45"/>
      <c r="FP12" s="37"/>
      <c r="FQ12" s="37"/>
      <c r="FR12" s="37"/>
      <c r="FS12" s="37"/>
      <c r="FT12" s="37"/>
    </row>
    <row r="13" spans="1:176" s="3" customFormat="1" ht="60" customHeight="1" x14ac:dyDescent="0.35">
      <c r="A13" s="43" t="s">
        <v>27</v>
      </c>
      <c r="B13" s="44"/>
      <c r="C13" s="44"/>
      <c r="D13" s="43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5"/>
      <c r="AB13" s="43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5"/>
      <c r="AZ13" s="43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5"/>
      <c r="BX13" s="43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5"/>
      <c r="CV13" s="43">
        <v>647</v>
      </c>
      <c r="CW13" s="44"/>
      <c r="CX13" s="44"/>
      <c r="CY13" s="44"/>
      <c r="CZ13" s="44"/>
      <c r="DA13" s="44"/>
      <c r="DB13" s="44"/>
      <c r="DC13" s="44"/>
      <c r="DD13" s="44">
        <v>647</v>
      </c>
      <c r="DE13" s="44"/>
      <c r="DF13" s="44"/>
      <c r="DG13" s="44"/>
      <c r="DH13" s="44"/>
      <c r="DI13" s="44"/>
      <c r="DJ13" s="44"/>
      <c r="DK13" s="44"/>
      <c r="DL13" s="44">
        <v>647</v>
      </c>
      <c r="DM13" s="44"/>
      <c r="DN13" s="44"/>
      <c r="DO13" s="44"/>
      <c r="DP13" s="44"/>
      <c r="DQ13" s="44"/>
      <c r="DR13" s="44"/>
      <c r="DS13" s="45"/>
      <c r="DT13" s="43">
        <v>647</v>
      </c>
      <c r="DU13" s="44"/>
      <c r="DV13" s="44"/>
      <c r="DW13" s="44"/>
      <c r="DX13" s="44"/>
      <c r="DY13" s="44"/>
      <c r="DZ13" s="44"/>
      <c r="EA13" s="44"/>
      <c r="EB13" s="44">
        <v>647</v>
      </c>
      <c r="EC13" s="44"/>
      <c r="ED13" s="44"/>
      <c r="EE13" s="44"/>
      <c r="EF13" s="44"/>
      <c r="EG13" s="44"/>
      <c r="EH13" s="44"/>
      <c r="EI13" s="44"/>
      <c r="EJ13" s="44">
        <v>647</v>
      </c>
      <c r="EK13" s="44"/>
      <c r="EL13" s="44"/>
      <c r="EM13" s="44"/>
      <c r="EN13" s="44"/>
      <c r="EO13" s="44"/>
      <c r="EP13" s="44"/>
      <c r="EQ13" s="45"/>
      <c r="ER13" s="43">
        <v>647</v>
      </c>
      <c r="ES13" s="44"/>
      <c r="ET13" s="44"/>
      <c r="EU13" s="44"/>
      <c r="EV13" s="44"/>
      <c r="EW13" s="44"/>
      <c r="EX13" s="44"/>
      <c r="EY13" s="44"/>
      <c r="EZ13" s="44">
        <v>647</v>
      </c>
      <c r="FA13" s="44"/>
      <c r="FB13" s="44"/>
      <c r="FC13" s="44"/>
      <c r="FD13" s="44"/>
      <c r="FE13" s="44"/>
      <c r="FF13" s="44"/>
      <c r="FG13" s="44"/>
      <c r="FH13" s="44">
        <v>645</v>
      </c>
      <c r="FI13" s="44"/>
      <c r="FJ13" s="44"/>
      <c r="FK13" s="44"/>
      <c r="FL13" s="44"/>
      <c r="FM13" s="44"/>
      <c r="FN13" s="44"/>
      <c r="FO13" s="45"/>
      <c r="FP13" s="37"/>
      <c r="FQ13" s="37"/>
      <c r="FR13" s="37"/>
      <c r="FS13" s="37"/>
      <c r="FT13" s="37"/>
    </row>
    <row r="14" spans="1:176" s="3" customFormat="1" ht="60" customHeight="1" x14ac:dyDescent="0.35">
      <c r="A14" s="43" t="s">
        <v>28</v>
      </c>
      <c r="B14" s="44"/>
      <c r="C14" s="44"/>
      <c r="D14" s="33">
        <v>0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5"/>
      <c r="AB14" s="33">
        <v>0</v>
      </c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5"/>
      <c r="AZ14" s="33">
        <v>0</v>
      </c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5"/>
      <c r="BX14" s="33">
        <v>0</v>
      </c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5"/>
      <c r="CV14" s="33">
        <v>1941</v>
      </c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5"/>
      <c r="DT14" s="33">
        <v>1941</v>
      </c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5"/>
      <c r="ER14" s="33">
        <v>1939</v>
      </c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5"/>
      <c r="FP14" s="37"/>
      <c r="FQ14" s="37"/>
      <c r="FR14" s="37"/>
      <c r="FS14" s="37"/>
      <c r="FT14" s="37"/>
    </row>
    <row r="15" spans="1:176" s="3" customFormat="1" ht="60" customHeight="1" x14ac:dyDescent="0.35">
      <c r="A15" s="43" t="s">
        <v>29</v>
      </c>
      <c r="B15" s="44"/>
      <c r="C15" s="44"/>
      <c r="D15" s="43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5"/>
      <c r="AB15" s="43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5"/>
      <c r="AZ15" s="43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5"/>
      <c r="BX15" s="43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5"/>
      <c r="CV15" s="63" t="s">
        <v>30</v>
      </c>
      <c r="CW15" s="44"/>
      <c r="CX15" s="44"/>
      <c r="CY15" s="44"/>
      <c r="CZ15" s="44"/>
      <c r="DA15" s="44"/>
      <c r="DB15" s="44"/>
      <c r="DC15" s="44"/>
      <c r="DD15" s="64" t="s">
        <v>30</v>
      </c>
      <c r="DE15" s="44"/>
      <c r="DF15" s="44"/>
      <c r="DG15" s="44"/>
      <c r="DH15" s="44"/>
      <c r="DI15" s="44"/>
      <c r="DJ15" s="44"/>
      <c r="DK15" s="44"/>
      <c r="DL15" s="64" t="s">
        <v>30</v>
      </c>
      <c r="DM15" s="44"/>
      <c r="DN15" s="44"/>
      <c r="DO15" s="44"/>
      <c r="DP15" s="44"/>
      <c r="DQ15" s="44"/>
      <c r="DR15" s="44"/>
      <c r="DS15" s="45"/>
      <c r="DT15" s="43" t="s">
        <v>31</v>
      </c>
      <c r="DU15" s="44"/>
      <c r="DV15" s="53" t="s">
        <v>32</v>
      </c>
      <c r="DW15" s="44"/>
      <c r="DX15" s="44"/>
      <c r="DY15" s="44"/>
      <c r="DZ15" s="44"/>
      <c r="EA15" s="44"/>
      <c r="EB15" s="53" t="s">
        <v>32</v>
      </c>
      <c r="EC15" s="44"/>
      <c r="ED15" s="44"/>
      <c r="EE15" s="44"/>
      <c r="EF15" s="44"/>
      <c r="EG15" s="44"/>
      <c r="EH15" s="44"/>
      <c r="EI15" s="44"/>
      <c r="EJ15" s="53" t="s">
        <v>32</v>
      </c>
      <c r="EK15" s="44"/>
      <c r="EL15" s="44"/>
      <c r="EM15" s="44"/>
      <c r="EN15" s="44"/>
      <c r="EO15" s="44"/>
      <c r="EP15" s="44"/>
      <c r="EQ15" s="45"/>
      <c r="ER15" s="65" t="s">
        <v>32</v>
      </c>
      <c r="ES15" s="44"/>
      <c r="ET15" s="44"/>
      <c r="EU15" s="44"/>
      <c r="EV15" s="44"/>
      <c r="EW15" s="44"/>
      <c r="EX15" s="44"/>
      <c r="EY15" s="44"/>
      <c r="EZ15" s="53" t="s">
        <v>32</v>
      </c>
      <c r="FA15" s="44"/>
      <c r="FB15" s="44"/>
      <c r="FC15" s="44"/>
      <c r="FD15" s="44"/>
      <c r="FE15" s="44"/>
      <c r="FF15" s="44"/>
      <c r="FG15" s="44"/>
      <c r="FH15" s="53" t="s">
        <v>32</v>
      </c>
      <c r="FI15" s="44"/>
      <c r="FJ15" s="44"/>
      <c r="FK15" s="44"/>
      <c r="FL15" s="44"/>
      <c r="FM15" s="44"/>
      <c r="FN15" s="44"/>
      <c r="FO15" s="45"/>
      <c r="FP15" s="36">
        <v>12160</v>
      </c>
      <c r="FQ15" s="37"/>
      <c r="FR15" s="37"/>
      <c r="FS15" s="37"/>
      <c r="FT15" s="37"/>
    </row>
    <row r="16" spans="1:176" s="3" customFormat="1" ht="109.95" customHeight="1" x14ac:dyDescent="0.35">
      <c r="A16" s="43" t="s">
        <v>25</v>
      </c>
      <c r="B16" s="44"/>
      <c r="C16" s="44"/>
      <c r="D16" s="43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5"/>
      <c r="AB16" s="43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5"/>
      <c r="AZ16" s="43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5"/>
      <c r="BX16" s="43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5"/>
      <c r="CV16" s="43" t="s">
        <v>33</v>
      </c>
      <c r="CW16" s="44"/>
      <c r="CX16" s="44"/>
      <c r="CY16" s="44"/>
      <c r="CZ16" s="44"/>
      <c r="DA16" s="44"/>
      <c r="DB16" s="44"/>
      <c r="DC16" s="44"/>
      <c r="DD16" s="44" t="s">
        <v>33</v>
      </c>
      <c r="DE16" s="44"/>
      <c r="DF16" s="44"/>
      <c r="DG16" s="44"/>
      <c r="DH16" s="44"/>
      <c r="DI16" s="44"/>
      <c r="DJ16" s="44"/>
      <c r="DK16" s="44"/>
      <c r="DL16" s="44" t="s">
        <v>33</v>
      </c>
      <c r="DM16" s="44"/>
      <c r="DN16" s="44"/>
      <c r="DO16" s="44"/>
      <c r="DP16" s="44"/>
      <c r="DQ16" s="44"/>
      <c r="DR16" s="44"/>
      <c r="DS16" s="45"/>
      <c r="DT16" s="62" t="s">
        <v>34</v>
      </c>
      <c r="DU16" s="44"/>
      <c r="DV16" s="44" t="s">
        <v>35</v>
      </c>
      <c r="DW16" s="44"/>
      <c r="DX16" s="44"/>
      <c r="DY16" s="44"/>
      <c r="DZ16" s="44"/>
      <c r="EA16" s="44"/>
      <c r="EB16" s="44" t="s">
        <v>35</v>
      </c>
      <c r="EC16" s="44"/>
      <c r="ED16" s="44"/>
      <c r="EE16" s="44"/>
      <c r="EF16" s="44"/>
      <c r="EG16" s="44"/>
      <c r="EH16" s="44"/>
      <c r="EI16" s="44"/>
      <c r="EJ16" s="44" t="s">
        <v>35</v>
      </c>
      <c r="EK16" s="44"/>
      <c r="EL16" s="44"/>
      <c r="EM16" s="44"/>
      <c r="EN16" s="44"/>
      <c r="EO16" s="44"/>
      <c r="EP16" s="44"/>
      <c r="EQ16" s="45"/>
      <c r="ER16" s="43" t="s">
        <v>35</v>
      </c>
      <c r="ES16" s="44"/>
      <c r="ET16" s="44"/>
      <c r="EU16" s="44"/>
      <c r="EV16" s="44"/>
      <c r="EW16" s="44"/>
      <c r="EX16" s="44"/>
      <c r="EY16" s="44"/>
      <c r="EZ16" s="44" t="s">
        <v>35</v>
      </c>
      <c r="FA16" s="44"/>
      <c r="FB16" s="44"/>
      <c r="FC16" s="44"/>
      <c r="FD16" s="44"/>
      <c r="FE16" s="44"/>
      <c r="FF16" s="44"/>
      <c r="FG16" s="44"/>
      <c r="FH16" s="44" t="s">
        <v>35</v>
      </c>
      <c r="FI16" s="44"/>
      <c r="FJ16" s="44"/>
      <c r="FK16" s="44"/>
      <c r="FL16" s="44"/>
      <c r="FM16" s="44"/>
      <c r="FN16" s="44"/>
      <c r="FO16" s="45"/>
      <c r="FP16" s="37"/>
      <c r="FQ16" s="37"/>
      <c r="FR16" s="37"/>
      <c r="FS16" s="37"/>
      <c r="FT16" s="37"/>
    </row>
    <row r="17" spans="1:176" s="3" customFormat="1" ht="60" customHeight="1" x14ac:dyDescent="0.35">
      <c r="A17" s="43" t="s">
        <v>27</v>
      </c>
      <c r="B17" s="44"/>
      <c r="C17" s="44"/>
      <c r="D17" s="43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5"/>
      <c r="AB17" s="43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5"/>
      <c r="AZ17" s="43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5"/>
      <c r="BX17" s="43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5"/>
      <c r="CV17" s="43">
        <v>1382</v>
      </c>
      <c r="CW17" s="44"/>
      <c r="CX17" s="44"/>
      <c r="CY17" s="44"/>
      <c r="CZ17" s="44"/>
      <c r="DA17" s="44"/>
      <c r="DB17" s="44"/>
      <c r="DC17" s="44"/>
      <c r="DD17" s="44">
        <v>1382</v>
      </c>
      <c r="DE17" s="44"/>
      <c r="DF17" s="44"/>
      <c r="DG17" s="44"/>
      <c r="DH17" s="44"/>
      <c r="DI17" s="44"/>
      <c r="DJ17" s="44"/>
      <c r="DK17" s="44"/>
      <c r="DL17" s="44">
        <v>1382</v>
      </c>
      <c r="DM17" s="44"/>
      <c r="DN17" s="44"/>
      <c r="DO17" s="44"/>
      <c r="DP17" s="44"/>
      <c r="DQ17" s="44"/>
      <c r="DR17" s="44"/>
      <c r="DS17" s="45"/>
      <c r="DT17" s="46">
        <v>46</v>
      </c>
      <c r="DU17" s="44"/>
      <c r="DV17" s="44">
        <v>1009</v>
      </c>
      <c r="DW17" s="44"/>
      <c r="DX17" s="44"/>
      <c r="DY17" s="44"/>
      <c r="DZ17" s="44"/>
      <c r="EA17" s="44"/>
      <c r="EB17" s="44">
        <v>1407</v>
      </c>
      <c r="EC17" s="44"/>
      <c r="ED17" s="44"/>
      <c r="EE17" s="44"/>
      <c r="EF17" s="44"/>
      <c r="EG17" s="44"/>
      <c r="EH17" s="44"/>
      <c r="EI17" s="44"/>
      <c r="EJ17" s="44">
        <v>1407</v>
      </c>
      <c r="EK17" s="44"/>
      <c r="EL17" s="44"/>
      <c r="EM17" s="44"/>
      <c r="EN17" s="44"/>
      <c r="EO17" s="44"/>
      <c r="EP17" s="44"/>
      <c r="EQ17" s="45"/>
      <c r="ER17" s="43">
        <v>1407</v>
      </c>
      <c r="ES17" s="44"/>
      <c r="ET17" s="44"/>
      <c r="EU17" s="44"/>
      <c r="EV17" s="44"/>
      <c r="EW17" s="44"/>
      <c r="EX17" s="44"/>
      <c r="EY17" s="44"/>
      <c r="EZ17" s="44">
        <v>1407</v>
      </c>
      <c r="FA17" s="44"/>
      <c r="FB17" s="44"/>
      <c r="FC17" s="44"/>
      <c r="FD17" s="44"/>
      <c r="FE17" s="44"/>
      <c r="FF17" s="44"/>
      <c r="FG17" s="44"/>
      <c r="FH17" s="44">
        <v>1331</v>
      </c>
      <c r="FI17" s="44"/>
      <c r="FJ17" s="44"/>
      <c r="FK17" s="44"/>
      <c r="FL17" s="44"/>
      <c r="FM17" s="44"/>
      <c r="FN17" s="44"/>
      <c r="FO17" s="45"/>
      <c r="FP17" s="37"/>
      <c r="FQ17" s="37"/>
      <c r="FR17" s="37"/>
      <c r="FS17" s="37"/>
      <c r="FT17" s="37"/>
    </row>
    <row r="18" spans="1:176" s="3" customFormat="1" ht="60" customHeight="1" x14ac:dyDescent="0.35">
      <c r="A18" s="43" t="s">
        <v>28</v>
      </c>
      <c r="B18" s="44"/>
      <c r="C18" s="44"/>
      <c r="D18" s="33">
        <v>0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5"/>
      <c r="AB18" s="33">
        <v>0</v>
      </c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5"/>
      <c r="AZ18" s="33">
        <v>0</v>
      </c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5"/>
      <c r="BX18" s="33">
        <v>0</v>
      </c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5"/>
      <c r="CV18" s="33">
        <v>4146</v>
      </c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5"/>
      <c r="DT18" s="33">
        <v>3869</v>
      </c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5"/>
      <c r="ER18" s="33">
        <v>4145</v>
      </c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5"/>
      <c r="FP18" s="37"/>
      <c r="FQ18" s="37"/>
      <c r="FR18" s="37"/>
      <c r="FS18" s="37"/>
      <c r="FT18" s="37"/>
    </row>
    <row r="19" spans="1:176" s="3" customFormat="1" ht="60" customHeight="1" x14ac:dyDescent="0.35">
      <c r="A19" s="43" t="s">
        <v>36</v>
      </c>
      <c r="B19" s="44"/>
      <c r="C19" s="44"/>
      <c r="D19" s="43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5"/>
      <c r="AB19" s="43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5"/>
      <c r="AZ19" s="43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5"/>
      <c r="BX19" s="43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5"/>
      <c r="CV19" s="57" t="s">
        <v>37</v>
      </c>
      <c r="CW19" s="44"/>
      <c r="CX19" s="44"/>
      <c r="CY19" s="44"/>
      <c r="CZ19" s="44"/>
      <c r="DA19" s="44"/>
      <c r="DB19" s="44"/>
      <c r="DC19" s="44"/>
      <c r="DD19" s="58" t="s">
        <v>37</v>
      </c>
      <c r="DE19" s="44" t="s">
        <v>31</v>
      </c>
      <c r="DF19" s="44"/>
      <c r="DG19" s="44"/>
      <c r="DH19" s="44"/>
      <c r="DI19" s="44"/>
      <c r="DJ19" s="44"/>
      <c r="DK19" s="44"/>
      <c r="DL19" s="44" t="s">
        <v>31</v>
      </c>
      <c r="DM19" s="59" t="s">
        <v>38</v>
      </c>
      <c r="DN19" s="44"/>
      <c r="DO19" s="44"/>
      <c r="DP19" s="44"/>
      <c r="DQ19" s="44"/>
      <c r="DR19" s="44"/>
      <c r="DS19" s="45"/>
      <c r="DT19" s="60" t="s">
        <v>38</v>
      </c>
      <c r="DU19" s="44"/>
      <c r="DV19" s="44"/>
      <c r="DW19" s="44"/>
      <c r="DX19" s="44"/>
      <c r="DY19" s="44"/>
      <c r="DZ19" s="44"/>
      <c r="EA19" s="44"/>
      <c r="EB19" s="59" t="s">
        <v>38</v>
      </c>
      <c r="EC19" s="44"/>
      <c r="ED19" s="44"/>
      <c r="EE19" s="44"/>
      <c r="EF19" s="44"/>
      <c r="EG19" s="44"/>
      <c r="EH19" s="44"/>
      <c r="EI19" s="44"/>
      <c r="EJ19" s="59" t="s">
        <v>38</v>
      </c>
      <c r="EK19" s="44"/>
      <c r="EL19" s="44"/>
      <c r="EM19" s="44"/>
      <c r="EN19" s="44"/>
      <c r="EO19" s="44"/>
      <c r="EP19" s="44"/>
      <c r="EQ19" s="45"/>
      <c r="ER19" s="60" t="s">
        <v>38</v>
      </c>
      <c r="ES19" s="44"/>
      <c r="ET19" s="44"/>
      <c r="EU19" s="44"/>
      <c r="EV19" s="44"/>
      <c r="EW19" s="44"/>
      <c r="EX19" s="44"/>
      <c r="EY19" s="44"/>
      <c r="EZ19" s="59" t="s">
        <v>38</v>
      </c>
      <c r="FA19" s="44"/>
      <c r="FB19" s="44"/>
      <c r="FC19" s="44"/>
      <c r="FD19" s="44"/>
      <c r="FE19" s="44"/>
      <c r="FF19" s="44" t="s">
        <v>31</v>
      </c>
      <c r="FG19" s="44"/>
      <c r="FH19" s="44" t="s">
        <v>31</v>
      </c>
      <c r="FI19" s="61" t="s">
        <v>39</v>
      </c>
      <c r="FJ19" s="44"/>
      <c r="FK19" s="44"/>
      <c r="FL19" s="44"/>
      <c r="FM19" s="44"/>
      <c r="FN19" s="44"/>
      <c r="FO19" s="45"/>
      <c r="FP19" s="36">
        <v>10584</v>
      </c>
      <c r="FQ19" s="37"/>
      <c r="FR19" s="37"/>
      <c r="FS19" s="37"/>
      <c r="FT19" s="37"/>
    </row>
    <row r="20" spans="1:176" s="3" customFormat="1" ht="109.95" customHeight="1" x14ac:dyDescent="0.35">
      <c r="A20" s="43" t="s">
        <v>25</v>
      </c>
      <c r="B20" s="44"/>
      <c r="C20" s="44"/>
      <c r="D20" s="43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5"/>
      <c r="AB20" s="43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5"/>
      <c r="AZ20" s="43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5"/>
      <c r="BX20" s="43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5"/>
      <c r="CV20" s="43" t="s">
        <v>35</v>
      </c>
      <c r="CW20" s="44"/>
      <c r="CX20" s="44"/>
      <c r="CY20" s="44"/>
      <c r="CZ20" s="44"/>
      <c r="DA20" s="44"/>
      <c r="DB20" s="44"/>
      <c r="DC20" s="44"/>
      <c r="DD20" s="48" t="s">
        <v>35</v>
      </c>
      <c r="DE20" s="56" t="s">
        <v>40</v>
      </c>
      <c r="DF20" s="44"/>
      <c r="DG20" s="44"/>
      <c r="DH20" s="44"/>
      <c r="DI20" s="44"/>
      <c r="DJ20" s="44"/>
      <c r="DK20" s="44"/>
      <c r="DL20" s="56" t="s">
        <v>40</v>
      </c>
      <c r="DM20" s="44" t="s">
        <v>35</v>
      </c>
      <c r="DN20" s="44"/>
      <c r="DO20" s="44"/>
      <c r="DP20" s="44"/>
      <c r="DQ20" s="44"/>
      <c r="DR20" s="44"/>
      <c r="DS20" s="45"/>
      <c r="DT20" s="43" t="s">
        <v>35</v>
      </c>
      <c r="DU20" s="44"/>
      <c r="DV20" s="44"/>
      <c r="DW20" s="44"/>
      <c r="DX20" s="44"/>
      <c r="DY20" s="44"/>
      <c r="DZ20" s="44"/>
      <c r="EA20" s="44"/>
      <c r="EB20" s="44" t="s">
        <v>35</v>
      </c>
      <c r="EC20" s="44"/>
      <c r="ED20" s="44"/>
      <c r="EE20" s="44"/>
      <c r="EF20" s="44"/>
      <c r="EG20" s="44"/>
      <c r="EH20" s="44"/>
      <c r="EI20" s="44"/>
      <c r="EJ20" s="44" t="s">
        <v>35</v>
      </c>
      <c r="EK20" s="44"/>
      <c r="EL20" s="44"/>
      <c r="EM20" s="44"/>
      <c r="EN20" s="44"/>
      <c r="EO20" s="44"/>
      <c r="EP20" s="44"/>
      <c r="EQ20" s="45"/>
      <c r="ER20" s="43" t="s">
        <v>35</v>
      </c>
      <c r="ES20" s="44"/>
      <c r="ET20" s="44"/>
      <c r="EU20" s="44"/>
      <c r="EV20" s="44"/>
      <c r="EW20" s="44"/>
      <c r="EX20" s="44"/>
      <c r="EY20" s="44"/>
      <c r="EZ20" s="44" t="s">
        <v>35</v>
      </c>
      <c r="FA20" s="44"/>
      <c r="FB20" s="44"/>
      <c r="FC20" s="44"/>
      <c r="FD20" s="44"/>
      <c r="FE20" s="44"/>
      <c r="FF20" s="49" t="s">
        <v>34</v>
      </c>
      <c r="FG20" s="44"/>
      <c r="FH20" s="56" t="s">
        <v>34</v>
      </c>
      <c r="FI20" s="44" t="s">
        <v>35</v>
      </c>
      <c r="FJ20" s="44"/>
      <c r="FK20" s="44"/>
      <c r="FL20" s="44"/>
      <c r="FM20" s="44"/>
      <c r="FN20" s="44"/>
      <c r="FO20" s="45"/>
      <c r="FP20" s="37"/>
      <c r="FQ20" s="37"/>
      <c r="FR20" s="37"/>
      <c r="FS20" s="37"/>
      <c r="FT20" s="37"/>
    </row>
    <row r="21" spans="1:176" s="3" customFormat="1" ht="60" customHeight="1" x14ac:dyDescent="0.35">
      <c r="A21" s="43" t="s">
        <v>27</v>
      </c>
      <c r="B21" s="44"/>
      <c r="C21" s="44"/>
      <c r="D21" s="43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5"/>
      <c r="AB21" s="43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5"/>
      <c r="AZ21" s="43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5"/>
      <c r="BX21" s="43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5"/>
      <c r="CV21" s="43">
        <v>1407</v>
      </c>
      <c r="CW21" s="44"/>
      <c r="CX21" s="44"/>
      <c r="CY21" s="44"/>
      <c r="CZ21" s="44"/>
      <c r="DA21" s="44"/>
      <c r="DB21" s="44"/>
      <c r="DC21" s="44"/>
      <c r="DD21" s="48">
        <v>158</v>
      </c>
      <c r="DE21" s="44"/>
      <c r="DF21" s="44"/>
      <c r="DG21" s="44"/>
      <c r="DH21" s="44"/>
      <c r="DI21" s="44"/>
      <c r="DJ21" s="44"/>
      <c r="DK21" s="44"/>
      <c r="DL21" s="44"/>
      <c r="DM21" s="44">
        <v>1248</v>
      </c>
      <c r="DN21" s="44"/>
      <c r="DO21" s="44"/>
      <c r="DP21" s="44"/>
      <c r="DQ21" s="44"/>
      <c r="DR21" s="44"/>
      <c r="DS21" s="45"/>
      <c r="DT21" s="43">
        <v>1407</v>
      </c>
      <c r="DU21" s="44"/>
      <c r="DV21" s="44"/>
      <c r="DW21" s="44"/>
      <c r="DX21" s="44"/>
      <c r="DY21" s="44"/>
      <c r="DZ21" s="44"/>
      <c r="EA21" s="44"/>
      <c r="EB21" s="44">
        <v>1407</v>
      </c>
      <c r="EC21" s="44"/>
      <c r="ED21" s="44"/>
      <c r="EE21" s="44"/>
      <c r="EF21" s="44"/>
      <c r="EG21" s="44"/>
      <c r="EH21" s="44"/>
      <c r="EI21" s="44"/>
      <c r="EJ21" s="44">
        <v>1407</v>
      </c>
      <c r="EK21" s="44"/>
      <c r="EL21" s="44"/>
      <c r="EM21" s="44"/>
      <c r="EN21" s="44"/>
      <c r="EO21" s="44"/>
      <c r="EP21" s="44"/>
      <c r="EQ21" s="45"/>
      <c r="ER21" s="43">
        <v>1407</v>
      </c>
      <c r="ES21" s="44"/>
      <c r="ET21" s="44"/>
      <c r="EU21" s="44"/>
      <c r="EV21" s="44"/>
      <c r="EW21" s="44"/>
      <c r="EX21" s="44"/>
      <c r="EY21" s="44"/>
      <c r="EZ21" s="44">
        <v>1124</v>
      </c>
      <c r="FA21" s="44"/>
      <c r="FB21" s="44"/>
      <c r="FC21" s="44"/>
      <c r="FD21" s="44"/>
      <c r="FE21" s="44"/>
      <c r="FF21" s="48"/>
      <c r="FG21" s="44"/>
      <c r="FH21" s="44"/>
      <c r="FI21" s="44">
        <v>1019</v>
      </c>
      <c r="FJ21" s="44"/>
      <c r="FK21" s="44"/>
      <c r="FL21" s="44"/>
      <c r="FM21" s="44"/>
      <c r="FN21" s="44"/>
      <c r="FO21" s="45"/>
      <c r="FP21" s="37"/>
      <c r="FQ21" s="37"/>
      <c r="FR21" s="37"/>
      <c r="FS21" s="37"/>
      <c r="FT21" s="37"/>
    </row>
    <row r="22" spans="1:176" s="3" customFormat="1" ht="60" customHeight="1" x14ac:dyDescent="0.35">
      <c r="A22" s="43" t="s">
        <v>28</v>
      </c>
      <c r="B22" s="44"/>
      <c r="C22" s="44"/>
      <c r="D22" s="33">
        <v>0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5"/>
      <c r="AB22" s="33">
        <v>0</v>
      </c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5"/>
      <c r="AZ22" s="33">
        <v>0</v>
      </c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5"/>
      <c r="BX22" s="33">
        <v>0</v>
      </c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5"/>
      <c r="CV22" s="33">
        <v>2813</v>
      </c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5"/>
      <c r="DT22" s="33">
        <v>4221</v>
      </c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5"/>
      <c r="ER22" s="33">
        <v>3550</v>
      </c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5"/>
      <c r="FP22" s="37"/>
      <c r="FQ22" s="37"/>
      <c r="FR22" s="37"/>
      <c r="FS22" s="37"/>
      <c r="FT22" s="37"/>
    </row>
    <row r="23" spans="1:176" s="3" customFormat="1" ht="60" customHeight="1" x14ac:dyDescent="0.35">
      <c r="A23" s="43" t="s">
        <v>41</v>
      </c>
      <c r="B23" s="44"/>
      <c r="C23" s="44"/>
      <c r="D23" s="43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5"/>
      <c r="AB23" s="43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5"/>
      <c r="AZ23" s="43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5"/>
      <c r="BX23" s="43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5"/>
      <c r="CV23" s="51" t="s">
        <v>42</v>
      </c>
      <c r="CW23" s="44"/>
      <c r="CX23" s="44"/>
      <c r="CY23" s="44"/>
      <c r="CZ23" s="44"/>
      <c r="DA23" s="44"/>
      <c r="DB23" s="44"/>
      <c r="DC23" s="44"/>
      <c r="DD23" s="52" t="s">
        <v>42</v>
      </c>
      <c r="DE23" s="44"/>
      <c r="DF23" s="44"/>
      <c r="DG23" s="44"/>
      <c r="DH23" s="44"/>
      <c r="DI23" s="44" t="s">
        <v>31</v>
      </c>
      <c r="DJ23" s="54" t="s">
        <v>43</v>
      </c>
      <c r="DK23" s="44"/>
      <c r="DL23" s="54" t="s">
        <v>43</v>
      </c>
      <c r="DM23" s="44"/>
      <c r="DN23" s="44"/>
      <c r="DO23" s="44" t="s">
        <v>31</v>
      </c>
      <c r="DP23" s="54" t="s">
        <v>44</v>
      </c>
      <c r="DQ23" s="44"/>
      <c r="DR23" s="44"/>
      <c r="DS23" s="45"/>
      <c r="DT23" s="55" t="s">
        <v>44</v>
      </c>
      <c r="DU23" s="44"/>
      <c r="DV23" s="44"/>
      <c r="DW23" s="44"/>
      <c r="DX23" s="44"/>
      <c r="DY23" s="44"/>
      <c r="DZ23" s="44"/>
      <c r="EA23" s="44"/>
      <c r="EB23" s="54" t="s">
        <v>44</v>
      </c>
      <c r="EC23" s="44"/>
      <c r="ED23" s="44"/>
      <c r="EE23" s="44"/>
      <c r="EF23" s="44"/>
      <c r="EG23" s="44"/>
      <c r="EH23" s="44"/>
      <c r="EI23" s="44"/>
      <c r="EJ23" s="54" t="s">
        <v>44</v>
      </c>
      <c r="EK23" s="44"/>
      <c r="EL23" s="44"/>
      <c r="EM23" s="44"/>
      <c r="EN23" s="44"/>
      <c r="EO23" s="44"/>
      <c r="EP23" s="44"/>
      <c r="EQ23" s="45"/>
      <c r="ER23" s="55" t="s">
        <v>44</v>
      </c>
      <c r="ES23" s="44"/>
      <c r="ET23" s="44" t="s">
        <v>31</v>
      </c>
      <c r="EU23" s="44"/>
      <c r="EV23" s="44"/>
      <c r="EW23" s="44"/>
      <c r="EX23" s="44"/>
      <c r="EY23" s="44"/>
      <c r="EZ23" s="44" t="s">
        <v>31</v>
      </c>
      <c r="FA23" s="44"/>
      <c r="FB23" s="44"/>
      <c r="FC23" s="44"/>
      <c r="FD23" s="44"/>
      <c r="FE23" s="44"/>
      <c r="FF23" s="44"/>
      <c r="FG23" s="44"/>
      <c r="FH23" s="44" t="s">
        <v>31</v>
      </c>
      <c r="FI23" s="44"/>
      <c r="FJ23" s="44"/>
      <c r="FK23" s="44"/>
      <c r="FL23" s="44"/>
      <c r="FM23" s="44"/>
      <c r="FN23" s="44"/>
      <c r="FO23" s="45"/>
      <c r="FP23" s="36">
        <v>6610</v>
      </c>
      <c r="FQ23" s="37"/>
      <c r="FR23" s="37"/>
      <c r="FS23" s="37"/>
      <c r="FT23" s="37"/>
    </row>
    <row r="24" spans="1:176" s="3" customFormat="1" ht="109.95" customHeight="1" x14ac:dyDescent="0.35">
      <c r="A24" s="43" t="s">
        <v>25</v>
      </c>
      <c r="B24" s="44"/>
      <c r="C24" s="44"/>
      <c r="D24" s="43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5"/>
      <c r="AB24" s="43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5"/>
      <c r="AZ24" s="43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5"/>
      <c r="BX24" s="43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5"/>
      <c r="CV24" s="43" t="s">
        <v>45</v>
      </c>
      <c r="CW24" s="44"/>
      <c r="CX24" s="44"/>
      <c r="CY24" s="44"/>
      <c r="CZ24" s="44"/>
      <c r="DA24" s="44"/>
      <c r="DB24" s="44"/>
      <c r="DC24" s="44"/>
      <c r="DD24" s="48" t="s">
        <v>45</v>
      </c>
      <c r="DE24" s="44"/>
      <c r="DF24" s="44"/>
      <c r="DG24" s="44"/>
      <c r="DH24" s="44"/>
      <c r="DI24" s="49" t="s">
        <v>46</v>
      </c>
      <c r="DJ24" s="48" t="s">
        <v>47</v>
      </c>
      <c r="DK24" s="44"/>
      <c r="DL24" s="48" t="s">
        <v>47</v>
      </c>
      <c r="DM24" s="44"/>
      <c r="DN24" s="44"/>
      <c r="DO24" s="49" t="s">
        <v>48</v>
      </c>
      <c r="DP24" s="48" t="s">
        <v>45</v>
      </c>
      <c r="DQ24" s="44"/>
      <c r="DR24" s="44"/>
      <c r="DS24" s="45"/>
      <c r="DT24" s="43" t="s">
        <v>45</v>
      </c>
      <c r="DU24" s="44"/>
      <c r="DV24" s="44"/>
      <c r="DW24" s="44"/>
      <c r="DX24" s="44"/>
      <c r="DY24" s="44"/>
      <c r="DZ24" s="44"/>
      <c r="EA24" s="44"/>
      <c r="EB24" s="44" t="s">
        <v>45</v>
      </c>
      <c r="EC24" s="44"/>
      <c r="ED24" s="44"/>
      <c r="EE24" s="44"/>
      <c r="EF24" s="44"/>
      <c r="EG24" s="44"/>
      <c r="EH24" s="44"/>
      <c r="EI24" s="44"/>
      <c r="EJ24" s="44" t="s">
        <v>45</v>
      </c>
      <c r="EK24" s="44"/>
      <c r="EL24" s="44"/>
      <c r="EM24" s="44"/>
      <c r="EN24" s="44"/>
      <c r="EO24" s="44"/>
      <c r="EP24" s="44"/>
      <c r="EQ24" s="45"/>
      <c r="ER24" s="46" t="s">
        <v>45</v>
      </c>
      <c r="ES24" s="44"/>
      <c r="ET24" s="47" t="s">
        <v>49</v>
      </c>
      <c r="EU24" s="44"/>
      <c r="EV24" s="44"/>
      <c r="EW24" s="44"/>
      <c r="EX24" s="44"/>
      <c r="EY24" s="44"/>
      <c r="EZ24" s="47" t="s">
        <v>49</v>
      </c>
      <c r="FA24" s="44"/>
      <c r="FB24" s="44"/>
      <c r="FC24" s="44"/>
      <c r="FD24" s="44"/>
      <c r="FE24" s="44"/>
      <c r="FF24" s="44"/>
      <c r="FG24" s="44"/>
      <c r="FH24" s="47" t="s">
        <v>49</v>
      </c>
      <c r="FI24" s="44"/>
      <c r="FJ24" s="44"/>
      <c r="FK24" s="44"/>
      <c r="FL24" s="44"/>
      <c r="FM24" s="44"/>
      <c r="FN24" s="44"/>
      <c r="FO24" s="45"/>
      <c r="FP24" s="37"/>
      <c r="FQ24" s="37"/>
      <c r="FR24" s="37"/>
      <c r="FS24" s="37"/>
      <c r="FT24" s="37"/>
    </row>
    <row r="25" spans="1:176" s="3" customFormat="1" ht="60" customHeight="1" x14ac:dyDescent="0.35">
      <c r="A25" s="43" t="s">
        <v>27</v>
      </c>
      <c r="B25" s="44"/>
      <c r="C25" s="44"/>
      <c r="D25" s="43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5"/>
      <c r="AB25" s="43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5"/>
      <c r="AZ25" s="43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5"/>
      <c r="BX25" s="43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5"/>
      <c r="CV25" s="43">
        <v>1109</v>
      </c>
      <c r="CW25" s="44"/>
      <c r="CX25" s="44"/>
      <c r="CY25" s="44"/>
      <c r="CZ25" s="44"/>
      <c r="DA25" s="44"/>
      <c r="DB25" s="44"/>
      <c r="DC25" s="44"/>
      <c r="DD25" s="48">
        <v>737</v>
      </c>
      <c r="DE25" s="44"/>
      <c r="DF25" s="44"/>
      <c r="DG25" s="44"/>
      <c r="DH25" s="44"/>
      <c r="DI25" s="48"/>
      <c r="DJ25" s="48">
        <v>233</v>
      </c>
      <c r="DK25" s="44"/>
      <c r="DL25" s="48">
        <v>433</v>
      </c>
      <c r="DM25" s="44"/>
      <c r="DN25" s="44"/>
      <c r="DO25" s="48"/>
      <c r="DP25" s="48">
        <v>537</v>
      </c>
      <c r="DQ25" s="44"/>
      <c r="DR25" s="44"/>
      <c r="DS25" s="45"/>
      <c r="DT25" s="43">
        <v>1109</v>
      </c>
      <c r="DU25" s="44"/>
      <c r="DV25" s="44"/>
      <c r="DW25" s="44"/>
      <c r="DX25" s="44"/>
      <c r="DY25" s="44"/>
      <c r="DZ25" s="44"/>
      <c r="EA25" s="44"/>
      <c r="EB25" s="44">
        <v>1109</v>
      </c>
      <c r="EC25" s="44"/>
      <c r="ED25" s="44"/>
      <c r="EE25" s="44"/>
      <c r="EF25" s="44"/>
      <c r="EG25" s="44"/>
      <c r="EH25" s="44"/>
      <c r="EI25" s="44"/>
      <c r="EJ25" s="44">
        <v>1109</v>
      </c>
      <c r="EK25" s="44"/>
      <c r="EL25" s="44"/>
      <c r="EM25" s="44"/>
      <c r="EN25" s="44"/>
      <c r="EO25" s="44"/>
      <c r="EP25" s="44"/>
      <c r="EQ25" s="45"/>
      <c r="ER25" s="46">
        <v>234</v>
      </c>
      <c r="ES25" s="44"/>
      <c r="ET25" s="44"/>
      <c r="EU25" s="44"/>
      <c r="EV25" s="44"/>
      <c r="EW25" s="44"/>
      <c r="EX25" s="44"/>
      <c r="EY25" s="44"/>
      <c r="EZ25" s="44"/>
      <c r="FA25" s="44"/>
      <c r="FB25" s="44"/>
      <c r="FC25" s="44"/>
      <c r="FD25" s="44"/>
      <c r="FE25" s="44"/>
      <c r="FF25" s="44"/>
      <c r="FG25" s="44"/>
      <c r="FH25" s="44"/>
      <c r="FI25" s="44"/>
      <c r="FJ25" s="44"/>
      <c r="FK25" s="44"/>
      <c r="FL25" s="44"/>
      <c r="FM25" s="44"/>
      <c r="FN25" s="44"/>
      <c r="FO25" s="45"/>
      <c r="FP25" s="37"/>
      <c r="FQ25" s="37"/>
      <c r="FR25" s="37"/>
      <c r="FS25" s="37"/>
      <c r="FT25" s="37"/>
    </row>
    <row r="26" spans="1:176" s="3" customFormat="1" ht="60" customHeight="1" x14ac:dyDescent="0.35">
      <c r="A26" s="43" t="s">
        <v>28</v>
      </c>
      <c r="B26" s="44"/>
      <c r="C26" s="44"/>
      <c r="D26" s="33">
        <v>0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  <c r="AB26" s="33">
        <v>0</v>
      </c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5"/>
      <c r="AZ26" s="33">
        <v>0</v>
      </c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5"/>
      <c r="BX26" s="33">
        <v>0</v>
      </c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5"/>
      <c r="CV26" s="33">
        <v>3049</v>
      </c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5"/>
      <c r="DT26" s="33">
        <v>3327</v>
      </c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5"/>
      <c r="ER26" s="33">
        <v>234</v>
      </c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5"/>
      <c r="FP26" s="37"/>
      <c r="FQ26" s="37"/>
      <c r="FR26" s="37"/>
      <c r="FS26" s="37"/>
      <c r="FT26" s="37"/>
    </row>
    <row r="27" spans="1:176" s="3" customFormat="1" ht="60" customHeight="1" x14ac:dyDescent="0.35">
      <c r="A27" s="43" t="s">
        <v>50</v>
      </c>
      <c r="B27" s="44"/>
      <c r="C27" s="44"/>
      <c r="D27" s="43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5"/>
      <c r="AB27" s="43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5"/>
      <c r="AZ27" s="43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5"/>
      <c r="BX27" s="43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5"/>
      <c r="CV27" s="43" t="s">
        <v>31</v>
      </c>
      <c r="CW27" s="44"/>
      <c r="CX27" s="44"/>
      <c r="CY27" s="44"/>
      <c r="CZ27" s="44"/>
      <c r="DA27" s="44"/>
      <c r="DB27" s="44"/>
      <c r="DC27" s="44"/>
      <c r="DD27" s="44" t="s">
        <v>31</v>
      </c>
      <c r="DE27" s="44"/>
      <c r="DF27" s="44" t="s">
        <v>31</v>
      </c>
      <c r="DG27" s="53" t="s">
        <v>51</v>
      </c>
      <c r="DH27" s="44"/>
      <c r="DI27" s="44"/>
      <c r="DJ27" s="44"/>
      <c r="DK27" s="44"/>
      <c r="DL27" s="53" t="s">
        <v>51</v>
      </c>
      <c r="DM27" s="44"/>
      <c r="DN27" s="44"/>
      <c r="DO27" s="44"/>
      <c r="DP27" s="44"/>
      <c r="DQ27" s="44"/>
      <c r="DR27" s="44" t="s">
        <v>31</v>
      </c>
      <c r="DS27" s="45"/>
      <c r="DT27" s="43" t="s">
        <v>31</v>
      </c>
      <c r="DU27" s="44"/>
      <c r="DV27" s="44"/>
      <c r="DW27" s="44"/>
      <c r="DX27" s="44"/>
      <c r="DY27" s="44"/>
      <c r="DZ27" s="44"/>
      <c r="EA27" s="44"/>
      <c r="EB27" s="44" t="s">
        <v>31</v>
      </c>
      <c r="EC27" s="44"/>
      <c r="ED27" s="44" t="s">
        <v>31</v>
      </c>
      <c r="EE27" s="53" t="s">
        <v>51</v>
      </c>
      <c r="EF27" s="44"/>
      <c r="EG27" s="44"/>
      <c r="EH27" s="44"/>
      <c r="EI27" s="44"/>
      <c r="EJ27" s="53" t="s">
        <v>51</v>
      </c>
      <c r="EK27" s="44"/>
      <c r="EL27" s="44"/>
      <c r="EM27" s="44"/>
      <c r="EN27" s="44"/>
      <c r="EO27" s="44"/>
      <c r="EP27" s="44"/>
      <c r="EQ27" s="45"/>
      <c r="ER27" s="43" t="s">
        <v>31</v>
      </c>
      <c r="ES27" s="44"/>
      <c r="ET27" s="44"/>
      <c r="EU27" s="44"/>
      <c r="EV27" s="44"/>
      <c r="EW27" s="44"/>
      <c r="EX27" s="44"/>
      <c r="EY27" s="44"/>
      <c r="EZ27" s="44" t="s">
        <v>31</v>
      </c>
      <c r="FA27" s="44"/>
      <c r="FB27" s="44"/>
      <c r="FC27" s="44"/>
      <c r="FD27" s="44"/>
      <c r="FE27" s="44"/>
      <c r="FF27" s="44"/>
      <c r="FG27" s="44"/>
      <c r="FH27" s="44" t="s">
        <v>31</v>
      </c>
      <c r="FI27" s="44"/>
      <c r="FJ27" s="44"/>
      <c r="FK27" s="44"/>
      <c r="FL27" s="44"/>
      <c r="FM27" s="44"/>
      <c r="FN27" s="44"/>
      <c r="FO27" s="45"/>
      <c r="FP27" s="36">
        <v>3400</v>
      </c>
      <c r="FQ27" s="37"/>
      <c r="FR27" s="37"/>
      <c r="FS27" s="37"/>
      <c r="FT27" s="37"/>
    </row>
    <row r="28" spans="1:176" s="3" customFormat="1" ht="109.95" customHeight="1" x14ac:dyDescent="0.35">
      <c r="A28" s="43" t="s">
        <v>25</v>
      </c>
      <c r="B28" s="44"/>
      <c r="C28" s="44"/>
      <c r="D28" s="43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5"/>
      <c r="AB28" s="43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5"/>
      <c r="AZ28" s="43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5"/>
      <c r="BX28" s="43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5"/>
      <c r="CV28" s="50" t="s">
        <v>49</v>
      </c>
      <c r="CW28" s="44"/>
      <c r="CX28" s="44"/>
      <c r="CY28" s="44"/>
      <c r="CZ28" s="44"/>
      <c r="DA28" s="44"/>
      <c r="DB28" s="44"/>
      <c r="DC28" s="44"/>
      <c r="DD28" s="47" t="s">
        <v>49</v>
      </c>
      <c r="DE28" s="44"/>
      <c r="DF28" s="49" t="s">
        <v>46</v>
      </c>
      <c r="DG28" s="48" t="s">
        <v>52</v>
      </c>
      <c r="DH28" s="44"/>
      <c r="DI28" s="44"/>
      <c r="DJ28" s="44"/>
      <c r="DK28" s="44"/>
      <c r="DL28" s="44" t="s">
        <v>52</v>
      </c>
      <c r="DM28" s="44"/>
      <c r="DN28" s="44"/>
      <c r="DO28" s="44"/>
      <c r="DP28" s="44"/>
      <c r="DQ28" s="44"/>
      <c r="DR28" s="47" t="s">
        <v>49</v>
      </c>
      <c r="DS28" s="45"/>
      <c r="DT28" s="50" t="s">
        <v>49</v>
      </c>
      <c r="DU28" s="44"/>
      <c r="DV28" s="44"/>
      <c r="DW28" s="44"/>
      <c r="DX28" s="44"/>
      <c r="DY28" s="44"/>
      <c r="DZ28" s="44"/>
      <c r="EA28" s="44"/>
      <c r="EB28" s="47" t="s">
        <v>49</v>
      </c>
      <c r="EC28" s="44"/>
      <c r="ED28" s="49" t="s">
        <v>46</v>
      </c>
      <c r="EE28" s="48" t="s">
        <v>52</v>
      </c>
      <c r="EF28" s="44"/>
      <c r="EG28" s="44"/>
      <c r="EH28" s="44"/>
      <c r="EI28" s="44"/>
      <c r="EJ28" s="44" t="s">
        <v>52</v>
      </c>
      <c r="EK28" s="44"/>
      <c r="EL28" s="44"/>
      <c r="EM28" s="44"/>
      <c r="EN28" s="44"/>
      <c r="EO28" s="44"/>
      <c r="EP28" s="44"/>
      <c r="EQ28" s="45"/>
      <c r="ER28" s="50" t="s">
        <v>49</v>
      </c>
      <c r="ES28" s="44"/>
      <c r="ET28" s="44"/>
      <c r="EU28" s="44"/>
      <c r="EV28" s="44"/>
      <c r="EW28" s="44"/>
      <c r="EX28" s="44"/>
      <c r="EY28" s="44"/>
      <c r="EZ28" s="47" t="s">
        <v>49</v>
      </c>
      <c r="FA28" s="44"/>
      <c r="FB28" s="44"/>
      <c r="FC28" s="44"/>
      <c r="FD28" s="44"/>
      <c r="FE28" s="44"/>
      <c r="FF28" s="44"/>
      <c r="FG28" s="44"/>
      <c r="FH28" s="47" t="s">
        <v>49</v>
      </c>
      <c r="FI28" s="44"/>
      <c r="FJ28" s="44"/>
      <c r="FK28" s="44"/>
      <c r="FL28" s="44"/>
      <c r="FM28" s="44"/>
      <c r="FN28" s="44"/>
      <c r="FO28" s="45"/>
      <c r="FP28" s="37"/>
      <c r="FQ28" s="37"/>
      <c r="FR28" s="37"/>
      <c r="FS28" s="37"/>
      <c r="FT28" s="37"/>
    </row>
    <row r="29" spans="1:176" s="3" customFormat="1" ht="60" customHeight="1" x14ac:dyDescent="0.35">
      <c r="A29" s="43" t="s">
        <v>27</v>
      </c>
      <c r="B29" s="44"/>
      <c r="C29" s="44"/>
      <c r="D29" s="43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5"/>
      <c r="AB29" s="43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5"/>
      <c r="AZ29" s="43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5"/>
      <c r="BX29" s="43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5"/>
      <c r="CV29" s="43"/>
      <c r="CW29" s="44"/>
      <c r="CX29" s="44"/>
      <c r="CY29" s="44"/>
      <c r="CZ29" s="44"/>
      <c r="DA29" s="44"/>
      <c r="DB29" s="44"/>
      <c r="DC29" s="44"/>
      <c r="DD29" s="44"/>
      <c r="DE29" s="44"/>
      <c r="DF29" s="48"/>
      <c r="DG29" s="48">
        <v>697</v>
      </c>
      <c r="DH29" s="44"/>
      <c r="DI29" s="44"/>
      <c r="DJ29" s="44"/>
      <c r="DK29" s="44"/>
      <c r="DL29" s="44">
        <v>903</v>
      </c>
      <c r="DM29" s="44"/>
      <c r="DN29" s="44"/>
      <c r="DO29" s="44"/>
      <c r="DP29" s="44"/>
      <c r="DQ29" s="44"/>
      <c r="DR29" s="44"/>
      <c r="DS29" s="45"/>
      <c r="DT29" s="43"/>
      <c r="DU29" s="44"/>
      <c r="DV29" s="44"/>
      <c r="DW29" s="44"/>
      <c r="DX29" s="44"/>
      <c r="DY29" s="44"/>
      <c r="DZ29" s="44"/>
      <c r="EA29" s="44"/>
      <c r="EB29" s="44"/>
      <c r="EC29" s="44"/>
      <c r="ED29" s="48"/>
      <c r="EE29" s="48">
        <v>697</v>
      </c>
      <c r="EF29" s="44"/>
      <c r="EG29" s="44"/>
      <c r="EH29" s="44"/>
      <c r="EI29" s="44"/>
      <c r="EJ29" s="44">
        <v>1103</v>
      </c>
      <c r="EK29" s="44"/>
      <c r="EL29" s="44"/>
      <c r="EM29" s="44"/>
      <c r="EN29" s="44"/>
      <c r="EO29" s="44"/>
      <c r="EP29" s="44"/>
      <c r="EQ29" s="45"/>
      <c r="ER29" s="43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  <c r="FI29" s="44"/>
      <c r="FJ29" s="44"/>
      <c r="FK29" s="44"/>
      <c r="FL29" s="44"/>
      <c r="FM29" s="44"/>
      <c r="FN29" s="44"/>
      <c r="FO29" s="45"/>
      <c r="FP29" s="37"/>
      <c r="FQ29" s="37"/>
      <c r="FR29" s="37"/>
      <c r="FS29" s="37"/>
      <c r="FT29" s="37"/>
    </row>
    <row r="30" spans="1:176" s="3" customFormat="1" ht="60" customHeight="1" x14ac:dyDescent="0.35">
      <c r="A30" s="43" t="s">
        <v>28</v>
      </c>
      <c r="B30" s="44"/>
      <c r="C30" s="44"/>
      <c r="D30" s="33">
        <v>0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5"/>
      <c r="AB30" s="33">
        <v>0</v>
      </c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5"/>
      <c r="AZ30" s="33">
        <v>0</v>
      </c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5"/>
      <c r="BX30" s="33">
        <v>0</v>
      </c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5"/>
      <c r="CV30" s="33">
        <v>1600</v>
      </c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5"/>
      <c r="DT30" s="33">
        <v>1800</v>
      </c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  <c r="EM30" s="34"/>
      <c r="EN30" s="34"/>
      <c r="EO30" s="34"/>
      <c r="EP30" s="34"/>
      <c r="EQ30" s="35"/>
      <c r="ER30" s="33">
        <v>0</v>
      </c>
      <c r="ES30" s="34"/>
      <c r="ET30" s="34"/>
      <c r="EU30" s="34"/>
      <c r="EV30" s="34"/>
      <c r="EW30" s="34"/>
      <c r="EX30" s="34"/>
      <c r="EY30" s="34"/>
      <c r="EZ30" s="34"/>
      <c r="FA30" s="34"/>
      <c r="FB30" s="34"/>
      <c r="FC30" s="34"/>
      <c r="FD30" s="34"/>
      <c r="FE30" s="34"/>
      <c r="FF30" s="34"/>
      <c r="FG30" s="34"/>
      <c r="FH30" s="34"/>
      <c r="FI30" s="34"/>
      <c r="FJ30" s="34"/>
      <c r="FK30" s="34"/>
      <c r="FL30" s="34"/>
      <c r="FM30" s="34"/>
      <c r="FN30" s="34"/>
      <c r="FO30" s="35"/>
      <c r="FP30" s="37"/>
      <c r="FQ30" s="37"/>
      <c r="FR30" s="37"/>
      <c r="FS30" s="37"/>
      <c r="FT30" s="37"/>
    </row>
    <row r="31" spans="1:176" s="3" customFormat="1" ht="60" customHeight="1" x14ac:dyDescent="0.35">
      <c r="A31" s="43" t="s">
        <v>53</v>
      </c>
      <c r="B31" s="44"/>
      <c r="C31" s="44"/>
      <c r="D31" s="43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5"/>
      <c r="AB31" s="43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5"/>
      <c r="AZ31" s="43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5"/>
      <c r="BX31" s="43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5"/>
      <c r="CV31" s="51" t="s">
        <v>54</v>
      </c>
      <c r="CW31" s="44"/>
      <c r="CX31" s="44"/>
      <c r="CY31" s="44"/>
      <c r="CZ31" s="44"/>
      <c r="DA31" s="44"/>
      <c r="DB31" s="44"/>
      <c r="DC31" s="44"/>
      <c r="DD31" s="52" t="s">
        <v>54</v>
      </c>
      <c r="DE31" s="44" t="s">
        <v>31</v>
      </c>
      <c r="DF31" s="44"/>
      <c r="DG31" s="52" t="s">
        <v>54</v>
      </c>
      <c r="DH31" s="44"/>
      <c r="DI31" s="44"/>
      <c r="DJ31" s="44"/>
      <c r="DK31" s="44"/>
      <c r="DL31" s="52" t="s">
        <v>54</v>
      </c>
      <c r="DM31" s="44"/>
      <c r="DN31" s="44"/>
      <c r="DO31" s="44"/>
      <c r="DP31" s="44"/>
      <c r="DQ31" s="44"/>
      <c r="DR31" s="44"/>
      <c r="DS31" s="45"/>
      <c r="DT31" s="51" t="s">
        <v>54</v>
      </c>
      <c r="DU31" s="44"/>
      <c r="DV31" s="44"/>
      <c r="DW31" s="44"/>
      <c r="DX31" s="44"/>
      <c r="DY31" s="44"/>
      <c r="DZ31" s="44"/>
      <c r="EA31" s="44"/>
      <c r="EB31" s="52" t="s">
        <v>54</v>
      </c>
      <c r="EC31" s="44"/>
      <c r="ED31" s="44" t="s">
        <v>31</v>
      </c>
      <c r="EE31" s="44"/>
      <c r="EF31" s="52" t="s">
        <v>54</v>
      </c>
      <c r="EG31" s="44"/>
      <c r="EH31" s="44"/>
      <c r="EI31" s="44"/>
      <c r="EJ31" s="52" t="s">
        <v>54</v>
      </c>
      <c r="EK31" s="44"/>
      <c r="EL31" s="44"/>
      <c r="EM31" s="44"/>
      <c r="EN31" s="44"/>
      <c r="EO31" s="44"/>
      <c r="EP31" s="44"/>
      <c r="EQ31" s="45"/>
      <c r="ER31" s="51" t="s">
        <v>54</v>
      </c>
      <c r="ES31" s="44"/>
      <c r="ET31" s="44" t="s">
        <v>31</v>
      </c>
      <c r="EU31" s="44"/>
      <c r="EV31" s="44"/>
      <c r="EW31" s="44"/>
      <c r="EX31" s="44"/>
      <c r="EY31" s="44"/>
      <c r="EZ31" s="44" t="s">
        <v>31</v>
      </c>
      <c r="FA31" s="44"/>
      <c r="FB31" s="44"/>
      <c r="FC31" s="44"/>
      <c r="FD31" s="44"/>
      <c r="FE31" s="44"/>
      <c r="FF31" s="44"/>
      <c r="FG31" s="44"/>
      <c r="FH31" s="44" t="s">
        <v>31</v>
      </c>
      <c r="FI31" s="44"/>
      <c r="FJ31" s="44"/>
      <c r="FK31" s="44"/>
      <c r="FL31" s="44"/>
      <c r="FM31" s="44"/>
      <c r="FN31" s="44"/>
      <c r="FO31" s="45"/>
      <c r="FP31" s="36">
        <v>6832</v>
      </c>
      <c r="FQ31" s="37"/>
      <c r="FR31" s="37"/>
      <c r="FS31" s="37"/>
      <c r="FT31" s="37"/>
    </row>
    <row r="32" spans="1:176" s="3" customFormat="1" ht="109.95" customHeight="1" x14ac:dyDescent="0.35">
      <c r="A32" s="43" t="s">
        <v>25</v>
      </c>
      <c r="B32" s="44"/>
      <c r="C32" s="44"/>
      <c r="D32" s="43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5"/>
      <c r="AB32" s="43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5"/>
      <c r="AZ32" s="43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5"/>
      <c r="BX32" s="43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5"/>
      <c r="CV32" s="43" t="s">
        <v>55</v>
      </c>
      <c r="CW32" s="44"/>
      <c r="CX32" s="44"/>
      <c r="CY32" s="44"/>
      <c r="CZ32" s="44"/>
      <c r="DA32" s="44"/>
      <c r="DB32" s="44"/>
      <c r="DC32" s="44"/>
      <c r="DD32" s="48" t="s">
        <v>55</v>
      </c>
      <c r="DE32" s="49" t="s">
        <v>48</v>
      </c>
      <c r="DF32" s="44"/>
      <c r="DG32" s="48" t="s">
        <v>56</v>
      </c>
      <c r="DH32" s="44"/>
      <c r="DI32" s="44"/>
      <c r="DJ32" s="44"/>
      <c r="DK32" s="44"/>
      <c r="DL32" s="44" t="s">
        <v>56</v>
      </c>
      <c r="DM32" s="44"/>
      <c r="DN32" s="44"/>
      <c r="DO32" s="44"/>
      <c r="DP32" s="44"/>
      <c r="DQ32" s="44"/>
      <c r="DR32" s="44"/>
      <c r="DS32" s="45"/>
      <c r="DT32" s="43" t="s">
        <v>56</v>
      </c>
      <c r="DU32" s="44"/>
      <c r="DV32" s="44"/>
      <c r="DW32" s="44"/>
      <c r="DX32" s="44"/>
      <c r="DY32" s="44"/>
      <c r="DZ32" s="44"/>
      <c r="EA32" s="44"/>
      <c r="EB32" s="48" t="s">
        <v>56</v>
      </c>
      <c r="EC32" s="44"/>
      <c r="ED32" s="49" t="s">
        <v>48</v>
      </c>
      <c r="EE32" s="44"/>
      <c r="EF32" s="48" t="s">
        <v>55</v>
      </c>
      <c r="EG32" s="44"/>
      <c r="EH32" s="44"/>
      <c r="EI32" s="44"/>
      <c r="EJ32" s="44" t="s">
        <v>55</v>
      </c>
      <c r="EK32" s="44"/>
      <c r="EL32" s="44"/>
      <c r="EM32" s="44"/>
      <c r="EN32" s="44"/>
      <c r="EO32" s="44"/>
      <c r="EP32" s="44"/>
      <c r="EQ32" s="45"/>
      <c r="ER32" s="46" t="s">
        <v>55</v>
      </c>
      <c r="ES32" s="44"/>
      <c r="ET32" s="47" t="s">
        <v>49</v>
      </c>
      <c r="EU32" s="44"/>
      <c r="EV32" s="44"/>
      <c r="EW32" s="44"/>
      <c r="EX32" s="44"/>
      <c r="EY32" s="44"/>
      <c r="EZ32" s="47" t="s">
        <v>49</v>
      </c>
      <c r="FA32" s="44"/>
      <c r="FB32" s="44"/>
      <c r="FC32" s="44"/>
      <c r="FD32" s="44"/>
      <c r="FE32" s="44"/>
      <c r="FF32" s="44"/>
      <c r="FG32" s="44"/>
      <c r="FH32" s="47" t="s">
        <v>49</v>
      </c>
      <c r="FI32" s="44"/>
      <c r="FJ32" s="44"/>
      <c r="FK32" s="44"/>
      <c r="FL32" s="44"/>
      <c r="FM32" s="44"/>
      <c r="FN32" s="44"/>
      <c r="FO32" s="45"/>
      <c r="FP32" s="37"/>
      <c r="FQ32" s="37"/>
      <c r="FR32" s="37"/>
      <c r="FS32" s="37"/>
      <c r="FT32" s="37"/>
    </row>
    <row r="33" spans="1:207" s="3" customFormat="1" ht="60" customHeight="1" x14ac:dyDescent="0.35">
      <c r="A33" s="43" t="s">
        <v>27</v>
      </c>
      <c r="B33" s="44"/>
      <c r="C33" s="44"/>
      <c r="D33" s="43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5"/>
      <c r="AB33" s="43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5"/>
      <c r="AZ33" s="43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5"/>
      <c r="BX33" s="43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  <c r="CT33" s="44"/>
      <c r="CU33" s="45"/>
      <c r="CV33" s="43">
        <v>641</v>
      </c>
      <c r="CW33" s="44"/>
      <c r="CX33" s="44"/>
      <c r="CY33" s="44"/>
      <c r="CZ33" s="44"/>
      <c r="DA33" s="44"/>
      <c r="DB33" s="44"/>
      <c r="DC33" s="44"/>
      <c r="DD33" s="48">
        <v>91</v>
      </c>
      <c r="DE33" s="48"/>
      <c r="DF33" s="44"/>
      <c r="DG33" s="48">
        <v>1048</v>
      </c>
      <c r="DH33" s="44"/>
      <c r="DI33" s="44"/>
      <c r="DJ33" s="44"/>
      <c r="DK33" s="44"/>
      <c r="DL33" s="44">
        <v>1725</v>
      </c>
      <c r="DM33" s="44"/>
      <c r="DN33" s="44"/>
      <c r="DO33" s="44"/>
      <c r="DP33" s="44"/>
      <c r="DQ33" s="44"/>
      <c r="DR33" s="44"/>
      <c r="DS33" s="45"/>
      <c r="DT33" s="43">
        <v>1725</v>
      </c>
      <c r="DU33" s="44"/>
      <c r="DV33" s="44"/>
      <c r="DW33" s="44"/>
      <c r="DX33" s="44"/>
      <c r="DY33" s="44"/>
      <c r="DZ33" s="44"/>
      <c r="EA33" s="44"/>
      <c r="EB33" s="48">
        <v>502</v>
      </c>
      <c r="EC33" s="44"/>
      <c r="ED33" s="48"/>
      <c r="EE33" s="44"/>
      <c r="EF33" s="48">
        <v>294</v>
      </c>
      <c r="EG33" s="44"/>
      <c r="EH33" s="44"/>
      <c r="EI33" s="44"/>
      <c r="EJ33" s="44">
        <v>641</v>
      </c>
      <c r="EK33" s="44"/>
      <c r="EL33" s="44"/>
      <c r="EM33" s="44"/>
      <c r="EN33" s="44"/>
      <c r="EO33" s="44"/>
      <c r="EP33" s="44"/>
      <c r="EQ33" s="45"/>
      <c r="ER33" s="46">
        <v>165</v>
      </c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44"/>
      <c r="FG33" s="44"/>
      <c r="FH33" s="44"/>
      <c r="FI33" s="44"/>
      <c r="FJ33" s="44"/>
      <c r="FK33" s="44"/>
      <c r="FL33" s="44"/>
      <c r="FM33" s="44"/>
      <c r="FN33" s="44"/>
      <c r="FO33" s="45"/>
      <c r="FP33" s="37"/>
      <c r="FQ33" s="37"/>
      <c r="FR33" s="37"/>
      <c r="FS33" s="37"/>
      <c r="FT33" s="37"/>
    </row>
    <row r="34" spans="1:207" s="3" customFormat="1" ht="60" customHeight="1" x14ac:dyDescent="0.35">
      <c r="A34" s="43" t="s">
        <v>28</v>
      </c>
      <c r="B34" s="44"/>
      <c r="C34" s="44"/>
      <c r="D34" s="33">
        <v>0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5"/>
      <c r="AB34" s="33">
        <v>0</v>
      </c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5"/>
      <c r="AZ34" s="33">
        <v>0</v>
      </c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5"/>
      <c r="BX34" s="33">
        <v>0</v>
      </c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5"/>
      <c r="CV34" s="33">
        <v>3505</v>
      </c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5"/>
      <c r="DT34" s="33">
        <v>3162</v>
      </c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34"/>
      <c r="EH34" s="34"/>
      <c r="EI34" s="34"/>
      <c r="EJ34" s="34"/>
      <c r="EK34" s="34"/>
      <c r="EL34" s="34"/>
      <c r="EM34" s="34"/>
      <c r="EN34" s="34"/>
      <c r="EO34" s="34"/>
      <c r="EP34" s="34"/>
      <c r="EQ34" s="35"/>
      <c r="ER34" s="33">
        <v>165</v>
      </c>
      <c r="ES34" s="34"/>
      <c r="ET34" s="34"/>
      <c r="EU34" s="34"/>
      <c r="EV34" s="34"/>
      <c r="EW34" s="34"/>
      <c r="EX34" s="34"/>
      <c r="EY34" s="34"/>
      <c r="EZ34" s="34"/>
      <c r="FA34" s="34"/>
      <c r="FB34" s="34"/>
      <c r="FC34" s="34"/>
      <c r="FD34" s="34"/>
      <c r="FE34" s="34"/>
      <c r="FF34" s="34"/>
      <c r="FG34" s="34"/>
      <c r="FH34" s="34"/>
      <c r="FI34" s="34"/>
      <c r="FJ34" s="34"/>
      <c r="FK34" s="34"/>
      <c r="FL34" s="34"/>
      <c r="FM34" s="34"/>
      <c r="FN34" s="34"/>
      <c r="FO34" s="35"/>
      <c r="FP34" s="37"/>
      <c r="FQ34" s="37"/>
      <c r="FR34" s="37"/>
      <c r="FS34" s="37"/>
      <c r="FT34" s="37"/>
    </row>
    <row r="35" spans="1:207" s="3" customFormat="1" ht="60" customHeight="1" x14ac:dyDescent="0.35">
      <c r="A35" s="43" t="s">
        <v>31</v>
      </c>
      <c r="B35" s="44"/>
      <c r="C35" s="44"/>
      <c r="D35" s="43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5"/>
      <c r="AB35" s="43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5"/>
      <c r="AZ35" s="43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5"/>
      <c r="BX35" s="43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5"/>
      <c r="CV35" s="43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5"/>
      <c r="DT35" s="43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O35" s="44"/>
      <c r="EP35" s="44"/>
      <c r="EQ35" s="45"/>
      <c r="ER35" s="43"/>
      <c r="ES35" s="44"/>
      <c r="ET35" s="44"/>
      <c r="EU35" s="44"/>
      <c r="EV35" s="44"/>
      <c r="EW35" s="44"/>
      <c r="EX35" s="44"/>
      <c r="EY35" s="44"/>
      <c r="EZ35" s="44"/>
      <c r="FA35" s="44"/>
      <c r="FB35" s="44"/>
      <c r="FC35" s="44"/>
      <c r="FD35" s="44"/>
      <c r="FE35" s="44"/>
      <c r="FF35" s="44"/>
      <c r="FG35" s="44"/>
      <c r="FH35" s="44"/>
      <c r="FI35" s="44"/>
      <c r="FJ35" s="44"/>
      <c r="FK35" s="44"/>
      <c r="FL35" s="44"/>
      <c r="FM35" s="44"/>
      <c r="FN35" s="44"/>
      <c r="FO35" s="45"/>
      <c r="FP35" s="36">
        <v>0</v>
      </c>
      <c r="FQ35" s="37"/>
      <c r="FR35" s="37"/>
      <c r="FS35" s="37"/>
      <c r="FT35" s="37"/>
    </row>
    <row r="36" spans="1:207" s="3" customFormat="1" ht="109.95" customHeight="1" x14ac:dyDescent="0.35">
      <c r="A36" s="43" t="s">
        <v>25</v>
      </c>
      <c r="B36" s="44"/>
      <c r="C36" s="44"/>
      <c r="D36" s="43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5"/>
      <c r="AB36" s="43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5"/>
      <c r="AZ36" s="43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5"/>
      <c r="BX36" s="43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5"/>
      <c r="CV36" s="43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5"/>
      <c r="DT36" s="43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5"/>
      <c r="ER36" s="43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4"/>
      <c r="FN36" s="44"/>
      <c r="FO36" s="45"/>
      <c r="FP36" s="37"/>
      <c r="FQ36" s="37"/>
      <c r="FR36" s="37"/>
      <c r="FS36" s="37"/>
      <c r="FT36" s="37"/>
    </row>
    <row r="37" spans="1:207" s="3" customFormat="1" ht="60" customHeight="1" x14ac:dyDescent="0.35">
      <c r="A37" s="43" t="s">
        <v>27</v>
      </c>
      <c r="B37" s="44"/>
      <c r="C37" s="44"/>
      <c r="D37" s="43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5"/>
      <c r="AB37" s="43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5"/>
      <c r="AZ37" s="43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5"/>
      <c r="BX37" s="43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5"/>
      <c r="CV37" s="43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5"/>
      <c r="DT37" s="43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  <c r="EL37" s="44"/>
      <c r="EM37" s="44"/>
      <c r="EN37" s="44"/>
      <c r="EO37" s="44"/>
      <c r="EP37" s="44"/>
      <c r="EQ37" s="45"/>
      <c r="ER37" s="43"/>
      <c r="ES37" s="44"/>
      <c r="ET37" s="44"/>
      <c r="EU37" s="44"/>
      <c r="EV37" s="44"/>
      <c r="EW37" s="44"/>
      <c r="EX37" s="44"/>
      <c r="EY37" s="44"/>
      <c r="EZ37" s="44"/>
      <c r="FA37" s="44"/>
      <c r="FB37" s="44"/>
      <c r="FC37" s="44"/>
      <c r="FD37" s="44"/>
      <c r="FE37" s="44"/>
      <c r="FF37" s="44"/>
      <c r="FG37" s="44"/>
      <c r="FH37" s="44"/>
      <c r="FI37" s="44"/>
      <c r="FJ37" s="44"/>
      <c r="FK37" s="44"/>
      <c r="FL37" s="44"/>
      <c r="FM37" s="44"/>
      <c r="FN37" s="44"/>
      <c r="FO37" s="45"/>
      <c r="FP37" s="37"/>
      <c r="FQ37" s="37"/>
      <c r="FR37" s="37"/>
      <c r="FS37" s="37"/>
      <c r="FT37" s="37"/>
    </row>
    <row r="38" spans="1:207" s="3" customFormat="1" ht="60" customHeight="1" x14ac:dyDescent="0.35">
      <c r="A38" s="43" t="s">
        <v>28</v>
      </c>
      <c r="B38" s="44"/>
      <c r="C38" s="44"/>
      <c r="D38" s="33">
        <v>0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5"/>
      <c r="AB38" s="33">
        <v>0</v>
      </c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5"/>
      <c r="AZ38" s="33">
        <v>0</v>
      </c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5"/>
      <c r="BX38" s="33">
        <v>0</v>
      </c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5"/>
      <c r="CV38" s="33">
        <v>0</v>
      </c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5"/>
      <c r="DT38" s="33">
        <v>0</v>
      </c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5"/>
      <c r="ER38" s="33">
        <v>0</v>
      </c>
      <c r="ES38" s="34"/>
      <c r="ET38" s="34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  <c r="FI38" s="34"/>
      <c r="FJ38" s="34"/>
      <c r="FK38" s="34"/>
      <c r="FL38" s="34"/>
      <c r="FM38" s="34"/>
      <c r="FN38" s="34"/>
      <c r="FO38" s="35"/>
      <c r="FP38" s="37"/>
      <c r="FQ38" s="37"/>
      <c r="FR38" s="37"/>
      <c r="FS38" s="37"/>
      <c r="FT38" s="37"/>
    </row>
    <row r="39" spans="1:207" s="3" customFormat="1" ht="64.95" customHeight="1" x14ac:dyDescent="0.35">
      <c r="A39" s="38" t="s">
        <v>57</v>
      </c>
      <c r="B39" s="39"/>
      <c r="C39" s="39"/>
      <c r="D39" s="40">
        <v>0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2"/>
      <c r="AB39" s="40">
        <v>0</v>
      </c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2"/>
      <c r="AZ39" s="40">
        <v>0</v>
      </c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2"/>
      <c r="BX39" s="40">
        <v>0</v>
      </c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2"/>
      <c r="CV39" s="40">
        <v>17054</v>
      </c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2"/>
      <c r="DT39" s="40">
        <v>18320</v>
      </c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2"/>
      <c r="ER39" s="40">
        <v>10033</v>
      </c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2"/>
      <c r="FP39" s="37">
        <v>45407</v>
      </c>
      <c r="FQ39" s="37"/>
      <c r="FR39" s="37"/>
      <c r="FS39" s="37"/>
      <c r="FT39" s="37"/>
    </row>
    <row r="41" spans="1:207" x14ac:dyDescent="0.35">
      <c r="A41" s="21" t="s">
        <v>58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BB41" s="21" t="s">
        <v>59</v>
      </c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X41" s="21" t="s">
        <v>60</v>
      </c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</row>
    <row r="42" spans="1:207" x14ac:dyDescent="0.35">
      <c r="A42" s="21" t="s">
        <v>61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 t="s">
        <v>62</v>
      </c>
      <c r="M42" s="21"/>
      <c r="N42" s="21"/>
      <c r="O42" s="21"/>
      <c r="P42" s="21"/>
      <c r="Q42" s="21"/>
      <c r="R42" s="21"/>
      <c r="S42" s="21"/>
      <c r="T42" s="21" t="s">
        <v>63</v>
      </c>
      <c r="U42" s="21"/>
      <c r="V42" s="21"/>
      <c r="W42" s="21"/>
      <c r="X42" s="21"/>
      <c r="Y42" s="21"/>
      <c r="Z42" s="21"/>
      <c r="AA42" s="21"/>
      <c r="AB42" s="21" t="s">
        <v>64</v>
      </c>
      <c r="AC42" s="21"/>
      <c r="AD42" s="21"/>
      <c r="AE42" s="21"/>
      <c r="AF42" s="21"/>
      <c r="AG42" s="21"/>
      <c r="AH42" s="21"/>
      <c r="AI42" s="21"/>
      <c r="AJ42" s="21" t="s">
        <v>65</v>
      </c>
      <c r="AK42" s="21"/>
      <c r="AL42" s="21"/>
      <c r="AM42" s="21"/>
      <c r="AN42" s="21"/>
      <c r="AO42" s="21"/>
      <c r="AP42" s="21"/>
      <c r="AQ42" s="21"/>
      <c r="AR42" s="21" t="s">
        <v>66</v>
      </c>
      <c r="AS42" s="21"/>
      <c r="AT42" s="21"/>
      <c r="AU42" s="21"/>
      <c r="AV42" s="21"/>
      <c r="AW42" s="21"/>
      <c r="AX42" s="21"/>
      <c r="AY42" s="21"/>
      <c r="BB42" s="21" t="s">
        <v>67</v>
      </c>
      <c r="BC42" s="21"/>
      <c r="BD42" s="21"/>
      <c r="BE42" s="21"/>
      <c r="BF42" s="21"/>
      <c r="BG42" s="21"/>
      <c r="BH42" s="21"/>
      <c r="BI42" s="21"/>
      <c r="BJ42" s="21" t="s">
        <v>61</v>
      </c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 t="s">
        <v>62</v>
      </c>
      <c r="CA42" s="21"/>
      <c r="CB42" s="21"/>
      <c r="CC42" s="21"/>
      <c r="CD42" s="21"/>
      <c r="CE42" s="21"/>
      <c r="CF42" s="21"/>
      <c r="CG42" s="21"/>
      <c r="CH42" s="21" t="s">
        <v>68</v>
      </c>
      <c r="CI42" s="21"/>
      <c r="CJ42" s="21"/>
      <c r="CK42" s="21"/>
      <c r="CL42" s="21"/>
      <c r="CM42" s="21"/>
      <c r="CN42" s="21"/>
      <c r="CO42" s="21"/>
      <c r="CP42" s="21" t="s">
        <v>63</v>
      </c>
      <c r="CQ42" s="21"/>
      <c r="CR42" s="21"/>
      <c r="CS42" s="21"/>
      <c r="CT42" s="21"/>
      <c r="CU42" s="21"/>
      <c r="CV42" s="21"/>
      <c r="CW42" s="21"/>
      <c r="CX42" s="21" t="s">
        <v>64</v>
      </c>
      <c r="CY42" s="21"/>
      <c r="CZ42" s="21"/>
      <c r="DA42" s="21"/>
      <c r="DB42" s="21"/>
      <c r="DC42" s="21"/>
      <c r="DD42" s="21"/>
      <c r="DE42" s="21"/>
      <c r="DF42" s="21" t="s">
        <v>65</v>
      </c>
      <c r="DG42" s="21"/>
      <c r="DH42" s="21"/>
      <c r="DI42" s="21"/>
      <c r="DJ42" s="21"/>
      <c r="DK42" s="21"/>
      <c r="DL42" s="21"/>
      <c r="DM42" s="21"/>
      <c r="DN42" s="21" t="s">
        <v>66</v>
      </c>
      <c r="DO42" s="21"/>
      <c r="DP42" s="21"/>
      <c r="DQ42" s="21"/>
      <c r="DR42" s="21"/>
      <c r="DS42" s="21"/>
      <c r="DT42" s="21"/>
      <c r="DU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 t="s">
        <v>23</v>
      </c>
      <c r="EO42" s="21"/>
      <c r="EP42" s="21"/>
      <c r="EQ42" s="21"/>
      <c r="ER42" s="21"/>
      <c r="ES42" s="21"/>
      <c r="ET42" s="21"/>
      <c r="EU42" s="21"/>
      <c r="EV42" s="21" t="s">
        <v>29</v>
      </c>
      <c r="EW42" s="21"/>
      <c r="EX42" s="21"/>
      <c r="EY42" s="21"/>
      <c r="EZ42" s="21"/>
      <c r="FA42" s="21"/>
      <c r="FB42" s="21"/>
      <c r="FC42" s="21"/>
      <c r="FD42" s="21" t="s">
        <v>36</v>
      </c>
      <c r="FE42" s="21"/>
      <c r="FF42" s="21"/>
      <c r="FG42" s="21"/>
      <c r="FH42" s="21"/>
      <c r="FI42" s="21"/>
      <c r="FJ42" s="21"/>
      <c r="FK42" s="21"/>
      <c r="FL42" s="21" t="s">
        <v>41</v>
      </c>
      <c r="FM42" s="21"/>
      <c r="FN42" s="21"/>
      <c r="FO42" s="21"/>
      <c r="FP42" s="21"/>
      <c r="FQ42" s="21"/>
      <c r="FR42" s="21"/>
      <c r="FS42" s="21"/>
      <c r="FT42" s="21" t="s">
        <v>50</v>
      </c>
      <c r="FU42" s="21"/>
      <c r="FV42" s="21"/>
      <c r="FW42" s="21"/>
      <c r="FX42" s="21"/>
      <c r="FY42" s="21"/>
      <c r="FZ42" s="21"/>
      <c r="GA42" s="21"/>
      <c r="GB42" s="21" t="s">
        <v>53</v>
      </c>
      <c r="GC42" s="21"/>
      <c r="GD42" s="21"/>
      <c r="GE42" s="21"/>
      <c r="GF42" s="21"/>
      <c r="GG42" s="21"/>
      <c r="GH42" s="21"/>
      <c r="GI42" s="21"/>
      <c r="GJ42" s="21" t="s">
        <v>31</v>
      </c>
      <c r="GK42" s="21"/>
      <c r="GL42" s="21"/>
      <c r="GM42" s="21"/>
      <c r="GN42" s="21"/>
      <c r="GO42" s="21"/>
      <c r="GP42" s="21"/>
      <c r="GQ42" s="21"/>
      <c r="GR42" s="21" t="s">
        <v>69</v>
      </c>
      <c r="GS42" s="21"/>
      <c r="GT42" s="21"/>
      <c r="GU42" s="21"/>
      <c r="GV42" s="21"/>
      <c r="GW42" s="21"/>
      <c r="GX42" s="21"/>
      <c r="GY42" s="21"/>
    </row>
    <row r="43" spans="1:207" ht="25.2" x14ac:dyDescent="0.35">
      <c r="A43" s="21" t="s">
        <v>70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6">
        <v>9494</v>
      </c>
      <c r="M43" s="26"/>
      <c r="N43" s="26"/>
      <c r="O43" s="26"/>
      <c r="P43" s="26"/>
      <c r="Q43" s="26"/>
      <c r="R43" s="26"/>
      <c r="S43" s="26"/>
      <c r="T43" s="26">
        <v>1000</v>
      </c>
      <c r="U43" s="26"/>
      <c r="V43" s="26"/>
      <c r="W43" s="26"/>
      <c r="X43" s="26"/>
      <c r="Y43" s="26"/>
      <c r="Z43" s="26"/>
      <c r="AA43" s="26"/>
      <c r="AB43" s="26">
        <v>13</v>
      </c>
      <c r="AC43" s="26"/>
      <c r="AD43" s="26"/>
      <c r="AE43" s="26"/>
      <c r="AF43" s="26"/>
      <c r="AG43" s="26"/>
      <c r="AH43" s="26"/>
      <c r="AI43" s="26"/>
      <c r="AJ43" s="26">
        <v>3400</v>
      </c>
      <c r="AK43" s="26"/>
      <c r="AL43" s="26"/>
      <c r="AM43" s="26"/>
      <c r="AN43" s="26"/>
      <c r="AO43" s="26"/>
      <c r="AP43" s="26"/>
      <c r="AQ43" s="26"/>
      <c r="AR43" s="26">
        <v>340000</v>
      </c>
      <c r="AS43" s="26"/>
      <c r="AT43" s="26"/>
      <c r="AU43" s="26"/>
      <c r="AV43" s="26"/>
      <c r="AW43" s="26"/>
      <c r="AX43" s="26"/>
      <c r="AY43" s="26"/>
      <c r="BB43" s="30" t="s">
        <v>23</v>
      </c>
      <c r="BC43" s="31"/>
      <c r="BD43" s="31"/>
      <c r="BE43" s="31"/>
      <c r="BF43" s="31"/>
      <c r="BG43" s="31"/>
      <c r="BH43" s="31"/>
      <c r="BI43" s="32"/>
      <c r="BJ43" s="30" t="s">
        <v>71</v>
      </c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2"/>
      <c r="BZ43" s="27">
        <v>3617</v>
      </c>
      <c r="CA43" s="28"/>
      <c r="CB43" s="28"/>
      <c r="CC43" s="28"/>
      <c r="CD43" s="28"/>
      <c r="CE43" s="28"/>
      <c r="CF43" s="28"/>
      <c r="CG43" s="29"/>
      <c r="CH43" s="27">
        <v>80</v>
      </c>
      <c r="CI43" s="28"/>
      <c r="CJ43" s="28"/>
      <c r="CK43" s="28"/>
      <c r="CL43" s="28"/>
      <c r="CM43" s="28"/>
      <c r="CN43" s="28"/>
      <c r="CO43" s="29"/>
      <c r="CP43" s="27">
        <v>175</v>
      </c>
      <c r="CQ43" s="28"/>
      <c r="CR43" s="28"/>
      <c r="CS43" s="28"/>
      <c r="CT43" s="28"/>
      <c r="CU43" s="28"/>
      <c r="CV43" s="28"/>
      <c r="CW43" s="29"/>
      <c r="CX43" s="27">
        <v>38</v>
      </c>
      <c r="CY43" s="28"/>
      <c r="CZ43" s="28"/>
      <c r="DA43" s="28"/>
      <c r="DB43" s="28"/>
      <c r="DC43" s="28"/>
      <c r="DD43" s="28"/>
      <c r="DE43" s="29"/>
      <c r="DF43" s="27">
        <v>5821</v>
      </c>
      <c r="DG43" s="28"/>
      <c r="DH43" s="28"/>
      <c r="DI43" s="28"/>
      <c r="DJ43" s="28"/>
      <c r="DK43" s="28"/>
      <c r="DL43" s="28"/>
      <c r="DM43" s="29"/>
      <c r="DN43" s="27">
        <v>3326283</v>
      </c>
      <c r="DO43" s="28"/>
      <c r="DP43" s="28"/>
      <c r="DQ43" s="28"/>
      <c r="DR43" s="28"/>
      <c r="DS43" s="28"/>
      <c r="DT43" s="28"/>
      <c r="DU43" s="29"/>
      <c r="DX43" s="21" t="s">
        <v>48</v>
      </c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4">
        <v>0</v>
      </c>
      <c r="EO43" s="21"/>
      <c r="EP43" s="21"/>
      <c r="EQ43" s="21"/>
      <c r="ER43" s="21"/>
      <c r="ES43" s="21"/>
      <c r="ET43" s="21"/>
      <c r="EU43" s="21"/>
      <c r="EV43" s="24">
        <v>0.42277777777777797</v>
      </c>
      <c r="EW43" s="21"/>
      <c r="EX43" s="21"/>
      <c r="EY43" s="21"/>
      <c r="EZ43" s="21"/>
      <c r="FA43" s="21"/>
      <c r="FB43" s="21"/>
      <c r="FC43" s="21"/>
      <c r="FD43" s="24">
        <v>0</v>
      </c>
      <c r="FE43" s="21"/>
      <c r="FF43" s="21"/>
      <c r="FG43" s="21"/>
      <c r="FH43" s="21"/>
      <c r="FI43" s="21"/>
      <c r="FJ43" s="21"/>
      <c r="FK43" s="21"/>
      <c r="FL43" s="24">
        <v>1</v>
      </c>
      <c r="FM43" s="21"/>
      <c r="FN43" s="21"/>
      <c r="FO43" s="21"/>
      <c r="FP43" s="21"/>
      <c r="FQ43" s="21"/>
      <c r="FR43" s="21"/>
      <c r="FS43" s="21"/>
      <c r="FT43" s="24">
        <v>0</v>
      </c>
      <c r="FU43" s="21"/>
      <c r="FV43" s="21"/>
      <c r="FW43" s="21"/>
      <c r="FX43" s="21"/>
      <c r="FY43" s="21"/>
      <c r="FZ43" s="21"/>
      <c r="GA43" s="21"/>
      <c r="GB43" s="24">
        <v>4</v>
      </c>
      <c r="GC43" s="21"/>
      <c r="GD43" s="21"/>
      <c r="GE43" s="21"/>
      <c r="GF43" s="21"/>
      <c r="GG43" s="21"/>
      <c r="GH43" s="21"/>
      <c r="GI43" s="21"/>
      <c r="GJ43" s="24">
        <v>0</v>
      </c>
      <c r="GK43" s="21"/>
      <c r="GL43" s="21"/>
      <c r="GM43" s="21"/>
      <c r="GN43" s="21"/>
      <c r="GO43" s="21"/>
      <c r="GP43" s="21"/>
      <c r="GQ43" s="21"/>
      <c r="GR43" s="24">
        <f t="shared" ref="GR43:GR49" si="0">SUM(EN43:GQ43)</f>
        <v>5.4227777777777781</v>
      </c>
      <c r="GS43" s="21"/>
      <c r="GT43" s="21"/>
      <c r="GU43" s="21"/>
      <c r="GV43" s="21"/>
      <c r="GW43" s="21"/>
      <c r="GX43" s="21"/>
      <c r="GY43" s="21"/>
    </row>
    <row r="44" spans="1:207" ht="25.2" x14ac:dyDescent="0.35">
      <c r="A44" s="21" t="s">
        <v>72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6">
        <v>3128</v>
      </c>
      <c r="M44" s="26"/>
      <c r="N44" s="26"/>
      <c r="O44" s="26"/>
      <c r="P44" s="26"/>
      <c r="Q44" s="26"/>
      <c r="R44" s="26"/>
      <c r="S44" s="26"/>
      <c r="T44" s="26">
        <v>330</v>
      </c>
      <c r="U44" s="26"/>
      <c r="V44" s="26"/>
      <c r="W44" s="26"/>
      <c r="X44" s="26"/>
      <c r="Y44" s="26"/>
      <c r="Z44" s="26"/>
      <c r="AA44" s="26"/>
      <c r="AB44" s="26">
        <v>30</v>
      </c>
      <c r="AC44" s="26"/>
      <c r="AD44" s="26"/>
      <c r="AE44" s="26"/>
      <c r="AF44" s="26"/>
      <c r="AG44" s="26"/>
      <c r="AH44" s="26"/>
      <c r="AI44" s="26"/>
      <c r="AJ44" s="26">
        <v>7968</v>
      </c>
      <c r="AK44" s="26"/>
      <c r="AL44" s="26"/>
      <c r="AM44" s="26"/>
      <c r="AN44" s="26"/>
      <c r="AO44" s="26"/>
      <c r="AP44" s="26"/>
      <c r="AQ44" s="26"/>
      <c r="AR44" s="26">
        <v>2414575</v>
      </c>
      <c r="AS44" s="26"/>
      <c r="AT44" s="26"/>
      <c r="AU44" s="26"/>
      <c r="AV44" s="26"/>
      <c r="AW44" s="26"/>
      <c r="AX44" s="26"/>
      <c r="AY44" s="26"/>
      <c r="BB44" s="30" t="s">
        <v>29</v>
      </c>
      <c r="BC44" s="31"/>
      <c r="BD44" s="31"/>
      <c r="BE44" s="31"/>
      <c r="BF44" s="31"/>
      <c r="BG44" s="31"/>
      <c r="BH44" s="31"/>
      <c r="BI44" s="32"/>
      <c r="BJ44" s="30" t="s">
        <v>72</v>
      </c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2"/>
      <c r="BZ44" s="27">
        <v>3128</v>
      </c>
      <c r="CA44" s="28"/>
      <c r="CB44" s="28"/>
      <c r="CC44" s="28"/>
      <c r="CD44" s="28"/>
      <c r="CE44" s="28"/>
      <c r="CF44" s="28"/>
      <c r="CG44" s="29"/>
      <c r="CH44" s="27">
        <v>74</v>
      </c>
      <c r="CI44" s="28"/>
      <c r="CJ44" s="28"/>
      <c r="CK44" s="28"/>
      <c r="CL44" s="28"/>
      <c r="CM44" s="28"/>
      <c r="CN44" s="28"/>
      <c r="CO44" s="29"/>
      <c r="CP44" s="27">
        <v>330</v>
      </c>
      <c r="CQ44" s="28"/>
      <c r="CR44" s="28"/>
      <c r="CS44" s="28"/>
      <c r="CT44" s="28"/>
      <c r="CU44" s="28"/>
      <c r="CV44" s="28"/>
      <c r="CW44" s="29"/>
      <c r="CX44" s="27">
        <v>30</v>
      </c>
      <c r="CY44" s="28"/>
      <c r="CZ44" s="28"/>
      <c r="DA44" s="28"/>
      <c r="DB44" s="28"/>
      <c r="DC44" s="28"/>
      <c r="DD44" s="28"/>
      <c r="DE44" s="29"/>
      <c r="DF44" s="27">
        <v>7968</v>
      </c>
      <c r="DG44" s="28"/>
      <c r="DH44" s="28"/>
      <c r="DI44" s="28"/>
      <c r="DJ44" s="28"/>
      <c r="DK44" s="28"/>
      <c r="DL44" s="28"/>
      <c r="DM44" s="29"/>
      <c r="DN44" s="27">
        <v>2414575</v>
      </c>
      <c r="DO44" s="28"/>
      <c r="DP44" s="28"/>
      <c r="DQ44" s="28"/>
      <c r="DR44" s="28"/>
      <c r="DS44" s="28"/>
      <c r="DT44" s="28"/>
      <c r="DU44" s="29"/>
      <c r="DX44" s="21" t="s">
        <v>34</v>
      </c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4">
        <v>0</v>
      </c>
      <c r="EO44" s="21"/>
      <c r="EP44" s="21"/>
      <c r="EQ44" s="21"/>
      <c r="ER44" s="21"/>
      <c r="ES44" s="21"/>
      <c r="ET44" s="21"/>
      <c r="EU44" s="21"/>
      <c r="EV44" s="24">
        <v>2</v>
      </c>
      <c r="EW44" s="21"/>
      <c r="EX44" s="21"/>
      <c r="EY44" s="21"/>
      <c r="EZ44" s="21"/>
      <c r="FA44" s="21"/>
      <c r="FB44" s="21"/>
      <c r="FC44" s="21"/>
      <c r="FD44" s="24">
        <v>3</v>
      </c>
      <c r="FE44" s="21"/>
      <c r="FF44" s="21"/>
      <c r="FG44" s="21"/>
      <c r="FH44" s="21"/>
      <c r="FI44" s="21"/>
      <c r="FJ44" s="21"/>
      <c r="FK44" s="21"/>
      <c r="FL44" s="24">
        <v>0</v>
      </c>
      <c r="FM44" s="21"/>
      <c r="FN44" s="21"/>
      <c r="FO44" s="21"/>
      <c r="FP44" s="21"/>
      <c r="FQ44" s="21"/>
      <c r="FR44" s="21"/>
      <c r="FS44" s="21"/>
      <c r="FT44" s="24">
        <v>0</v>
      </c>
      <c r="FU44" s="21"/>
      <c r="FV44" s="21"/>
      <c r="FW44" s="21"/>
      <c r="FX44" s="21"/>
      <c r="FY44" s="21"/>
      <c r="FZ44" s="21"/>
      <c r="GA44" s="21"/>
      <c r="GB44" s="24">
        <v>0</v>
      </c>
      <c r="GC44" s="21"/>
      <c r="GD44" s="21"/>
      <c r="GE44" s="21"/>
      <c r="GF44" s="21"/>
      <c r="GG44" s="21"/>
      <c r="GH44" s="21"/>
      <c r="GI44" s="21"/>
      <c r="GJ44" s="24">
        <v>0</v>
      </c>
      <c r="GK44" s="21"/>
      <c r="GL44" s="21"/>
      <c r="GM44" s="21"/>
      <c r="GN44" s="21"/>
      <c r="GO44" s="21"/>
      <c r="GP44" s="21"/>
      <c r="GQ44" s="21"/>
      <c r="GR44" s="24">
        <f t="shared" si="0"/>
        <v>5</v>
      </c>
      <c r="GS44" s="21"/>
      <c r="GT44" s="21"/>
      <c r="GU44" s="21"/>
      <c r="GV44" s="21"/>
      <c r="GW44" s="21"/>
      <c r="GX44" s="21"/>
      <c r="GY44" s="21"/>
    </row>
    <row r="45" spans="1:207" ht="25.2" x14ac:dyDescent="0.35">
      <c r="A45" s="21" t="s">
        <v>73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6">
        <v>3751</v>
      </c>
      <c r="M45" s="26"/>
      <c r="N45" s="26"/>
      <c r="O45" s="26"/>
      <c r="P45" s="26"/>
      <c r="Q45" s="26"/>
      <c r="R45" s="26"/>
      <c r="S45" s="26"/>
      <c r="T45" s="26">
        <v>330</v>
      </c>
      <c r="U45" s="26"/>
      <c r="V45" s="26"/>
      <c r="W45" s="26"/>
      <c r="X45" s="26"/>
      <c r="Y45" s="26"/>
      <c r="Z45" s="26"/>
      <c r="AA45" s="26"/>
      <c r="AB45" s="26">
        <v>30</v>
      </c>
      <c r="AC45" s="26"/>
      <c r="AD45" s="26"/>
      <c r="AE45" s="26"/>
      <c r="AF45" s="26"/>
      <c r="AG45" s="26"/>
      <c r="AH45" s="26"/>
      <c r="AI45" s="26"/>
      <c r="AJ45" s="26">
        <v>1019</v>
      </c>
      <c r="AK45" s="26"/>
      <c r="AL45" s="26"/>
      <c r="AM45" s="26"/>
      <c r="AN45" s="26"/>
      <c r="AO45" s="26"/>
      <c r="AP45" s="26"/>
      <c r="AQ45" s="26"/>
      <c r="AR45" s="26">
        <v>308788</v>
      </c>
      <c r="AS45" s="26"/>
      <c r="AT45" s="26"/>
      <c r="AU45" s="26"/>
      <c r="AV45" s="26"/>
      <c r="AW45" s="26"/>
      <c r="AX45" s="26"/>
      <c r="AY45" s="26"/>
      <c r="BB45" s="30" t="s">
        <v>29</v>
      </c>
      <c r="BC45" s="31"/>
      <c r="BD45" s="31"/>
      <c r="BE45" s="31"/>
      <c r="BF45" s="31"/>
      <c r="BG45" s="31"/>
      <c r="BH45" s="31"/>
      <c r="BI45" s="32"/>
      <c r="BJ45" s="30" t="s">
        <v>74</v>
      </c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2"/>
      <c r="BZ45" s="27">
        <v>13451</v>
      </c>
      <c r="CA45" s="28"/>
      <c r="CB45" s="28"/>
      <c r="CC45" s="28"/>
      <c r="CD45" s="28"/>
      <c r="CE45" s="28"/>
      <c r="CF45" s="28"/>
      <c r="CG45" s="29"/>
      <c r="CH45" s="27">
        <v>90</v>
      </c>
      <c r="CI45" s="28"/>
      <c r="CJ45" s="28"/>
      <c r="CK45" s="28"/>
      <c r="CL45" s="28"/>
      <c r="CM45" s="28"/>
      <c r="CN45" s="28"/>
      <c r="CO45" s="29"/>
      <c r="CP45" s="27">
        <v>320</v>
      </c>
      <c r="CQ45" s="28"/>
      <c r="CR45" s="28"/>
      <c r="CS45" s="28"/>
      <c r="CT45" s="28"/>
      <c r="CU45" s="28"/>
      <c r="CV45" s="28"/>
      <c r="CW45" s="29"/>
      <c r="CX45" s="27">
        <v>30</v>
      </c>
      <c r="CY45" s="28"/>
      <c r="CZ45" s="28"/>
      <c r="DA45" s="28"/>
      <c r="DB45" s="28"/>
      <c r="DC45" s="28"/>
      <c r="DD45" s="28"/>
      <c r="DE45" s="29"/>
      <c r="DF45" s="27">
        <v>4192</v>
      </c>
      <c r="DG45" s="28"/>
      <c r="DH45" s="28"/>
      <c r="DI45" s="28"/>
      <c r="DJ45" s="28"/>
      <c r="DK45" s="28"/>
      <c r="DL45" s="28"/>
      <c r="DM45" s="29"/>
      <c r="DN45" s="27">
        <v>1310000</v>
      </c>
      <c r="DO45" s="28"/>
      <c r="DP45" s="28"/>
      <c r="DQ45" s="28"/>
      <c r="DR45" s="28"/>
      <c r="DS45" s="28"/>
      <c r="DT45" s="28"/>
      <c r="DU45" s="29"/>
      <c r="DX45" s="21" t="s">
        <v>75</v>
      </c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4">
        <v>0</v>
      </c>
      <c r="EO45" s="21"/>
      <c r="EP45" s="21"/>
      <c r="EQ45" s="21"/>
      <c r="ER45" s="21"/>
      <c r="ES45" s="21"/>
      <c r="ET45" s="21"/>
      <c r="EU45" s="21"/>
      <c r="EV45" s="24">
        <v>0</v>
      </c>
      <c r="EW45" s="21"/>
      <c r="EX45" s="21"/>
      <c r="EY45" s="21"/>
      <c r="EZ45" s="21"/>
      <c r="FA45" s="21"/>
      <c r="FB45" s="21"/>
      <c r="FC45" s="21"/>
      <c r="FD45" s="24">
        <v>8</v>
      </c>
      <c r="FE45" s="21"/>
      <c r="FF45" s="21"/>
      <c r="FG45" s="21"/>
      <c r="FH45" s="21"/>
      <c r="FI45" s="21"/>
      <c r="FJ45" s="21"/>
      <c r="FK45" s="21"/>
      <c r="FL45" s="24">
        <v>1</v>
      </c>
      <c r="FM45" s="21"/>
      <c r="FN45" s="21"/>
      <c r="FO45" s="21"/>
      <c r="FP45" s="21"/>
      <c r="FQ45" s="21"/>
      <c r="FR45" s="21"/>
      <c r="FS45" s="21"/>
      <c r="FT45" s="24">
        <v>2</v>
      </c>
      <c r="FU45" s="21"/>
      <c r="FV45" s="21"/>
      <c r="FW45" s="21"/>
      <c r="FX45" s="21"/>
      <c r="FY45" s="21"/>
      <c r="FZ45" s="21"/>
      <c r="GA45" s="21"/>
      <c r="GB45" s="24">
        <v>0</v>
      </c>
      <c r="GC45" s="21"/>
      <c r="GD45" s="21"/>
      <c r="GE45" s="21"/>
      <c r="GF45" s="21"/>
      <c r="GG45" s="21"/>
      <c r="GH45" s="21"/>
      <c r="GI45" s="21"/>
      <c r="GJ45" s="24">
        <v>0</v>
      </c>
      <c r="GK45" s="21"/>
      <c r="GL45" s="21"/>
      <c r="GM45" s="21"/>
      <c r="GN45" s="21"/>
      <c r="GO45" s="21"/>
      <c r="GP45" s="21"/>
      <c r="GQ45" s="21"/>
      <c r="GR45" s="24">
        <f t="shared" si="0"/>
        <v>11</v>
      </c>
      <c r="GS45" s="21"/>
      <c r="GT45" s="21"/>
      <c r="GU45" s="21"/>
      <c r="GV45" s="21"/>
      <c r="GW45" s="21"/>
      <c r="GX45" s="21"/>
      <c r="GY45" s="21"/>
    </row>
    <row r="46" spans="1:207" ht="25.2" x14ac:dyDescent="0.35">
      <c r="A46" s="21" t="s">
        <v>74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6">
        <v>13451</v>
      </c>
      <c r="M46" s="26"/>
      <c r="N46" s="26"/>
      <c r="O46" s="26"/>
      <c r="P46" s="26"/>
      <c r="Q46" s="26"/>
      <c r="R46" s="26"/>
      <c r="S46" s="26"/>
      <c r="T46" s="26">
        <v>320</v>
      </c>
      <c r="U46" s="26"/>
      <c r="V46" s="26"/>
      <c r="W46" s="26"/>
      <c r="X46" s="26"/>
      <c r="Y46" s="26"/>
      <c r="Z46" s="26"/>
      <c r="AA46" s="26"/>
      <c r="AB46" s="26">
        <v>30</v>
      </c>
      <c r="AC46" s="26"/>
      <c r="AD46" s="26"/>
      <c r="AE46" s="26"/>
      <c r="AF46" s="26"/>
      <c r="AG46" s="26"/>
      <c r="AH46" s="26"/>
      <c r="AI46" s="26"/>
      <c r="AJ46" s="26">
        <v>4192</v>
      </c>
      <c r="AK46" s="26"/>
      <c r="AL46" s="26"/>
      <c r="AM46" s="26"/>
      <c r="AN46" s="26"/>
      <c r="AO46" s="26"/>
      <c r="AP46" s="26"/>
      <c r="AQ46" s="26"/>
      <c r="AR46" s="26">
        <v>1310000</v>
      </c>
      <c r="AS46" s="26"/>
      <c r="AT46" s="26"/>
      <c r="AU46" s="26"/>
      <c r="AV46" s="26"/>
      <c r="AW46" s="26"/>
      <c r="AX46" s="26"/>
      <c r="AY46" s="26"/>
      <c r="BB46" s="30" t="s">
        <v>36</v>
      </c>
      <c r="BC46" s="31"/>
      <c r="BD46" s="31"/>
      <c r="BE46" s="31"/>
      <c r="BF46" s="31"/>
      <c r="BG46" s="31"/>
      <c r="BH46" s="31"/>
      <c r="BI46" s="32"/>
      <c r="BJ46" s="30" t="s">
        <v>73</v>
      </c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2"/>
      <c r="BZ46" s="27">
        <v>3751</v>
      </c>
      <c r="CA46" s="28"/>
      <c r="CB46" s="28"/>
      <c r="CC46" s="28"/>
      <c r="CD46" s="28"/>
      <c r="CE46" s="28"/>
      <c r="CF46" s="28"/>
      <c r="CG46" s="29"/>
      <c r="CH46" s="27">
        <v>75</v>
      </c>
      <c r="CI46" s="28"/>
      <c r="CJ46" s="28"/>
      <c r="CK46" s="28"/>
      <c r="CL46" s="28"/>
      <c r="CM46" s="28"/>
      <c r="CN46" s="28"/>
      <c r="CO46" s="29"/>
      <c r="CP46" s="27">
        <v>330</v>
      </c>
      <c r="CQ46" s="28"/>
      <c r="CR46" s="28"/>
      <c r="CS46" s="28"/>
      <c r="CT46" s="28"/>
      <c r="CU46" s="28"/>
      <c r="CV46" s="28"/>
      <c r="CW46" s="29"/>
      <c r="CX46" s="27">
        <v>30</v>
      </c>
      <c r="CY46" s="28"/>
      <c r="CZ46" s="28"/>
      <c r="DA46" s="28"/>
      <c r="DB46" s="28"/>
      <c r="DC46" s="28"/>
      <c r="DD46" s="28"/>
      <c r="DE46" s="29"/>
      <c r="DF46" s="27">
        <v>1019</v>
      </c>
      <c r="DG46" s="28"/>
      <c r="DH46" s="28"/>
      <c r="DI46" s="28"/>
      <c r="DJ46" s="28"/>
      <c r="DK46" s="28"/>
      <c r="DL46" s="28"/>
      <c r="DM46" s="29"/>
      <c r="DN46" s="27">
        <v>308788</v>
      </c>
      <c r="DO46" s="28"/>
      <c r="DP46" s="28"/>
      <c r="DQ46" s="28"/>
      <c r="DR46" s="28"/>
      <c r="DS46" s="28"/>
      <c r="DT46" s="28"/>
      <c r="DU46" s="29"/>
      <c r="DX46" s="21" t="s">
        <v>76</v>
      </c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4">
        <v>0</v>
      </c>
      <c r="EO46" s="21"/>
      <c r="EP46" s="21"/>
      <c r="EQ46" s="21"/>
      <c r="ER46" s="21"/>
      <c r="ES46" s="21"/>
      <c r="ET46" s="21"/>
      <c r="EU46" s="21"/>
      <c r="EV46" s="24">
        <v>0</v>
      </c>
      <c r="EW46" s="21"/>
      <c r="EX46" s="21"/>
      <c r="EY46" s="21"/>
      <c r="EZ46" s="21"/>
      <c r="FA46" s="21"/>
      <c r="FB46" s="21"/>
      <c r="FC46" s="21"/>
      <c r="FD46" s="24">
        <v>0</v>
      </c>
      <c r="FE46" s="21"/>
      <c r="FF46" s="21"/>
      <c r="FG46" s="21"/>
      <c r="FH46" s="21"/>
      <c r="FI46" s="21"/>
      <c r="FJ46" s="21"/>
      <c r="FK46" s="21"/>
      <c r="FL46" s="24">
        <v>0</v>
      </c>
      <c r="FM46" s="21"/>
      <c r="FN46" s="21"/>
      <c r="FO46" s="21"/>
      <c r="FP46" s="21"/>
      <c r="FQ46" s="21"/>
      <c r="FR46" s="21"/>
      <c r="FS46" s="21"/>
      <c r="FT46" s="24">
        <v>0</v>
      </c>
      <c r="FU46" s="21"/>
      <c r="FV46" s="21"/>
      <c r="FW46" s="21"/>
      <c r="FX46" s="21"/>
      <c r="FY46" s="21"/>
      <c r="FZ46" s="21"/>
      <c r="GA46" s="21"/>
      <c r="GB46" s="24">
        <v>0</v>
      </c>
      <c r="GC46" s="21"/>
      <c r="GD46" s="21"/>
      <c r="GE46" s="21"/>
      <c r="GF46" s="21"/>
      <c r="GG46" s="21"/>
      <c r="GH46" s="21"/>
      <c r="GI46" s="21"/>
      <c r="GJ46" s="24">
        <v>0</v>
      </c>
      <c r="GK46" s="21"/>
      <c r="GL46" s="21"/>
      <c r="GM46" s="21"/>
      <c r="GN46" s="21"/>
      <c r="GO46" s="21"/>
      <c r="GP46" s="21"/>
      <c r="GQ46" s="21"/>
      <c r="GR46" s="24">
        <f t="shared" si="0"/>
        <v>0</v>
      </c>
      <c r="GS46" s="21"/>
      <c r="GT46" s="21"/>
      <c r="GU46" s="21"/>
      <c r="GV46" s="21"/>
      <c r="GW46" s="21"/>
      <c r="GX46" s="21"/>
      <c r="GY46" s="21"/>
    </row>
    <row r="47" spans="1:207" ht="25.2" x14ac:dyDescent="0.35">
      <c r="A47" s="21" t="s">
        <v>77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6">
        <v>20867</v>
      </c>
      <c r="M47" s="26"/>
      <c r="N47" s="26"/>
      <c r="O47" s="26"/>
      <c r="P47" s="26"/>
      <c r="Q47" s="26"/>
      <c r="R47" s="26"/>
      <c r="S47" s="26"/>
      <c r="T47" s="26">
        <v>330</v>
      </c>
      <c r="U47" s="26"/>
      <c r="V47" s="26"/>
      <c r="W47" s="26"/>
      <c r="X47" s="26"/>
      <c r="Y47" s="26"/>
      <c r="Z47" s="26"/>
      <c r="AA47" s="26"/>
      <c r="AB47" s="26">
        <v>30</v>
      </c>
      <c r="AC47" s="26"/>
      <c r="AD47" s="26"/>
      <c r="AE47" s="26"/>
      <c r="AF47" s="26"/>
      <c r="AG47" s="26"/>
      <c r="AH47" s="26"/>
      <c r="AI47" s="26"/>
      <c r="AJ47" s="26">
        <v>8000</v>
      </c>
      <c r="AK47" s="26"/>
      <c r="AL47" s="26"/>
      <c r="AM47" s="26"/>
      <c r="AN47" s="26"/>
      <c r="AO47" s="26"/>
      <c r="AP47" s="26"/>
      <c r="AQ47" s="26"/>
      <c r="AR47" s="26">
        <v>2424244</v>
      </c>
      <c r="AS47" s="26"/>
      <c r="AT47" s="26"/>
      <c r="AU47" s="26"/>
      <c r="AV47" s="26"/>
      <c r="AW47" s="26"/>
      <c r="AX47" s="26"/>
      <c r="AY47" s="26"/>
      <c r="BB47" s="30" t="s">
        <v>36</v>
      </c>
      <c r="BC47" s="31"/>
      <c r="BD47" s="31"/>
      <c r="BE47" s="31"/>
      <c r="BF47" s="31"/>
      <c r="BG47" s="31"/>
      <c r="BH47" s="31"/>
      <c r="BI47" s="32"/>
      <c r="BJ47" s="30" t="s">
        <v>77</v>
      </c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2"/>
      <c r="BZ47" s="27">
        <v>20867</v>
      </c>
      <c r="CA47" s="28"/>
      <c r="CB47" s="28"/>
      <c r="CC47" s="28"/>
      <c r="CD47" s="28"/>
      <c r="CE47" s="28"/>
      <c r="CF47" s="28"/>
      <c r="CG47" s="29"/>
      <c r="CH47" s="27">
        <v>90</v>
      </c>
      <c r="CI47" s="28"/>
      <c r="CJ47" s="28"/>
      <c r="CK47" s="28"/>
      <c r="CL47" s="28"/>
      <c r="CM47" s="28"/>
      <c r="CN47" s="28"/>
      <c r="CO47" s="29"/>
      <c r="CP47" s="27">
        <v>330</v>
      </c>
      <c r="CQ47" s="28"/>
      <c r="CR47" s="28"/>
      <c r="CS47" s="28"/>
      <c r="CT47" s="28"/>
      <c r="CU47" s="28"/>
      <c r="CV47" s="28"/>
      <c r="CW47" s="29"/>
      <c r="CX47" s="27">
        <v>30</v>
      </c>
      <c r="CY47" s="28"/>
      <c r="CZ47" s="28"/>
      <c r="DA47" s="28"/>
      <c r="DB47" s="28"/>
      <c r="DC47" s="28"/>
      <c r="DD47" s="28"/>
      <c r="DE47" s="29"/>
      <c r="DF47" s="27">
        <v>8000</v>
      </c>
      <c r="DG47" s="28"/>
      <c r="DH47" s="28"/>
      <c r="DI47" s="28"/>
      <c r="DJ47" s="28"/>
      <c r="DK47" s="28"/>
      <c r="DL47" s="28"/>
      <c r="DM47" s="29"/>
      <c r="DN47" s="27">
        <v>2424244</v>
      </c>
      <c r="DO47" s="28"/>
      <c r="DP47" s="28"/>
      <c r="DQ47" s="28"/>
      <c r="DR47" s="28"/>
      <c r="DS47" s="28"/>
      <c r="DT47" s="28"/>
      <c r="DU47" s="29"/>
      <c r="DX47" s="21" t="s">
        <v>78</v>
      </c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4">
        <v>55.44</v>
      </c>
      <c r="EO47" s="21"/>
      <c r="EP47" s="21"/>
      <c r="EQ47" s="21"/>
      <c r="ER47" s="21"/>
      <c r="ES47" s="21"/>
      <c r="ET47" s="21"/>
      <c r="EU47" s="21"/>
      <c r="EV47" s="24">
        <v>51.729736111111109</v>
      </c>
      <c r="EW47" s="21"/>
      <c r="EX47" s="21"/>
      <c r="EY47" s="21"/>
      <c r="EZ47" s="21"/>
      <c r="FA47" s="21"/>
      <c r="FB47" s="21"/>
      <c r="FC47" s="21"/>
      <c r="FD47" s="24">
        <v>44.546075000000002</v>
      </c>
      <c r="FE47" s="21"/>
      <c r="FF47" s="21"/>
      <c r="FG47" s="21"/>
      <c r="FH47" s="21"/>
      <c r="FI47" s="21"/>
      <c r="FJ47" s="21"/>
      <c r="FK47" s="21"/>
      <c r="FL47" s="24">
        <v>33.383583333333334</v>
      </c>
      <c r="FM47" s="21"/>
      <c r="FN47" s="21"/>
      <c r="FO47" s="21"/>
      <c r="FP47" s="21"/>
      <c r="FQ47" s="21"/>
      <c r="FR47" s="21"/>
      <c r="FS47" s="21"/>
      <c r="FT47" s="24">
        <v>19.999572222222223</v>
      </c>
      <c r="FU47" s="21"/>
      <c r="FV47" s="21"/>
      <c r="FW47" s="21"/>
      <c r="FX47" s="21"/>
      <c r="FY47" s="21"/>
      <c r="FZ47" s="21"/>
      <c r="GA47" s="21"/>
      <c r="GB47" s="24">
        <v>35.472188888888887</v>
      </c>
      <c r="GC47" s="21"/>
      <c r="GD47" s="21"/>
      <c r="GE47" s="21"/>
      <c r="GF47" s="21"/>
      <c r="GG47" s="21"/>
      <c r="GH47" s="21"/>
      <c r="GI47" s="21"/>
      <c r="GJ47" s="24">
        <v>0</v>
      </c>
      <c r="GK47" s="21"/>
      <c r="GL47" s="21"/>
      <c r="GM47" s="21"/>
      <c r="GN47" s="21"/>
      <c r="GO47" s="21"/>
      <c r="GP47" s="21"/>
      <c r="GQ47" s="21"/>
      <c r="GR47" s="24">
        <f t="shared" si="0"/>
        <v>240.57115555555555</v>
      </c>
      <c r="GS47" s="21"/>
      <c r="GT47" s="21"/>
      <c r="GU47" s="21"/>
      <c r="GV47" s="21"/>
      <c r="GW47" s="21"/>
      <c r="GX47" s="21"/>
      <c r="GY47" s="21"/>
    </row>
    <row r="48" spans="1:207" ht="25.2" x14ac:dyDescent="0.35">
      <c r="A48" s="21" t="s">
        <v>71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6">
        <v>3617</v>
      </c>
      <c r="M48" s="26"/>
      <c r="N48" s="26"/>
      <c r="O48" s="26"/>
      <c r="P48" s="26"/>
      <c r="Q48" s="26"/>
      <c r="R48" s="26"/>
      <c r="S48" s="26"/>
      <c r="T48" s="26">
        <v>175</v>
      </c>
      <c r="U48" s="26"/>
      <c r="V48" s="26"/>
      <c r="W48" s="26"/>
      <c r="X48" s="26"/>
      <c r="Y48" s="26"/>
      <c r="Z48" s="26"/>
      <c r="AA48" s="26"/>
      <c r="AB48" s="26">
        <v>38</v>
      </c>
      <c r="AC48" s="26"/>
      <c r="AD48" s="26"/>
      <c r="AE48" s="26"/>
      <c r="AF48" s="26"/>
      <c r="AG48" s="26"/>
      <c r="AH48" s="26"/>
      <c r="AI48" s="26"/>
      <c r="AJ48" s="26">
        <v>5821</v>
      </c>
      <c r="AK48" s="26"/>
      <c r="AL48" s="26"/>
      <c r="AM48" s="26"/>
      <c r="AN48" s="26"/>
      <c r="AO48" s="26"/>
      <c r="AP48" s="26"/>
      <c r="AQ48" s="26"/>
      <c r="AR48" s="26">
        <v>3326283</v>
      </c>
      <c r="AS48" s="26"/>
      <c r="AT48" s="26"/>
      <c r="AU48" s="26"/>
      <c r="AV48" s="26"/>
      <c r="AW48" s="26"/>
      <c r="AX48" s="26"/>
      <c r="AY48" s="26"/>
      <c r="BB48" s="30" t="s">
        <v>36</v>
      </c>
      <c r="BC48" s="31"/>
      <c r="BD48" s="31"/>
      <c r="BE48" s="31"/>
      <c r="BF48" s="31"/>
      <c r="BG48" s="31"/>
      <c r="BH48" s="31"/>
      <c r="BI48" s="32"/>
      <c r="BJ48" s="30" t="s">
        <v>79</v>
      </c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2"/>
      <c r="BZ48" s="27">
        <v>2512</v>
      </c>
      <c r="CA48" s="28"/>
      <c r="CB48" s="28"/>
      <c r="CC48" s="28"/>
      <c r="CD48" s="28"/>
      <c r="CE48" s="28"/>
      <c r="CF48" s="28"/>
      <c r="CG48" s="29"/>
      <c r="CH48" s="27">
        <v>90</v>
      </c>
      <c r="CI48" s="28"/>
      <c r="CJ48" s="28"/>
      <c r="CK48" s="28"/>
      <c r="CL48" s="28"/>
      <c r="CM48" s="28"/>
      <c r="CN48" s="28"/>
      <c r="CO48" s="29"/>
      <c r="CP48" s="27">
        <v>330</v>
      </c>
      <c r="CQ48" s="28"/>
      <c r="CR48" s="28"/>
      <c r="CS48" s="28"/>
      <c r="CT48" s="28"/>
      <c r="CU48" s="28"/>
      <c r="CV48" s="28"/>
      <c r="CW48" s="29"/>
      <c r="CX48" s="27">
        <v>30</v>
      </c>
      <c r="CY48" s="28"/>
      <c r="CZ48" s="28"/>
      <c r="DA48" s="28"/>
      <c r="DB48" s="28"/>
      <c r="DC48" s="28"/>
      <c r="DD48" s="28"/>
      <c r="DE48" s="29"/>
      <c r="DF48" s="27">
        <v>1565</v>
      </c>
      <c r="DG48" s="28"/>
      <c r="DH48" s="28"/>
      <c r="DI48" s="28"/>
      <c r="DJ48" s="28"/>
      <c r="DK48" s="28"/>
      <c r="DL48" s="28"/>
      <c r="DM48" s="29"/>
      <c r="DN48" s="27">
        <v>474243</v>
      </c>
      <c r="DO48" s="28"/>
      <c r="DP48" s="28"/>
      <c r="DQ48" s="28"/>
      <c r="DR48" s="28"/>
      <c r="DS48" s="28"/>
      <c r="DT48" s="28"/>
      <c r="DU48" s="29"/>
      <c r="DX48" s="21" t="s">
        <v>80</v>
      </c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4">
        <v>16.559999999999999</v>
      </c>
      <c r="EO48" s="21"/>
      <c r="EP48" s="21"/>
      <c r="EQ48" s="21"/>
      <c r="ER48" s="21"/>
      <c r="ES48" s="21"/>
      <c r="ET48" s="21"/>
      <c r="EU48" s="21"/>
      <c r="EV48" s="24">
        <v>17.847486111111113</v>
      </c>
      <c r="EW48" s="21"/>
      <c r="EX48" s="21"/>
      <c r="EY48" s="21"/>
      <c r="EZ48" s="21"/>
      <c r="FA48" s="21"/>
      <c r="FB48" s="21"/>
      <c r="FC48" s="21"/>
      <c r="FD48" s="24">
        <v>16.453925000000002</v>
      </c>
      <c r="FE48" s="21"/>
      <c r="FF48" s="21"/>
      <c r="FG48" s="21"/>
      <c r="FH48" s="21"/>
      <c r="FI48" s="21"/>
      <c r="FJ48" s="21"/>
      <c r="FK48" s="21"/>
      <c r="FL48" s="24">
        <v>14.30725</v>
      </c>
      <c r="FM48" s="21"/>
      <c r="FN48" s="21"/>
      <c r="FO48" s="21"/>
      <c r="FP48" s="21"/>
      <c r="FQ48" s="21"/>
      <c r="FR48" s="21"/>
      <c r="FS48" s="21"/>
      <c r="FT48" s="24">
        <v>4.3901500000000002</v>
      </c>
      <c r="FU48" s="21"/>
      <c r="FV48" s="21"/>
      <c r="FW48" s="21"/>
      <c r="FX48" s="21"/>
      <c r="FY48" s="21"/>
      <c r="FZ48" s="21"/>
      <c r="GA48" s="21"/>
      <c r="GB48" s="24">
        <v>10.595588888888887</v>
      </c>
      <c r="GC48" s="21"/>
      <c r="GD48" s="21"/>
      <c r="GE48" s="21"/>
      <c r="GF48" s="21"/>
      <c r="GG48" s="21"/>
      <c r="GH48" s="21"/>
      <c r="GI48" s="21"/>
      <c r="GJ48" s="24">
        <v>0</v>
      </c>
      <c r="GK48" s="21"/>
      <c r="GL48" s="21"/>
      <c r="GM48" s="21"/>
      <c r="GN48" s="21"/>
      <c r="GO48" s="21"/>
      <c r="GP48" s="21"/>
      <c r="GQ48" s="21"/>
      <c r="GR48" s="24">
        <f t="shared" si="0"/>
        <v>80.154399999999995</v>
      </c>
      <c r="GS48" s="21"/>
      <c r="GT48" s="21"/>
      <c r="GU48" s="21"/>
      <c r="GV48" s="21"/>
      <c r="GW48" s="21"/>
      <c r="GX48" s="21"/>
      <c r="GY48" s="21"/>
    </row>
    <row r="49" spans="1:207" ht="25.2" x14ac:dyDescent="0.35">
      <c r="A49" s="21" t="s">
        <v>79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6">
        <v>2512</v>
      </c>
      <c r="M49" s="26"/>
      <c r="N49" s="26"/>
      <c r="O49" s="26"/>
      <c r="P49" s="26"/>
      <c r="Q49" s="26"/>
      <c r="R49" s="26"/>
      <c r="S49" s="26"/>
      <c r="T49" s="26">
        <v>330</v>
      </c>
      <c r="U49" s="26"/>
      <c r="V49" s="26"/>
      <c r="W49" s="26"/>
      <c r="X49" s="26"/>
      <c r="Y49" s="26"/>
      <c r="Z49" s="26"/>
      <c r="AA49" s="26"/>
      <c r="AB49" s="26">
        <v>30</v>
      </c>
      <c r="AC49" s="26"/>
      <c r="AD49" s="26"/>
      <c r="AE49" s="26"/>
      <c r="AF49" s="26"/>
      <c r="AG49" s="26"/>
      <c r="AH49" s="26"/>
      <c r="AI49" s="26"/>
      <c r="AJ49" s="26">
        <v>1565</v>
      </c>
      <c r="AK49" s="26"/>
      <c r="AL49" s="26"/>
      <c r="AM49" s="26"/>
      <c r="AN49" s="26"/>
      <c r="AO49" s="26"/>
      <c r="AP49" s="26"/>
      <c r="AQ49" s="26"/>
      <c r="AR49" s="26">
        <v>474243</v>
      </c>
      <c r="AS49" s="26"/>
      <c r="AT49" s="26"/>
      <c r="AU49" s="26"/>
      <c r="AV49" s="26"/>
      <c r="AW49" s="26"/>
      <c r="AX49" s="26"/>
      <c r="AY49" s="26"/>
      <c r="BB49" s="30" t="s">
        <v>41</v>
      </c>
      <c r="BC49" s="31"/>
      <c r="BD49" s="31"/>
      <c r="BE49" s="31"/>
      <c r="BF49" s="31"/>
      <c r="BG49" s="31"/>
      <c r="BH49" s="31"/>
      <c r="BI49" s="32"/>
      <c r="BJ49" s="30" t="s">
        <v>81</v>
      </c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2"/>
      <c r="BZ49" s="27">
        <v>16210</v>
      </c>
      <c r="CA49" s="28"/>
      <c r="CB49" s="28"/>
      <c r="CC49" s="28"/>
      <c r="CD49" s="28"/>
      <c r="CE49" s="28"/>
      <c r="CF49" s="28"/>
      <c r="CG49" s="29"/>
      <c r="CH49" s="27">
        <v>90</v>
      </c>
      <c r="CI49" s="28"/>
      <c r="CJ49" s="28"/>
      <c r="CK49" s="28"/>
      <c r="CL49" s="28"/>
      <c r="CM49" s="28"/>
      <c r="CN49" s="28"/>
      <c r="CO49" s="29"/>
      <c r="CP49" s="27">
        <v>330</v>
      </c>
      <c r="CQ49" s="28"/>
      <c r="CR49" s="28"/>
      <c r="CS49" s="28"/>
      <c r="CT49" s="28"/>
      <c r="CU49" s="28"/>
      <c r="CV49" s="28"/>
      <c r="CW49" s="29"/>
      <c r="CX49" s="27">
        <v>6</v>
      </c>
      <c r="CY49" s="28"/>
      <c r="CZ49" s="28"/>
      <c r="DA49" s="28"/>
      <c r="DB49" s="28"/>
      <c r="DC49" s="28"/>
      <c r="DD49" s="28"/>
      <c r="DE49" s="29"/>
      <c r="DF49" s="27">
        <v>1846</v>
      </c>
      <c r="DG49" s="28"/>
      <c r="DH49" s="28"/>
      <c r="DI49" s="28"/>
      <c r="DJ49" s="28"/>
      <c r="DK49" s="28"/>
      <c r="DL49" s="28"/>
      <c r="DM49" s="29"/>
      <c r="DN49" s="27">
        <v>559394</v>
      </c>
      <c r="DO49" s="28"/>
      <c r="DP49" s="28"/>
      <c r="DQ49" s="28"/>
      <c r="DR49" s="28"/>
      <c r="DS49" s="28"/>
      <c r="DT49" s="28"/>
      <c r="DU49" s="29"/>
      <c r="DX49" s="21" t="s">
        <v>82</v>
      </c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4">
        <f>SUM(EN43:EU48)</f>
        <v>72</v>
      </c>
      <c r="EO49" s="21"/>
      <c r="EP49" s="21"/>
      <c r="EQ49" s="21"/>
      <c r="ER49" s="21"/>
      <c r="ES49" s="21"/>
      <c r="ET49" s="21"/>
      <c r="EU49" s="21"/>
      <c r="EV49" s="24">
        <f>SUM(EV43:FC48)</f>
        <v>72</v>
      </c>
      <c r="EW49" s="21"/>
      <c r="EX49" s="21"/>
      <c r="EY49" s="21"/>
      <c r="EZ49" s="21"/>
      <c r="FA49" s="21"/>
      <c r="FB49" s="21"/>
      <c r="FC49" s="21"/>
      <c r="FD49" s="24">
        <f>SUM(FD43:FK48)</f>
        <v>72</v>
      </c>
      <c r="FE49" s="21"/>
      <c r="FF49" s="21"/>
      <c r="FG49" s="21"/>
      <c r="FH49" s="21"/>
      <c r="FI49" s="21"/>
      <c r="FJ49" s="21"/>
      <c r="FK49" s="21"/>
      <c r="FL49" s="24">
        <f>SUM(FL43:FS48)</f>
        <v>49.69083333333333</v>
      </c>
      <c r="FM49" s="21"/>
      <c r="FN49" s="21"/>
      <c r="FO49" s="21"/>
      <c r="FP49" s="21"/>
      <c r="FQ49" s="21"/>
      <c r="FR49" s="21"/>
      <c r="FS49" s="21"/>
      <c r="FT49" s="24">
        <f>SUM(FT43:GA48)</f>
        <v>26.389722222222225</v>
      </c>
      <c r="FU49" s="21"/>
      <c r="FV49" s="21"/>
      <c r="FW49" s="21"/>
      <c r="FX49" s="21"/>
      <c r="FY49" s="21"/>
      <c r="FZ49" s="21"/>
      <c r="GA49" s="21"/>
      <c r="GB49" s="24">
        <f>SUM(GB43:GI48)</f>
        <v>50.067777777777778</v>
      </c>
      <c r="GC49" s="21"/>
      <c r="GD49" s="21"/>
      <c r="GE49" s="21"/>
      <c r="GF49" s="21"/>
      <c r="GG49" s="21"/>
      <c r="GH49" s="21"/>
      <c r="GI49" s="21"/>
      <c r="GJ49" s="24">
        <f>SUM(GJ43:GQ48)</f>
        <v>0</v>
      </c>
      <c r="GK49" s="21"/>
      <c r="GL49" s="21"/>
      <c r="GM49" s="21"/>
      <c r="GN49" s="21"/>
      <c r="GO49" s="21"/>
      <c r="GP49" s="21"/>
      <c r="GQ49" s="21"/>
      <c r="GR49" s="24">
        <f t="shared" si="0"/>
        <v>342.14833333333337</v>
      </c>
      <c r="GS49" s="21"/>
      <c r="GT49" s="21"/>
      <c r="GU49" s="21"/>
      <c r="GV49" s="21"/>
      <c r="GW49" s="21"/>
      <c r="GX49" s="21"/>
      <c r="GY49" s="21"/>
    </row>
    <row r="50" spans="1:207" ht="25.2" x14ac:dyDescent="0.35">
      <c r="A50" s="21" t="s">
        <v>81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6">
        <v>16210</v>
      </c>
      <c r="M50" s="26"/>
      <c r="N50" s="26"/>
      <c r="O50" s="26"/>
      <c r="P50" s="26"/>
      <c r="Q50" s="26"/>
      <c r="R50" s="26"/>
      <c r="S50" s="26"/>
      <c r="T50" s="26">
        <v>330</v>
      </c>
      <c r="U50" s="26"/>
      <c r="V50" s="26"/>
      <c r="W50" s="26"/>
      <c r="X50" s="26"/>
      <c r="Y50" s="26"/>
      <c r="Z50" s="26"/>
      <c r="AA50" s="26"/>
      <c r="AB50" s="26">
        <v>6</v>
      </c>
      <c r="AC50" s="26"/>
      <c r="AD50" s="26"/>
      <c r="AE50" s="26"/>
      <c r="AF50" s="26"/>
      <c r="AG50" s="26"/>
      <c r="AH50" s="26"/>
      <c r="AI50" s="26"/>
      <c r="AJ50" s="26">
        <v>1846</v>
      </c>
      <c r="AK50" s="26"/>
      <c r="AL50" s="26"/>
      <c r="AM50" s="26"/>
      <c r="AN50" s="26"/>
      <c r="AO50" s="26"/>
      <c r="AP50" s="26"/>
      <c r="AQ50" s="26"/>
      <c r="AR50" s="26">
        <v>559394</v>
      </c>
      <c r="AS50" s="26"/>
      <c r="AT50" s="26"/>
      <c r="AU50" s="26"/>
      <c r="AV50" s="26"/>
      <c r="AW50" s="26"/>
      <c r="AX50" s="26"/>
      <c r="AY50" s="26"/>
      <c r="BB50" s="30" t="s">
        <v>41</v>
      </c>
      <c r="BC50" s="31"/>
      <c r="BD50" s="31"/>
      <c r="BE50" s="31"/>
      <c r="BF50" s="31"/>
      <c r="BG50" s="31"/>
      <c r="BH50" s="31"/>
      <c r="BI50" s="32"/>
      <c r="BJ50" s="30" t="s">
        <v>83</v>
      </c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2"/>
      <c r="BZ50" s="27">
        <v>22753</v>
      </c>
      <c r="CA50" s="28"/>
      <c r="CB50" s="28"/>
      <c r="CC50" s="28"/>
      <c r="CD50" s="28"/>
      <c r="CE50" s="28"/>
      <c r="CF50" s="28"/>
      <c r="CG50" s="29"/>
      <c r="CH50" s="27">
        <v>90</v>
      </c>
      <c r="CI50" s="28"/>
      <c r="CJ50" s="28"/>
      <c r="CK50" s="28"/>
      <c r="CL50" s="28"/>
      <c r="CM50" s="28"/>
      <c r="CN50" s="28"/>
      <c r="CO50" s="29"/>
      <c r="CP50" s="27">
        <v>330</v>
      </c>
      <c r="CQ50" s="28"/>
      <c r="CR50" s="28"/>
      <c r="CS50" s="28"/>
      <c r="CT50" s="28"/>
      <c r="CU50" s="28"/>
      <c r="CV50" s="28"/>
      <c r="CW50" s="29"/>
      <c r="CX50" s="27">
        <v>6</v>
      </c>
      <c r="CY50" s="28"/>
      <c r="CZ50" s="28"/>
      <c r="DA50" s="28"/>
      <c r="DB50" s="28"/>
      <c r="DC50" s="28"/>
      <c r="DD50" s="28"/>
      <c r="DE50" s="29"/>
      <c r="DF50" s="27">
        <v>4098</v>
      </c>
      <c r="DG50" s="28"/>
      <c r="DH50" s="28"/>
      <c r="DI50" s="28"/>
      <c r="DJ50" s="28"/>
      <c r="DK50" s="28"/>
      <c r="DL50" s="28"/>
      <c r="DM50" s="29"/>
      <c r="DN50" s="27">
        <v>1241819</v>
      </c>
      <c r="DO50" s="28"/>
      <c r="DP50" s="28"/>
      <c r="DQ50" s="28"/>
      <c r="DR50" s="28"/>
      <c r="DS50" s="28"/>
      <c r="DT50" s="28"/>
      <c r="DU50" s="29"/>
      <c r="DX50" s="21" t="s">
        <v>84</v>
      </c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5">
        <f>IF(EN49=0,0,EN47/EN49)</f>
        <v>0.77</v>
      </c>
      <c r="EO50" s="25"/>
      <c r="EP50" s="25"/>
      <c r="EQ50" s="25"/>
      <c r="ER50" s="25"/>
      <c r="ES50" s="25"/>
      <c r="ET50" s="25"/>
      <c r="EU50" s="25"/>
      <c r="EV50" s="25">
        <f>IF(EV49=0,0,EV47/EV49)</f>
        <v>0.71846855709876545</v>
      </c>
      <c r="EW50" s="25"/>
      <c r="EX50" s="25"/>
      <c r="EY50" s="25"/>
      <c r="EZ50" s="25"/>
      <c r="FA50" s="25"/>
      <c r="FB50" s="25"/>
      <c r="FC50" s="25"/>
      <c r="FD50" s="25">
        <f>IF(FD49=0,0,FD47/FD49)</f>
        <v>0.61869548611111114</v>
      </c>
      <c r="FE50" s="25"/>
      <c r="FF50" s="25"/>
      <c r="FG50" s="25"/>
      <c r="FH50" s="25"/>
      <c r="FI50" s="25"/>
      <c r="FJ50" s="25"/>
      <c r="FK50" s="25"/>
      <c r="FL50" s="25">
        <f>IF(FL49=0,0,FL47/FL49)</f>
        <v>0.67182578946485771</v>
      </c>
      <c r="FM50" s="25"/>
      <c r="FN50" s="25"/>
      <c r="FO50" s="25"/>
      <c r="FP50" s="25"/>
      <c r="FQ50" s="25"/>
      <c r="FR50" s="25"/>
      <c r="FS50" s="25"/>
      <c r="FT50" s="25">
        <f>IF(FT49=0,0,FT47/FT49)</f>
        <v>0.75785459406545053</v>
      </c>
      <c r="FU50" s="25"/>
      <c r="FV50" s="25"/>
      <c r="FW50" s="25"/>
      <c r="FX50" s="25"/>
      <c r="FY50" s="25"/>
      <c r="FZ50" s="25"/>
      <c r="GA50" s="25"/>
      <c r="GB50" s="25">
        <f>IF(GB49=0,0,GB47/GB49)</f>
        <v>0.70848338918355114</v>
      </c>
      <c r="GC50" s="25"/>
      <c r="GD50" s="25"/>
      <c r="GE50" s="25"/>
      <c r="GF50" s="25"/>
      <c r="GG50" s="25"/>
      <c r="GH50" s="25"/>
      <c r="GI50" s="25"/>
      <c r="GJ50" s="25">
        <f>IF(GJ49=0,0,GJ47/GJ49)</f>
        <v>0</v>
      </c>
      <c r="GK50" s="25"/>
      <c r="GL50" s="25"/>
      <c r="GM50" s="25"/>
      <c r="GN50" s="25"/>
      <c r="GO50" s="25"/>
      <c r="GP50" s="25"/>
      <c r="GQ50" s="25"/>
      <c r="GR50" s="25">
        <f>IF(GR49=0,0,GR47/GR49)</f>
        <v>0.70311947222371052</v>
      </c>
      <c r="GS50" s="25"/>
      <c r="GT50" s="25"/>
      <c r="GU50" s="25"/>
      <c r="GV50" s="25"/>
      <c r="GW50" s="25"/>
      <c r="GX50" s="25"/>
      <c r="GY50" s="25"/>
    </row>
    <row r="51" spans="1:207" ht="25.2" x14ac:dyDescent="0.35">
      <c r="A51" s="21" t="s">
        <v>83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6">
        <v>22753</v>
      </c>
      <c r="M51" s="26"/>
      <c r="N51" s="26"/>
      <c r="O51" s="26"/>
      <c r="P51" s="26"/>
      <c r="Q51" s="26"/>
      <c r="R51" s="26"/>
      <c r="S51" s="26"/>
      <c r="T51" s="26">
        <v>330</v>
      </c>
      <c r="U51" s="26"/>
      <c r="V51" s="26"/>
      <c r="W51" s="26"/>
      <c r="X51" s="26"/>
      <c r="Y51" s="26"/>
      <c r="Z51" s="26"/>
      <c r="AA51" s="26"/>
      <c r="AB51" s="26">
        <v>6</v>
      </c>
      <c r="AC51" s="26"/>
      <c r="AD51" s="26"/>
      <c r="AE51" s="26"/>
      <c r="AF51" s="26"/>
      <c r="AG51" s="26"/>
      <c r="AH51" s="26"/>
      <c r="AI51" s="26"/>
      <c r="AJ51" s="26">
        <v>4098</v>
      </c>
      <c r="AK51" s="26"/>
      <c r="AL51" s="26"/>
      <c r="AM51" s="26"/>
      <c r="AN51" s="26"/>
      <c r="AO51" s="26"/>
      <c r="AP51" s="26"/>
      <c r="AQ51" s="26"/>
      <c r="AR51" s="26">
        <v>1241819</v>
      </c>
      <c r="AS51" s="26"/>
      <c r="AT51" s="26"/>
      <c r="AU51" s="26"/>
      <c r="AV51" s="26"/>
      <c r="AW51" s="26"/>
      <c r="AX51" s="26"/>
      <c r="AY51" s="26"/>
      <c r="BB51" s="30" t="s">
        <v>41</v>
      </c>
      <c r="BC51" s="31"/>
      <c r="BD51" s="31"/>
      <c r="BE51" s="31"/>
      <c r="BF51" s="31"/>
      <c r="BG51" s="31"/>
      <c r="BH51" s="31"/>
      <c r="BI51" s="32"/>
      <c r="BJ51" s="30" t="s">
        <v>85</v>
      </c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2"/>
      <c r="BZ51" s="27">
        <v>17740</v>
      </c>
      <c r="CA51" s="28"/>
      <c r="CB51" s="28"/>
      <c r="CC51" s="28"/>
      <c r="CD51" s="28"/>
      <c r="CE51" s="28"/>
      <c r="CF51" s="28"/>
      <c r="CG51" s="29"/>
      <c r="CH51" s="27">
        <v>90</v>
      </c>
      <c r="CI51" s="28"/>
      <c r="CJ51" s="28"/>
      <c r="CK51" s="28"/>
      <c r="CL51" s="28"/>
      <c r="CM51" s="28"/>
      <c r="CN51" s="28"/>
      <c r="CO51" s="29"/>
      <c r="CP51" s="27">
        <v>330</v>
      </c>
      <c r="CQ51" s="28"/>
      <c r="CR51" s="28"/>
      <c r="CS51" s="28"/>
      <c r="CT51" s="28"/>
      <c r="CU51" s="28"/>
      <c r="CV51" s="28"/>
      <c r="CW51" s="29"/>
      <c r="CX51" s="27">
        <v>24</v>
      </c>
      <c r="CY51" s="28"/>
      <c r="CZ51" s="28"/>
      <c r="DA51" s="28"/>
      <c r="DB51" s="28"/>
      <c r="DC51" s="28"/>
      <c r="DD51" s="28"/>
      <c r="DE51" s="29"/>
      <c r="DF51" s="27">
        <v>666</v>
      </c>
      <c r="DG51" s="28"/>
      <c r="DH51" s="28"/>
      <c r="DI51" s="28"/>
      <c r="DJ51" s="28"/>
      <c r="DK51" s="28"/>
      <c r="DL51" s="28"/>
      <c r="DM51" s="29"/>
      <c r="DN51" s="27">
        <v>201818</v>
      </c>
      <c r="DO51" s="28"/>
      <c r="DP51" s="28"/>
      <c r="DQ51" s="28"/>
      <c r="DR51" s="28"/>
      <c r="DS51" s="28"/>
      <c r="DT51" s="28"/>
      <c r="DU51" s="29"/>
    </row>
    <row r="52" spans="1:207" ht="25.2" x14ac:dyDescent="0.35">
      <c r="A52" s="21" t="s">
        <v>85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6">
        <v>17740</v>
      </c>
      <c r="M52" s="26"/>
      <c r="N52" s="26"/>
      <c r="O52" s="26"/>
      <c r="P52" s="26"/>
      <c r="Q52" s="26"/>
      <c r="R52" s="26"/>
      <c r="S52" s="26"/>
      <c r="T52" s="26">
        <v>330</v>
      </c>
      <c r="U52" s="26"/>
      <c r="V52" s="26"/>
      <c r="W52" s="26"/>
      <c r="X52" s="26"/>
      <c r="Y52" s="26"/>
      <c r="Z52" s="26"/>
      <c r="AA52" s="26"/>
      <c r="AB52" s="26">
        <v>24</v>
      </c>
      <c r="AC52" s="26"/>
      <c r="AD52" s="26"/>
      <c r="AE52" s="26"/>
      <c r="AF52" s="26"/>
      <c r="AG52" s="26"/>
      <c r="AH52" s="26"/>
      <c r="AI52" s="26"/>
      <c r="AJ52" s="26">
        <v>666</v>
      </c>
      <c r="AK52" s="26"/>
      <c r="AL52" s="26"/>
      <c r="AM52" s="26"/>
      <c r="AN52" s="26"/>
      <c r="AO52" s="26"/>
      <c r="AP52" s="26"/>
      <c r="AQ52" s="26"/>
      <c r="AR52" s="26">
        <v>201818</v>
      </c>
      <c r="AS52" s="26"/>
      <c r="AT52" s="26"/>
      <c r="AU52" s="26"/>
      <c r="AV52" s="26"/>
      <c r="AW52" s="26"/>
      <c r="AX52" s="26"/>
      <c r="AY52" s="26"/>
      <c r="BB52" s="30" t="s">
        <v>50</v>
      </c>
      <c r="BC52" s="31"/>
      <c r="BD52" s="31"/>
      <c r="BE52" s="31"/>
      <c r="BF52" s="31"/>
      <c r="BG52" s="31"/>
      <c r="BH52" s="31"/>
      <c r="BI52" s="32"/>
      <c r="BJ52" s="30" t="s">
        <v>70</v>
      </c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2"/>
      <c r="BZ52" s="27">
        <v>9494</v>
      </c>
      <c r="CA52" s="28"/>
      <c r="CB52" s="28"/>
      <c r="CC52" s="28"/>
      <c r="CD52" s="28"/>
      <c r="CE52" s="28"/>
      <c r="CF52" s="28"/>
      <c r="CG52" s="29"/>
      <c r="CH52" s="27">
        <v>90</v>
      </c>
      <c r="CI52" s="28"/>
      <c r="CJ52" s="28"/>
      <c r="CK52" s="28"/>
      <c r="CL52" s="28"/>
      <c r="CM52" s="28"/>
      <c r="CN52" s="28"/>
      <c r="CO52" s="29"/>
      <c r="CP52" s="27">
        <v>1000</v>
      </c>
      <c r="CQ52" s="28"/>
      <c r="CR52" s="28"/>
      <c r="CS52" s="28"/>
      <c r="CT52" s="28"/>
      <c r="CU52" s="28"/>
      <c r="CV52" s="28"/>
      <c r="CW52" s="29"/>
      <c r="CX52" s="27">
        <v>13</v>
      </c>
      <c r="CY52" s="28"/>
      <c r="CZ52" s="28"/>
      <c r="DA52" s="28"/>
      <c r="DB52" s="28"/>
      <c r="DC52" s="28"/>
      <c r="DD52" s="28"/>
      <c r="DE52" s="29"/>
      <c r="DF52" s="27">
        <v>3400</v>
      </c>
      <c r="DG52" s="28"/>
      <c r="DH52" s="28"/>
      <c r="DI52" s="28"/>
      <c r="DJ52" s="28"/>
      <c r="DK52" s="28"/>
      <c r="DL52" s="28"/>
      <c r="DM52" s="29"/>
      <c r="DN52" s="27">
        <v>340000</v>
      </c>
      <c r="DO52" s="28"/>
      <c r="DP52" s="28"/>
      <c r="DQ52" s="28"/>
      <c r="DR52" s="28"/>
      <c r="DS52" s="28"/>
      <c r="DT52" s="28"/>
      <c r="DU52" s="29"/>
      <c r="DX52" s="21" t="s">
        <v>86</v>
      </c>
      <c r="DY52" s="21" t="s">
        <v>86</v>
      </c>
      <c r="DZ52" s="21" t="s">
        <v>86</v>
      </c>
      <c r="EA52" s="21" t="s">
        <v>86</v>
      </c>
      <c r="EB52" s="21" t="s">
        <v>86</v>
      </c>
      <c r="EC52" s="21" t="s">
        <v>86</v>
      </c>
      <c r="ED52" s="21" t="s">
        <v>86</v>
      </c>
      <c r="EE52" s="21" t="s">
        <v>86</v>
      </c>
      <c r="EF52" s="21" t="s">
        <v>86</v>
      </c>
      <c r="EG52" s="21" t="s">
        <v>86</v>
      </c>
      <c r="EH52" s="21" t="s">
        <v>86</v>
      </c>
      <c r="EI52" s="21" t="s">
        <v>86</v>
      </c>
      <c r="EJ52" s="21" t="s">
        <v>86</v>
      </c>
      <c r="EK52" s="21" t="s">
        <v>86</v>
      </c>
      <c r="EL52" s="21" t="s">
        <v>86</v>
      </c>
      <c r="EM52" s="21" t="s">
        <v>86</v>
      </c>
      <c r="EN52" s="21" t="s">
        <v>23</v>
      </c>
      <c r="EO52" s="21"/>
      <c r="EP52" s="21"/>
      <c r="EQ52" s="21"/>
      <c r="ER52" s="21"/>
      <c r="ES52" s="21"/>
      <c r="ET52" s="21"/>
      <c r="EU52" s="21"/>
      <c r="EV52" s="21" t="s">
        <v>29</v>
      </c>
      <c r="EW52" s="21"/>
      <c r="EX52" s="21"/>
      <c r="EY52" s="21"/>
      <c r="EZ52" s="21"/>
      <c r="FA52" s="21"/>
      <c r="FB52" s="21"/>
      <c r="FC52" s="21"/>
      <c r="FD52" s="21" t="s">
        <v>36</v>
      </c>
      <c r="FE52" s="21"/>
      <c r="FF52" s="21"/>
      <c r="FG52" s="21"/>
      <c r="FH52" s="21"/>
      <c r="FI52" s="21"/>
      <c r="FJ52" s="21"/>
      <c r="FK52" s="21"/>
      <c r="FL52" s="21" t="s">
        <v>41</v>
      </c>
      <c r="FM52" s="21"/>
      <c r="FN52" s="21"/>
      <c r="FO52" s="21"/>
      <c r="FP52" s="21"/>
      <c r="FQ52" s="21"/>
      <c r="FR52" s="21"/>
      <c r="FS52" s="21"/>
      <c r="FT52" s="21" t="s">
        <v>50</v>
      </c>
      <c r="FU52" s="21"/>
      <c r="FV52" s="21"/>
      <c r="FW52" s="21"/>
      <c r="FX52" s="21"/>
      <c r="FY52" s="21"/>
      <c r="FZ52" s="21"/>
      <c r="GA52" s="21"/>
      <c r="GB52" s="21" t="s">
        <v>53</v>
      </c>
      <c r="GC52" s="21"/>
      <c r="GD52" s="21"/>
      <c r="GE52" s="21"/>
      <c r="GF52" s="21"/>
      <c r="GG52" s="21"/>
      <c r="GH52" s="21"/>
      <c r="GI52" s="21"/>
      <c r="GJ52" s="21" t="s">
        <v>31</v>
      </c>
      <c r="GK52" s="21"/>
      <c r="GL52" s="21"/>
      <c r="GM52" s="21"/>
      <c r="GN52" s="21"/>
      <c r="GO52" s="21"/>
      <c r="GP52" s="21"/>
      <c r="GQ52" s="21"/>
      <c r="GR52" s="21" t="s">
        <v>69</v>
      </c>
      <c r="GS52" s="21"/>
      <c r="GT52" s="21"/>
      <c r="GU52" s="21"/>
      <c r="GV52" s="21"/>
      <c r="GW52" s="21"/>
      <c r="GX52" s="21"/>
      <c r="GY52" s="21"/>
    </row>
    <row r="53" spans="1:207" ht="25.2" x14ac:dyDescent="0.35">
      <c r="A53" s="21" t="s">
        <v>87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6">
        <v>7078</v>
      </c>
      <c r="M53" s="26"/>
      <c r="N53" s="26"/>
      <c r="O53" s="26"/>
      <c r="P53" s="26"/>
      <c r="Q53" s="26"/>
      <c r="R53" s="26"/>
      <c r="S53" s="26"/>
      <c r="T53" s="26">
        <v>1000</v>
      </c>
      <c r="U53" s="26"/>
      <c r="V53" s="26"/>
      <c r="W53" s="26"/>
      <c r="X53" s="26"/>
      <c r="Y53" s="26"/>
      <c r="Z53" s="26"/>
      <c r="AA53" s="26"/>
      <c r="AB53" s="26">
        <v>15</v>
      </c>
      <c r="AC53" s="26"/>
      <c r="AD53" s="26"/>
      <c r="AE53" s="26"/>
      <c r="AF53" s="26"/>
      <c r="AG53" s="26"/>
      <c r="AH53" s="26"/>
      <c r="AI53" s="26"/>
      <c r="AJ53" s="26">
        <v>5000</v>
      </c>
      <c r="AK53" s="26"/>
      <c r="AL53" s="26"/>
      <c r="AM53" s="26"/>
      <c r="AN53" s="26"/>
      <c r="AO53" s="26"/>
      <c r="AP53" s="26"/>
      <c r="AQ53" s="26"/>
      <c r="AR53" s="26">
        <v>500000</v>
      </c>
      <c r="AS53" s="26"/>
      <c r="AT53" s="26"/>
      <c r="AU53" s="26"/>
      <c r="AV53" s="26"/>
      <c r="AW53" s="26"/>
      <c r="AX53" s="26"/>
      <c r="AY53" s="26"/>
      <c r="BB53" s="30" t="s">
        <v>53</v>
      </c>
      <c r="BC53" s="31"/>
      <c r="BD53" s="31"/>
      <c r="BE53" s="31"/>
      <c r="BF53" s="31"/>
      <c r="BG53" s="31"/>
      <c r="BH53" s="31"/>
      <c r="BI53" s="32"/>
      <c r="BJ53" s="30" t="s">
        <v>87</v>
      </c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2"/>
      <c r="BZ53" s="27">
        <v>7078</v>
      </c>
      <c r="CA53" s="28"/>
      <c r="CB53" s="28"/>
      <c r="CC53" s="28"/>
      <c r="CD53" s="28"/>
      <c r="CE53" s="28"/>
      <c r="CF53" s="28"/>
      <c r="CG53" s="29"/>
      <c r="CH53" s="27">
        <v>90</v>
      </c>
      <c r="CI53" s="28"/>
      <c r="CJ53" s="28"/>
      <c r="CK53" s="28"/>
      <c r="CL53" s="28"/>
      <c r="CM53" s="28"/>
      <c r="CN53" s="28"/>
      <c r="CO53" s="29"/>
      <c r="CP53" s="27">
        <v>1000</v>
      </c>
      <c r="CQ53" s="28"/>
      <c r="CR53" s="28"/>
      <c r="CS53" s="28"/>
      <c r="CT53" s="28"/>
      <c r="CU53" s="28"/>
      <c r="CV53" s="28"/>
      <c r="CW53" s="29"/>
      <c r="CX53" s="27">
        <v>15</v>
      </c>
      <c r="CY53" s="28"/>
      <c r="CZ53" s="28"/>
      <c r="DA53" s="28"/>
      <c r="DB53" s="28"/>
      <c r="DC53" s="28"/>
      <c r="DD53" s="28"/>
      <c r="DE53" s="29"/>
      <c r="DF53" s="27">
        <v>5000</v>
      </c>
      <c r="DG53" s="28"/>
      <c r="DH53" s="28"/>
      <c r="DI53" s="28"/>
      <c r="DJ53" s="28"/>
      <c r="DK53" s="28"/>
      <c r="DL53" s="28"/>
      <c r="DM53" s="29"/>
      <c r="DN53" s="27">
        <v>500000</v>
      </c>
      <c r="DO53" s="28"/>
      <c r="DP53" s="28"/>
      <c r="DQ53" s="28"/>
      <c r="DR53" s="28"/>
      <c r="DS53" s="28"/>
      <c r="DT53" s="28"/>
      <c r="DU53" s="29"/>
      <c r="DX53" s="21" t="s">
        <v>86</v>
      </c>
      <c r="DY53" s="21" t="s">
        <v>86</v>
      </c>
      <c r="DZ53" s="21" t="s">
        <v>86</v>
      </c>
      <c r="EA53" s="21" t="s">
        <v>86</v>
      </c>
      <c r="EB53" s="21" t="s">
        <v>86</v>
      </c>
      <c r="EC53" s="21" t="s">
        <v>86</v>
      </c>
      <c r="ED53" s="21" t="s">
        <v>86</v>
      </c>
      <c r="EE53" s="21" t="s">
        <v>86</v>
      </c>
      <c r="EF53" s="21" t="s">
        <v>86</v>
      </c>
      <c r="EG53" s="21" t="s">
        <v>86</v>
      </c>
      <c r="EH53" s="21" t="s">
        <v>86</v>
      </c>
      <c r="EI53" s="21" t="s">
        <v>86</v>
      </c>
      <c r="EJ53" s="21" t="s">
        <v>86</v>
      </c>
      <c r="EK53" s="21" t="s">
        <v>86</v>
      </c>
      <c r="EL53" s="21" t="s">
        <v>86</v>
      </c>
      <c r="EM53" s="21" t="s">
        <v>86</v>
      </c>
      <c r="EN53" s="21" t="s">
        <v>88</v>
      </c>
      <c r="EO53" s="21"/>
      <c r="EP53" s="21"/>
      <c r="EQ53" s="21" t="s">
        <v>89</v>
      </c>
      <c r="ER53" s="21"/>
      <c r="ES53" s="21" t="s">
        <v>84</v>
      </c>
      <c r="ET53" s="21"/>
      <c r="EU53" s="21"/>
      <c r="EV53" s="21" t="s">
        <v>88</v>
      </c>
      <c r="EW53" s="21"/>
      <c r="EX53" s="21"/>
      <c r="EY53" s="21" t="s">
        <v>89</v>
      </c>
      <c r="EZ53" s="21"/>
      <c r="FA53" s="21" t="s">
        <v>84</v>
      </c>
      <c r="FB53" s="21"/>
      <c r="FC53" s="21"/>
      <c r="FD53" s="21" t="s">
        <v>88</v>
      </c>
      <c r="FE53" s="21"/>
      <c r="FF53" s="21"/>
      <c r="FG53" s="21" t="s">
        <v>89</v>
      </c>
      <c r="FH53" s="21"/>
      <c r="FI53" s="21" t="s">
        <v>84</v>
      </c>
      <c r="FJ53" s="21"/>
      <c r="FK53" s="21"/>
      <c r="FL53" s="21" t="s">
        <v>88</v>
      </c>
      <c r="FM53" s="21"/>
      <c r="FN53" s="21"/>
      <c r="FO53" s="21" t="s">
        <v>89</v>
      </c>
      <c r="FP53" s="21"/>
      <c r="FQ53" s="21" t="s">
        <v>84</v>
      </c>
      <c r="FR53" s="21"/>
      <c r="FS53" s="21"/>
      <c r="FT53" s="21" t="s">
        <v>88</v>
      </c>
      <c r="FU53" s="21"/>
      <c r="FV53" s="21"/>
      <c r="FW53" s="21" t="s">
        <v>89</v>
      </c>
      <c r="FX53" s="21"/>
      <c r="FY53" s="21" t="s">
        <v>84</v>
      </c>
      <c r="FZ53" s="21"/>
      <c r="GA53" s="21"/>
      <c r="GB53" s="21" t="s">
        <v>88</v>
      </c>
      <c r="GC53" s="21"/>
      <c r="GD53" s="21"/>
      <c r="GE53" s="21" t="s">
        <v>89</v>
      </c>
      <c r="GF53" s="21"/>
      <c r="GG53" s="21" t="s">
        <v>84</v>
      </c>
      <c r="GH53" s="21"/>
      <c r="GI53" s="21"/>
      <c r="GJ53" s="21" t="s">
        <v>88</v>
      </c>
      <c r="GK53" s="21"/>
      <c r="GL53" s="21"/>
      <c r="GM53" s="21" t="s">
        <v>89</v>
      </c>
      <c r="GN53" s="21"/>
      <c r="GO53" s="21" t="s">
        <v>84</v>
      </c>
      <c r="GP53" s="21"/>
      <c r="GQ53" s="21"/>
      <c r="GR53" s="21" t="s">
        <v>88</v>
      </c>
      <c r="GS53" s="21"/>
      <c r="GT53" s="21"/>
      <c r="GU53" s="21" t="s">
        <v>89</v>
      </c>
      <c r="GV53" s="21"/>
      <c r="GW53" s="21" t="s">
        <v>84</v>
      </c>
      <c r="GX53" s="21"/>
      <c r="GY53" s="21"/>
    </row>
    <row r="54" spans="1:207" ht="25.2" x14ac:dyDescent="0.35">
      <c r="A54" s="21" t="s">
        <v>90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6">
        <v>3810</v>
      </c>
      <c r="M54" s="26"/>
      <c r="N54" s="26"/>
      <c r="O54" s="26"/>
      <c r="P54" s="26"/>
      <c r="Q54" s="26"/>
      <c r="R54" s="26"/>
      <c r="S54" s="26"/>
      <c r="T54" s="26">
        <v>200</v>
      </c>
      <c r="U54" s="26"/>
      <c r="V54" s="26"/>
      <c r="W54" s="26"/>
      <c r="X54" s="26"/>
      <c r="Y54" s="26"/>
      <c r="Z54" s="26"/>
      <c r="AA54" s="26"/>
      <c r="AB54" s="26">
        <v>30</v>
      </c>
      <c r="AC54" s="26"/>
      <c r="AD54" s="26"/>
      <c r="AE54" s="26"/>
      <c r="AF54" s="26"/>
      <c r="AG54" s="26"/>
      <c r="AH54" s="26"/>
      <c r="AI54" s="26"/>
      <c r="AJ54" s="26">
        <v>1832</v>
      </c>
      <c r="AK54" s="26"/>
      <c r="AL54" s="26"/>
      <c r="AM54" s="26"/>
      <c r="AN54" s="26"/>
      <c r="AO54" s="26"/>
      <c r="AP54" s="26"/>
      <c r="AQ54" s="26"/>
      <c r="AR54" s="26">
        <v>916000</v>
      </c>
      <c r="AS54" s="26"/>
      <c r="AT54" s="26"/>
      <c r="AU54" s="26"/>
      <c r="AV54" s="26"/>
      <c r="AW54" s="26"/>
      <c r="AX54" s="26"/>
      <c r="AY54" s="26"/>
      <c r="BB54" s="30" t="s">
        <v>53</v>
      </c>
      <c r="BC54" s="31"/>
      <c r="BD54" s="31"/>
      <c r="BE54" s="31"/>
      <c r="BF54" s="31"/>
      <c r="BG54" s="31"/>
      <c r="BH54" s="31"/>
      <c r="BI54" s="32"/>
      <c r="BJ54" s="30" t="s">
        <v>90</v>
      </c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2"/>
      <c r="BZ54" s="27">
        <v>3810</v>
      </c>
      <c r="CA54" s="28"/>
      <c r="CB54" s="28"/>
      <c r="CC54" s="28"/>
      <c r="CD54" s="28"/>
      <c r="CE54" s="28"/>
      <c r="CF54" s="28"/>
      <c r="CG54" s="29"/>
      <c r="CH54" s="27">
        <v>90</v>
      </c>
      <c r="CI54" s="28"/>
      <c r="CJ54" s="28"/>
      <c r="CK54" s="28"/>
      <c r="CL54" s="28"/>
      <c r="CM54" s="28"/>
      <c r="CN54" s="28"/>
      <c r="CO54" s="29"/>
      <c r="CP54" s="27">
        <v>200</v>
      </c>
      <c r="CQ54" s="28"/>
      <c r="CR54" s="28"/>
      <c r="CS54" s="28"/>
      <c r="CT54" s="28"/>
      <c r="CU54" s="28"/>
      <c r="CV54" s="28"/>
      <c r="CW54" s="29"/>
      <c r="CX54" s="27">
        <v>30</v>
      </c>
      <c r="CY54" s="28"/>
      <c r="CZ54" s="28"/>
      <c r="DA54" s="28"/>
      <c r="DB54" s="28"/>
      <c r="DC54" s="28"/>
      <c r="DD54" s="28"/>
      <c r="DE54" s="29"/>
      <c r="DF54" s="27">
        <v>1832</v>
      </c>
      <c r="DG54" s="28"/>
      <c r="DH54" s="28"/>
      <c r="DI54" s="28"/>
      <c r="DJ54" s="28"/>
      <c r="DK54" s="28"/>
      <c r="DL54" s="28"/>
      <c r="DM54" s="29"/>
      <c r="DN54" s="27">
        <v>916000</v>
      </c>
      <c r="DO54" s="28"/>
      <c r="DP54" s="28"/>
      <c r="DQ54" s="28"/>
      <c r="DR54" s="28"/>
      <c r="DS54" s="28"/>
      <c r="DT54" s="28"/>
      <c r="DU54" s="29"/>
      <c r="DX54" s="20">
        <v>46251</v>
      </c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19">
        <v>0</v>
      </c>
      <c r="EO54" s="18"/>
      <c r="EP54" s="18"/>
      <c r="EQ54" s="19">
        <v>0</v>
      </c>
      <c r="ER54" s="18"/>
      <c r="ES54" s="17">
        <f t="shared" ref="ES54:ES61" si="1">IF(EQ54=0,0,EN54/EQ54)</f>
        <v>0</v>
      </c>
      <c r="ET54" s="18"/>
      <c r="EU54" s="18"/>
      <c r="EV54" s="19">
        <v>0</v>
      </c>
      <c r="EW54" s="18"/>
      <c r="EX54" s="18"/>
      <c r="EY54" s="19">
        <v>0</v>
      </c>
      <c r="EZ54" s="18"/>
      <c r="FA54" s="17">
        <f t="shared" ref="FA54:FA61" si="2">IF(EY54=0,0,EV54/EY54)</f>
        <v>0</v>
      </c>
      <c r="FB54" s="18"/>
      <c r="FC54" s="18"/>
      <c r="FD54" s="19">
        <v>0</v>
      </c>
      <c r="FE54" s="18"/>
      <c r="FF54" s="18"/>
      <c r="FG54" s="19">
        <v>0</v>
      </c>
      <c r="FH54" s="18"/>
      <c r="FI54" s="17">
        <f t="shared" ref="FI54:FI61" si="3">IF(FG54=0,0,FD54/FG54)</f>
        <v>0</v>
      </c>
      <c r="FJ54" s="18"/>
      <c r="FK54" s="18"/>
      <c r="FL54" s="19">
        <v>0</v>
      </c>
      <c r="FM54" s="18"/>
      <c r="FN54" s="18"/>
      <c r="FO54" s="19">
        <v>0</v>
      </c>
      <c r="FP54" s="18"/>
      <c r="FQ54" s="17">
        <f t="shared" ref="FQ54:FQ61" si="4">IF(FO54=0,0,FL54/FO54)</f>
        <v>0</v>
      </c>
      <c r="FR54" s="18"/>
      <c r="FS54" s="18"/>
      <c r="FT54" s="19">
        <v>0</v>
      </c>
      <c r="FU54" s="18"/>
      <c r="FV54" s="18"/>
      <c r="FW54" s="19">
        <v>0</v>
      </c>
      <c r="FX54" s="18"/>
      <c r="FY54" s="17">
        <f t="shared" ref="FY54:FY61" si="5">IF(FW54=0,0,FT54/FW54)</f>
        <v>0</v>
      </c>
      <c r="FZ54" s="18"/>
      <c r="GA54" s="18"/>
      <c r="GB54" s="19">
        <v>0</v>
      </c>
      <c r="GC54" s="18"/>
      <c r="GD54" s="18"/>
      <c r="GE54" s="19">
        <v>0</v>
      </c>
      <c r="GF54" s="18"/>
      <c r="GG54" s="17">
        <f t="shared" ref="GG54:GG61" si="6">IF(GE54=0,0,GB54/GE54)</f>
        <v>0</v>
      </c>
      <c r="GH54" s="18"/>
      <c r="GI54" s="18"/>
      <c r="GJ54" s="19">
        <v>0</v>
      </c>
      <c r="GK54" s="18"/>
      <c r="GL54" s="18"/>
      <c r="GM54" s="19">
        <v>0</v>
      </c>
      <c r="GN54" s="18"/>
      <c r="GO54" s="17">
        <f t="shared" ref="GO54:GO61" si="7">IF(GM54=0,0,GJ54/GM54)</f>
        <v>0</v>
      </c>
      <c r="GP54" s="18"/>
      <c r="GQ54" s="18"/>
      <c r="GR54" s="19"/>
      <c r="GS54" s="18"/>
      <c r="GT54" s="18"/>
      <c r="GU54" s="19"/>
      <c r="GV54" s="18"/>
      <c r="GW54" s="17">
        <f t="shared" ref="GW54:GW61" si="8">IF(GU54=0,0,GR54/GU54)</f>
        <v>0</v>
      </c>
      <c r="GX54" s="18"/>
      <c r="GY54" s="18"/>
    </row>
    <row r="55" spans="1:207" ht="25.2" x14ac:dyDescent="0.35">
      <c r="A55" s="21" t="s">
        <v>91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>
        <f>SUM(AJ43:AQ54)</f>
        <v>45407</v>
      </c>
      <c r="AK55" s="26"/>
      <c r="AL55" s="26"/>
      <c r="AM55" s="26"/>
      <c r="AN55" s="26"/>
      <c r="AO55" s="26"/>
      <c r="AP55" s="26"/>
      <c r="AQ55" s="26"/>
      <c r="AR55" s="26">
        <f>SUM(AR43:AY54)</f>
        <v>14017164</v>
      </c>
      <c r="AS55" s="26"/>
      <c r="AT55" s="26"/>
      <c r="AU55" s="26"/>
      <c r="AV55" s="26"/>
      <c r="AW55" s="26"/>
      <c r="AX55" s="26"/>
      <c r="AY55" s="26"/>
      <c r="BB55" s="21" t="s">
        <v>91</v>
      </c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>
        <f>SUM(DF43:DM54)</f>
        <v>45407</v>
      </c>
      <c r="DG55" s="26"/>
      <c r="DH55" s="26"/>
      <c r="DI55" s="26"/>
      <c r="DJ55" s="26"/>
      <c r="DK55" s="26"/>
      <c r="DL55" s="26"/>
      <c r="DM55" s="26"/>
      <c r="DN55" s="26">
        <f>SUM(DN43:DU54)</f>
        <v>14017164</v>
      </c>
      <c r="DO55" s="26"/>
      <c r="DP55" s="26"/>
      <c r="DQ55" s="26"/>
      <c r="DR55" s="26"/>
      <c r="DS55" s="26"/>
      <c r="DT55" s="26"/>
      <c r="DU55" s="26"/>
      <c r="DX55" s="20">
        <v>46252</v>
      </c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19">
        <v>0</v>
      </c>
      <c r="EO55" s="18"/>
      <c r="EP55" s="18"/>
      <c r="EQ55" s="19">
        <v>0</v>
      </c>
      <c r="ER55" s="18"/>
      <c r="ES55" s="17">
        <f t="shared" si="1"/>
        <v>0</v>
      </c>
      <c r="ET55" s="18"/>
      <c r="EU55" s="18"/>
      <c r="EV55" s="19">
        <v>0</v>
      </c>
      <c r="EW55" s="18"/>
      <c r="EX55" s="18"/>
      <c r="EY55" s="19">
        <v>0</v>
      </c>
      <c r="EZ55" s="18"/>
      <c r="FA55" s="17">
        <f t="shared" si="2"/>
        <v>0</v>
      </c>
      <c r="FB55" s="18"/>
      <c r="FC55" s="18"/>
      <c r="FD55" s="19">
        <v>0</v>
      </c>
      <c r="FE55" s="18"/>
      <c r="FF55" s="18"/>
      <c r="FG55" s="19">
        <v>0</v>
      </c>
      <c r="FH55" s="18"/>
      <c r="FI55" s="17">
        <f t="shared" si="3"/>
        <v>0</v>
      </c>
      <c r="FJ55" s="18"/>
      <c r="FK55" s="18"/>
      <c r="FL55" s="19">
        <v>0</v>
      </c>
      <c r="FM55" s="18"/>
      <c r="FN55" s="18"/>
      <c r="FO55" s="19">
        <v>0</v>
      </c>
      <c r="FP55" s="18"/>
      <c r="FQ55" s="17">
        <f t="shared" si="4"/>
        <v>0</v>
      </c>
      <c r="FR55" s="18"/>
      <c r="FS55" s="18"/>
      <c r="FT55" s="19">
        <v>0</v>
      </c>
      <c r="FU55" s="18"/>
      <c r="FV55" s="18"/>
      <c r="FW55" s="19">
        <v>0</v>
      </c>
      <c r="FX55" s="18"/>
      <c r="FY55" s="17">
        <f t="shared" si="5"/>
        <v>0</v>
      </c>
      <c r="FZ55" s="18"/>
      <c r="GA55" s="18"/>
      <c r="GB55" s="19">
        <v>0</v>
      </c>
      <c r="GC55" s="18"/>
      <c r="GD55" s="18"/>
      <c r="GE55" s="19">
        <v>0</v>
      </c>
      <c r="GF55" s="18"/>
      <c r="GG55" s="17">
        <f t="shared" si="6"/>
        <v>0</v>
      </c>
      <c r="GH55" s="18"/>
      <c r="GI55" s="18"/>
      <c r="GJ55" s="19">
        <v>0</v>
      </c>
      <c r="GK55" s="18"/>
      <c r="GL55" s="18"/>
      <c r="GM55" s="19">
        <v>0</v>
      </c>
      <c r="GN55" s="18"/>
      <c r="GO55" s="17">
        <f t="shared" si="7"/>
        <v>0</v>
      </c>
      <c r="GP55" s="18"/>
      <c r="GQ55" s="18"/>
      <c r="GR55" s="19"/>
      <c r="GS55" s="18"/>
      <c r="GT55" s="18"/>
      <c r="GU55" s="19"/>
      <c r="GV55" s="18"/>
      <c r="GW55" s="17">
        <f t="shared" si="8"/>
        <v>0</v>
      </c>
      <c r="GX55" s="18"/>
      <c r="GY55" s="18"/>
    </row>
    <row r="56" spans="1:207" x14ac:dyDescent="0.35">
      <c r="DX56" s="20">
        <v>46253</v>
      </c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19">
        <v>0</v>
      </c>
      <c r="EO56" s="18"/>
      <c r="EP56" s="18"/>
      <c r="EQ56" s="19">
        <v>0</v>
      </c>
      <c r="ER56" s="18"/>
      <c r="ES56" s="17">
        <f t="shared" si="1"/>
        <v>0</v>
      </c>
      <c r="ET56" s="18"/>
      <c r="EU56" s="18"/>
      <c r="EV56" s="19">
        <v>0</v>
      </c>
      <c r="EW56" s="18"/>
      <c r="EX56" s="18"/>
      <c r="EY56" s="19">
        <v>0</v>
      </c>
      <c r="EZ56" s="18"/>
      <c r="FA56" s="17">
        <f t="shared" si="2"/>
        <v>0</v>
      </c>
      <c r="FB56" s="18"/>
      <c r="FC56" s="18"/>
      <c r="FD56" s="19">
        <v>0</v>
      </c>
      <c r="FE56" s="18"/>
      <c r="FF56" s="18"/>
      <c r="FG56" s="19">
        <v>0</v>
      </c>
      <c r="FH56" s="18"/>
      <c r="FI56" s="17">
        <f t="shared" si="3"/>
        <v>0</v>
      </c>
      <c r="FJ56" s="18"/>
      <c r="FK56" s="18"/>
      <c r="FL56" s="19">
        <v>0</v>
      </c>
      <c r="FM56" s="18"/>
      <c r="FN56" s="18"/>
      <c r="FO56" s="19">
        <v>0</v>
      </c>
      <c r="FP56" s="18"/>
      <c r="FQ56" s="17">
        <f t="shared" si="4"/>
        <v>0</v>
      </c>
      <c r="FR56" s="18"/>
      <c r="FS56" s="18"/>
      <c r="FT56" s="19">
        <v>0</v>
      </c>
      <c r="FU56" s="18"/>
      <c r="FV56" s="18"/>
      <c r="FW56" s="19">
        <v>0</v>
      </c>
      <c r="FX56" s="18"/>
      <c r="FY56" s="17">
        <f t="shared" si="5"/>
        <v>0</v>
      </c>
      <c r="FZ56" s="18"/>
      <c r="GA56" s="18"/>
      <c r="GB56" s="19">
        <v>0</v>
      </c>
      <c r="GC56" s="18"/>
      <c r="GD56" s="18"/>
      <c r="GE56" s="19">
        <v>0</v>
      </c>
      <c r="GF56" s="18"/>
      <c r="GG56" s="17">
        <f t="shared" si="6"/>
        <v>0</v>
      </c>
      <c r="GH56" s="18"/>
      <c r="GI56" s="18"/>
      <c r="GJ56" s="19">
        <v>0</v>
      </c>
      <c r="GK56" s="18"/>
      <c r="GL56" s="18"/>
      <c r="GM56" s="19">
        <v>0</v>
      </c>
      <c r="GN56" s="18"/>
      <c r="GO56" s="17">
        <f t="shared" si="7"/>
        <v>0</v>
      </c>
      <c r="GP56" s="18"/>
      <c r="GQ56" s="18"/>
      <c r="GR56" s="19"/>
      <c r="GS56" s="18"/>
      <c r="GT56" s="18"/>
      <c r="GU56" s="19"/>
      <c r="GV56" s="18"/>
      <c r="GW56" s="17">
        <f t="shared" si="8"/>
        <v>0</v>
      </c>
      <c r="GX56" s="18"/>
      <c r="GY56" s="18"/>
    </row>
    <row r="57" spans="1:207" x14ac:dyDescent="0.35">
      <c r="DX57" s="20">
        <v>46254</v>
      </c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19">
        <v>0</v>
      </c>
      <c r="EO57" s="18"/>
      <c r="EP57" s="18"/>
      <c r="EQ57" s="19">
        <v>0</v>
      </c>
      <c r="ER57" s="18"/>
      <c r="ES57" s="17">
        <f t="shared" si="1"/>
        <v>0</v>
      </c>
      <c r="ET57" s="18"/>
      <c r="EU57" s="18"/>
      <c r="EV57" s="19">
        <v>0</v>
      </c>
      <c r="EW57" s="18"/>
      <c r="EX57" s="18"/>
      <c r="EY57" s="19">
        <v>0</v>
      </c>
      <c r="EZ57" s="18"/>
      <c r="FA57" s="17">
        <f t="shared" si="2"/>
        <v>0</v>
      </c>
      <c r="FB57" s="18"/>
      <c r="FC57" s="18"/>
      <c r="FD57" s="19">
        <v>0</v>
      </c>
      <c r="FE57" s="18"/>
      <c r="FF57" s="18"/>
      <c r="FG57" s="19">
        <v>0</v>
      </c>
      <c r="FH57" s="18"/>
      <c r="FI57" s="17">
        <f t="shared" si="3"/>
        <v>0</v>
      </c>
      <c r="FJ57" s="18"/>
      <c r="FK57" s="18"/>
      <c r="FL57" s="19">
        <v>0</v>
      </c>
      <c r="FM57" s="18"/>
      <c r="FN57" s="18"/>
      <c r="FO57" s="19">
        <v>0</v>
      </c>
      <c r="FP57" s="18"/>
      <c r="FQ57" s="17">
        <f t="shared" si="4"/>
        <v>0</v>
      </c>
      <c r="FR57" s="18"/>
      <c r="FS57" s="18"/>
      <c r="FT57" s="19">
        <v>0</v>
      </c>
      <c r="FU57" s="18"/>
      <c r="FV57" s="18"/>
      <c r="FW57" s="19">
        <v>0</v>
      </c>
      <c r="FX57" s="18"/>
      <c r="FY57" s="17">
        <f t="shared" si="5"/>
        <v>0</v>
      </c>
      <c r="FZ57" s="18"/>
      <c r="GA57" s="18"/>
      <c r="GB57" s="19">
        <v>0</v>
      </c>
      <c r="GC57" s="18"/>
      <c r="GD57" s="18"/>
      <c r="GE57" s="19">
        <v>0</v>
      </c>
      <c r="GF57" s="18"/>
      <c r="GG57" s="17">
        <f t="shared" si="6"/>
        <v>0</v>
      </c>
      <c r="GH57" s="18"/>
      <c r="GI57" s="18"/>
      <c r="GJ57" s="19">
        <v>0</v>
      </c>
      <c r="GK57" s="18"/>
      <c r="GL57" s="18"/>
      <c r="GM57" s="19">
        <v>0</v>
      </c>
      <c r="GN57" s="18"/>
      <c r="GO57" s="17">
        <f t="shared" si="7"/>
        <v>0</v>
      </c>
      <c r="GP57" s="18"/>
      <c r="GQ57" s="18"/>
      <c r="GR57" s="19"/>
      <c r="GS57" s="18"/>
      <c r="GT57" s="18"/>
      <c r="GU57" s="19"/>
      <c r="GV57" s="18"/>
      <c r="GW57" s="17">
        <f t="shared" si="8"/>
        <v>0</v>
      </c>
      <c r="GX57" s="18"/>
      <c r="GY57" s="18"/>
    </row>
    <row r="58" spans="1:207" x14ac:dyDescent="0.35">
      <c r="DX58" s="20">
        <v>46255</v>
      </c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19">
        <v>18.48</v>
      </c>
      <c r="EO58" s="18"/>
      <c r="EP58" s="18"/>
      <c r="EQ58" s="19">
        <v>24</v>
      </c>
      <c r="ER58" s="18"/>
      <c r="ES58" s="17">
        <f t="shared" si="1"/>
        <v>0.77</v>
      </c>
      <c r="ET58" s="18"/>
      <c r="EU58" s="18"/>
      <c r="EV58" s="19">
        <v>18</v>
      </c>
      <c r="EW58" s="18"/>
      <c r="EX58" s="18"/>
      <c r="EY58" s="19">
        <v>24</v>
      </c>
      <c r="EZ58" s="18"/>
      <c r="FA58" s="17">
        <f t="shared" si="2"/>
        <v>0.75</v>
      </c>
      <c r="FB58" s="18"/>
      <c r="FC58" s="18"/>
      <c r="FD58" s="19">
        <v>11.84</v>
      </c>
      <c r="FE58" s="18"/>
      <c r="FF58" s="18"/>
      <c r="FG58" s="19">
        <v>24</v>
      </c>
      <c r="FH58" s="18"/>
      <c r="FI58" s="17">
        <f t="shared" si="3"/>
        <v>0.49333333333333335</v>
      </c>
      <c r="FJ58" s="18"/>
      <c r="FK58" s="18"/>
      <c r="FL58" s="19">
        <v>15.4</v>
      </c>
      <c r="FM58" s="18"/>
      <c r="FN58" s="18"/>
      <c r="FO58" s="19">
        <v>24</v>
      </c>
      <c r="FP58" s="18"/>
      <c r="FQ58" s="17">
        <f t="shared" si="4"/>
        <v>0.64166666666666672</v>
      </c>
      <c r="FR58" s="18"/>
      <c r="FS58" s="18"/>
      <c r="FT58" s="19">
        <v>9.4115500000000001</v>
      </c>
      <c r="FU58" s="18"/>
      <c r="FV58" s="18"/>
      <c r="FW58" s="19">
        <v>12.477499999999999</v>
      </c>
      <c r="FX58" s="18"/>
      <c r="FY58" s="17">
        <f t="shared" si="5"/>
        <v>0.75428170707273101</v>
      </c>
      <c r="FZ58" s="18"/>
      <c r="GA58" s="18"/>
      <c r="GB58" s="19">
        <v>16.940000000000001</v>
      </c>
      <c r="GC58" s="18"/>
      <c r="GD58" s="18"/>
      <c r="GE58" s="19">
        <v>24</v>
      </c>
      <c r="GF58" s="18"/>
      <c r="GG58" s="17">
        <f t="shared" si="6"/>
        <v>0.70583333333333342</v>
      </c>
      <c r="GH58" s="18"/>
      <c r="GI58" s="18"/>
      <c r="GJ58" s="19">
        <v>0</v>
      </c>
      <c r="GK58" s="18"/>
      <c r="GL58" s="18"/>
      <c r="GM58" s="19">
        <v>0</v>
      </c>
      <c r="GN58" s="18"/>
      <c r="GO58" s="17">
        <f t="shared" si="7"/>
        <v>0</v>
      </c>
      <c r="GP58" s="18"/>
      <c r="GQ58" s="18"/>
      <c r="GR58" s="19">
        <v>90.071548461914063</v>
      </c>
      <c r="GS58" s="18"/>
      <c r="GT58" s="18"/>
      <c r="GU58" s="19">
        <v>132.47749328613281</v>
      </c>
      <c r="GV58" s="18"/>
      <c r="GW58" s="17">
        <f t="shared" si="8"/>
        <v>0.67990076070787475</v>
      </c>
      <c r="GX58" s="18"/>
      <c r="GY58" s="18"/>
    </row>
    <row r="59" spans="1:207" x14ac:dyDescent="0.35">
      <c r="DX59" s="20">
        <v>46256</v>
      </c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19">
        <v>18.48</v>
      </c>
      <c r="EO59" s="18"/>
      <c r="EP59" s="18"/>
      <c r="EQ59" s="19">
        <v>24</v>
      </c>
      <c r="ER59" s="18"/>
      <c r="ES59" s="17">
        <f t="shared" si="1"/>
        <v>0.77</v>
      </c>
      <c r="ET59" s="18"/>
      <c r="EU59" s="18"/>
      <c r="EV59" s="19">
        <v>16.282591666666665</v>
      </c>
      <c r="EW59" s="18"/>
      <c r="EX59" s="18"/>
      <c r="EY59" s="19">
        <v>24</v>
      </c>
      <c r="EZ59" s="18"/>
      <c r="FA59" s="17">
        <f t="shared" si="2"/>
        <v>0.67844131944444441</v>
      </c>
      <c r="FB59" s="18"/>
      <c r="FC59" s="18"/>
      <c r="FD59" s="19">
        <v>17.760000000000002</v>
      </c>
      <c r="FE59" s="18"/>
      <c r="FF59" s="18"/>
      <c r="FG59" s="19">
        <v>24</v>
      </c>
      <c r="FH59" s="18"/>
      <c r="FI59" s="17">
        <f t="shared" si="3"/>
        <v>0.7400000000000001</v>
      </c>
      <c r="FJ59" s="18"/>
      <c r="FK59" s="18"/>
      <c r="FL59" s="19">
        <v>16.8</v>
      </c>
      <c r="FM59" s="18"/>
      <c r="FN59" s="18"/>
      <c r="FO59" s="19">
        <v>24</v>
      </c>
      <c r="FP59" s="18"/>
      <c r="FQ59" s="17">
        <f t="shared" si="4"/>
        <v>0.70000000000000007</v>
      </c>
      <c r="FR59" s="18"/>
      <c r="FS59" s="18"/>
      <c r="FT59" s="19">
        <v>10.588022222222222</v>
      </c>
      <c r="FU59" s="18"/>
      <c r="FV59" s="18"/>
      <c r="FW59" s="19">
        <v>13.912222222222223</v>
      </c>
      <c r="FX59" s="18"/>
      <c r="FY59" s="17">
        <f t="shared" si="5"/>
        <v>0.76105902084498034</v>
      </c>
      <c r="FZ59" s="18"/>
      <c r="GA59" s="18"/>
      <c r="GB59" s="19">
        <v>16.940000000000001</v>
      </c>
      <c r="GC59" s="18"/>
      <c r="GD59" s="18"/>
      <c r="GE59" s="19">
        <v>24</v>
      </c>
      <c r="GF59" s="18"/>
      <c r="GG59" s="17">
        <f t="shared" si="6"/>
        <v>0.70583333333333342</v>
      </c>
      <c r="GH59" s="18"/>
      <c r="GI59" s="18"/>
      <c r="GJ59" s="19">
        <v>0</v>
      </c>
      <c r="GK59" s="18"/>
      <c r="GL59" s="18"/>
      <c r="GM59" s="19">
        <v>0</v>
      </c>
      <c r="GN59" s="18"/>
      <c r="GO59" s="17">
        <f t="shared" si="7"/>
        <v>0</v>
      </c>
      <c r="GP59" s="18"/>
      <c r="GQ59" s="18"/>
      <c r="GR59" s="19">
        <v>96.850616455078125</v>
      </c>
      <c r="GS59" s="18"/>
      <c r="GT59" s="18"/>
      <c r="GU59" s="19">
        <v>133.91221618652344</v>
      </c>
      <c r="GV59" s="18"/>
      <c r="GW59" s="17">
        <f t="shared" si="8"/>
        <v>0.72323959092856016</v>
      </c>
      <c r="GX59" s="18"/>
      <c r="GY59" s="18"/>
    </row>
    <row r="60" spans="1:207" x14ac:dyDescent="0.35">
      <c r="DX60" s="20">
        <v>46257</v>
      </c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19">
        <v>18.48</v>
      </c>
      <c r="EO60" s="18"/>
      <c r="EP60" s="18"/>
      <c r="EQ60" s="19">
        <v>24</v>
      </c>
      <c r="ER60" s="18"/>
      <c r="ES60" s="17">
        <f t="shared" si="1"/>
        <v>0.77</v>
      </c>
      <c r="ET60" s="18"/>
      <c r="EU60" s="18"/>
      <c r="EV60" s="19">
        <v>17.447144444444444</v>
      </c>
      <c r="EW60" s="18"/>
      <c r="EX60" s="18"/>
      <c r="EY60" s="19">
        <v>23.577222222222222</v>
      </c>
      <c r="EZ60" s="18"/>
      <c r="FA60" s="17">
        <f t="shared" si="2"/>
        <v>0.74</v>
      </c>
      <c r="FB60" s="18"/>
      <c r="FC60" s="18"/>
      <c r="FD60" s="19">
        <v>14.946075</v>
      </c>
      <c r="FE60" s="18"/>
      <c r="FF60" s="18"/>
      <c r="FG60" s="19">
        <v>24</v>
      </c>
      <c r="FH60" s="18"/>
      <c r="FI60" s="17">
        <f t="shared" si="3"/>
        <v>0.62275312500000002</v>
      </c>
      <c r="FJ60" s="18"/>
      <c r="FK60" s="18"/>
      <c r="FL60" s="19">
        <v>1.183583333333333</v>
      </c>
      <c r="FM60" s="18"/>
      <c r="FN60" s="18"/>
      <c r="FO60" s="19">
        <v>1.690833333333333</v>
      </c>
      <c r="FP60" s="18"/>
      <c r="FQ60" s="17">
        <f t="shared" si="4"/>
        <v>0.7</v>
      </c>
      <c r="FR60" s="18"/>
      <c r="FS60" s="18"/>
      <c r="FT60" s="19">
        <v>0</v>
      </c>
      <c r="FU60" s="18"/>
      <c r="FV60" s="18"/>
      <c r="FW60" s="19">
        <v>0</v>
      </c>
      <c r="FX60" s="18"/>
      <c r="FY60" s="17">
        <f t="shared" si="5"/>
        <v>0</v>
      </c>
      <c r="FZ60" s="18"/>
      <c r="GA60" s="18"/>
      <c r="GB60" s="19">
        <v>1.592188888888888</v>
      </c>
      <c r="GC60" s="18"/>
      <c r="GD60" s="18"/>
      <c r="GE60" s="19">
        <v>2.0677777777777759</v>
      </c>
      <c r="GF60" s="18"/>
      <c r="GG60" s="17">
        <f t="shared" si="6"/>
        <v>0.77000000000000024</v>
      </c>
      <c r="GH60" s="18"/>
      <c r="GI60" s="18"/>
      <c r="GJ60" s="19">
        <v>0</v>
      </c>
      <c r="GK60" s="18"/>
      <c r="GL60" s="18"/>
      <c r="GM60" s="19">
        <v>0</v>
      </c>
      <c r="GN60" s="18"/>
      <c r="GO60" s="17">
        <f t="shared" si="7"/>
        <v>0</v>
      </c>
      <c r="GP60" s="18"/>
      <c r="GQ60" s="18"/>
      <c r="GR60" s="19">
        <v>53.648990631103516</v>
      </c>
      <c r="GS60" s="18"/>
      <c r="GT60" s="18"/>
      <c r="GU60" s="19">
        <v>75.335830688476563</v>
      </c>
      <c r="GV60" s="18"/>
      <c r="GW60" s="17">
        <f t="shared" si="8"/>
        <v>0.71213113522234928</v>
      </c>
      <c r="GX60" s="18"/>
      <c r="GY60" s="18"/>
    </row>
    <row r="61" spans="1:207" x14ac:dyDescent="0.35">
      <c r="DX61" s="21" t="s">
        <v>69</v>
      </c>
      <c r="DY61" s="21" t="s">
        <v>69</v>
      </c>
      <c r="DZ61" s="21" t="s">
        <v>69</v>
      </c>
      <c r="EA61" s="21" t="s">
        <v>69</v>
      </c>
      <c r="EB61" s="21" t="s">
        <v>69</v>
      </c>
      <c r="EC61" s="21" t="s">
        <v>69</v>
      </c>
      <c r="ED61" s="21" t="s">
        <v>69</v>
      </c>
      <c r="EE61" s="21" t="s">
        <v>69</v>
      </c>
      <c r="EF61" s="21" t="s">
        <v>69</v>
      </c>
      <c r="EG61" s="21" t="s">
        <v>69</v>
      </c>
      <c r="EH61" s="21" t="s">
        <v>69</v>
      </c>
      <c r="EI61" s="21" t="s">
        <v>69</v>
      </c>
      <c r="EJ61" s="21" t="s">
        <v>69</v>
      </c>
      <c r="EK61" s="21" t="s">
        <v>69</v>
      </c>
      <c r="EL61" s="21" t="s">
        <v>69</v>
      </c>
      <c r="EM61" s="21" t="s">
        <v>69</v>
      </c>
      <c r="EN61" s="22">
        <f>SUM(EN54:EP60)</f>
        <v>55.44</v>
      </c>
      <c r="EO61" s="18"/>
      <c r="EP61" s="18"/>
      <c r="EQ61" s="22">
        <f>SUM(EQ54:ER60)</f>
        <v>72</v>
      </c>
      <c r="ER61" s="18"/>
      <c r="ES61" s="23">
        <f t="shared" si="1"/>
        <v>0.77</v>
      </c>
      <c r="ET61" s="18"/>
      <c r="EU61" s="18"/>
      <c r="EV61" s="22">
        <f>SUM(EV54:EX60)</f>
        <v>51.729736111111109</v>
      </c>
      <c r="EW61" s="18"/>
      <c r="EX61" s="18"/>
      <c r="EY61" s="22">
        <f>SUM(EY54:EZ60)</f>
        <v>71.577222222222218</v>
      </c>
      <c r="EZ61" s="18"/>
      <c r="FA61" s="23">
        <f t="shared" si="2"/>
        <v>0.72271226103897113</v>
      </c>
      <c r="FB61" s="18"/>
      <c r="FC61" s="18"/>
      <c r="FD61" s="22">
        <f>SUM(FD54:FF60)</f>
        <v>44.546075000000002</v>
      </c>
      <c r="FE61" s="18"/>
      <c r="FF61" s="18"/>
      <c r="FG61" s="22">
        <f>SUM(FG54:FH60)</f>
        <v>72</v>
      </c>
      <c r="FH61" s="18"/>
      <c r="FI61" s="23">
        <f t="shared" si="3"/>
        <v>0.61869548611111114</v>
      </c>
      <c r="FJ61" s="18"/>
      <c r="FK61" s="18"/>
      <c r="FL61" s="22">
        <f>SUM(FL54:FN60)</f>
        <v>33.383583333333334</v>
      </c>
      <c r="FM61" s="18"/>
      <c r="FN61" s="18"/>
      <c r="FO61" s="22">
        <f>SUM(FO54:FP60)</f>
        <v>49.69083333333333</v>
      </c>
      <c r="FP61" s="18"/>
      <c r="FQ61" s="23">
        <f t="shared" si="4"/>
        <v>0.67182578946485771</v>
      </c>
      <c r="FR61" s="18"/>
      <c r="FS61" s="18"/>
      <c r="FT61" s="22">
        <f>SUM(FT54:FV60)</f>
        <v>19.99957222222222</v>
      </c>
      <c r="FU61" s="18"/>
      <c r="FV61" s="18"/>
      <c r="FW61" s="22">
        <f>SUM(FW54:FX60)</f>
        <v>26.389722222222222</v>
      </c>
      <c r="FX61" s="18"/>
      <c r="FY61" s="23">
        <f t="shared" si="5"/>
        <v>0.75785459406545053</v>
      </c>
      <c r="FZ61" s="18"/>
      <c r="GA61" s="18"/>
      <c r="GB61" s="22">
        <f>SUM(GB54:GD60)</f>
        <v>35.472188888888894</v>
      </c>
      <c r="GC61" s="18"/>
      <c r="GD61" s="18"/>
      <c r="GE61" s="22">
        <f>SUM(GE54:GF60)</f>
        <v>50.067777777777778</v>
      </c>
      <c r="GF61" s="18"/>
      <c r="GG61" s="23">
        <f t="shared" si="6"/>
        <v>0.70848338918355125</v>
      </c>
      <c r="GH61" s="18"/>
      <c r="GI61" s="18"/>
      <c r="GJ61" s="22">
        <f>SUM(GJ54:GL60)</f>
        <v>0</v>
      </c>
      <c r="GK61" s="18"/>
      <c r="GL61" s="18"/>
      <c r="GM61" s="22">
        <f>SUM(GM54:GN60)</f>
        <v>0</v>
      </c>
      <c r="GN61" s="18"/>
      <c r="GO61" s="23">
        <f t="shared" si="7"/>
        <v>0</v>
      </c>
      <c r="GP61" s="18"/>
      <c r="GQ61" s="18"/>
      <c r="GR61" s="22">
        <f>SUM(GR54:GT60)</f>
        <v>240.5711555480957</v>
      </c>
      <c r="GS61" s="18"/>
      <c r="GT61" s="18"/>
      <c r="GU61" s="22">
        <f>SUM(GU54:GV60)</f>
        <v>341.72554016113281</v>
      </c>
      <c r="GV61" s="18"/>
      <c r="GW61" s="23">
        <f t="shared" si="8"/>
        <v>0.70398939287552198</v>
      </c>
      <c r="GX61" s="18"/>
      <c r="GY61" s="18"/>
    </row>
  </sheetData>
  <mergeCells count="1027">
    <mergeCell ref="L9:S9"/>
    <mergeCell ref="T9:AA9"/>
    <mergeCell ref="AB8:AY8"/>
    <mergeCell ref="AB9:AI9"/>
    <mergeCell ref="AJ9:AQ9"/>
    <mergeCell ref="AR9:AY9"/>
    <mergeCell ref="A6:C6"/>
    <mergeCell ref="D6:AA6"/>
    <mergeCell ref="AB6:AI6"/>
    <mergeCell ref="AJ6:AN6"/>
    <mergeCell ref="D8:AA8"/>
    <mergeCell ref="Q1:FT4"/>
    <mergeCell ref="A1:C1"/>
    <mergeCell ref="A2:C2"/>
    <mergeCell ref="A3:C3"/>
    <mergeCell ref="A4:C4"/>
    <mergeCell ref="D1:P1"/>
    <mergeCell ref="D2:P2"/>
    <mergeCell ref="D3:P3"/>
    <mergeCell ref="D4:P4"/>
    <mergeCell ref="AZ11:BW11"/>
    <mergeCell ref="BX11:CU11"/>
    <mergeCell ref="CV11:DS11"/>
    <mergeCell ref="DT11:EQ11"/>
    <mergeCell ref="A11:C11"/>
    <mergeCell ref="A12:C12"/>
    <mergeCell ref="A13:C13"/>
    <mergeCell ref="A14:C14"/>
    <mergeCell ref="D11:AA11"/>
    <mergeCell ref="D14:AA14"/>
    <mergeCell ref="ER8:FO8"/>
    <mergeCell ref="ER9:EY9"/>
    <mergeCell ref="EZ9:FG9"/>
    <mergeCell ref="FH9:FO9"/>
    <mergeCell ref="FP8:FT10"/>
    <mergeCell ref="CV8:DS8"/>
    <mergeCell ref="CV9:DC9"/>
    <mergeCell ref="DD9:DK9"/>
    <mergeCell ref="DL9:DS9"/>
    <mergeCell ref="DT8:EQ8"/>
    <mergeCell ref="DT9:EA9"/>
    <mergeCell ref="EB9:EI9"/>
    <mergeCell ref="EJ9:EQ9"/>
    <mergeCell ref="AZ8:BW8"/>
    <mergeCell ref="AZ9:BG9"/>
    <mergeCell ref="BH9:BO9"/>
    <mergeCell ref="BP9:BW9"/>
    <mergeCell ref="BX8:CU8"/>
    <mergeCell ref="BX9:CE9"/>
    <mergeCell ref="CF9:CM9"/>
    <mergeCell ref="CN9:CU9"/>
    <mergeCell ref="D9:K9"/>
    <mergeCell ref="CV12:DC12"/>
    <mergeCell ref="CV13:DC13"/>
    <mergeCell ref="DD12:DK12"/>
    <mergeCell ref="DD13:DK13"/>
    <mergeCell ref="BX13:CE13"/>
    <mergeCell ref="CF12:CM12"/>
    <mergeCell ref="CF13:CM13"/>
    <mergeCell ref="CN12:CU12"/>
    <mergeCell ref="CN13:CU13"/>
    <mergeCell ref="AB14:AY14"/>
    <mergeCell ref="AZ12:BG12"/>
    <mergeCell ref="AZ13:BG13"/>
    <mergeCell ref="BH12:BO12"/>
    <mergeCell ref="BH13:BO13"/>
    <mergeCell ref="AZ14:BW14"/>
    <mergeCell ref="ER11:FO11"/>
    <mergeCell ref="D12:K12"/>
    <mergeCell ref="D13:K13"/>
    <mergeCell ref="L12:S12"/>
    <mergeCell ref="L13:S13"/>
    <mergeCell ref="T12:AA12"/>
    <mergeCell ref="T13:AA13"/>
    <mergeCell ref="AB12:AI12"/>
    <mergeCell ref="AB13:AI13"/>
    <mergeCell ref="AJ12:AQ12"/>
    <mergeCell ref="AJ13:AQ13"/>
    <mergeCell ref="AR12:AY12"/>
    <mergeCell ref="AR13:AY13"/>
    <mergeCell ref="BP12:BW12"/>
    <mergeCell ref="BP13:BW13"/>
    <mergeCell ref="BX12:CE12"/>
    <mergeCell ref="AB11:AY11"/>
    <mergeCell ref="FP11:FT14"/>
    <mergeCell ref="A15:C15"/>
    <mergeCell ref="A16:C16"/>
    <mergeCell ref="A17:C17"/>
    <mergeCell ref="CV15:DS15"/>
    <mergeCell ref="DT15:DU15"/>
    <mergeCell ref="DV15:EQ15"/>
    <mergeCell ref="ER15:FO15"/>
    <mergeCell ref="AR16:AY16"/>
    <mergeCell ref="AR17:AY17"/>
    <mergeCell ref="BP16:BW16"/>
    <mergeCell ref="BP17:BW17"/>
    <mergeCell ref="BX16:CE16"/>
    <mergeCell ref="BX17:CE17"/>
    <mergeCell ref="CF16:CM16"/>
    <mergeCell ref="ER12:EY12"/>
    <mergeCell ref="ER13:EY13"/>
    <mergeCell ref="EZ12:FG12"/>
    <mergeCell ref="EZ13:FG13"/>
    <mergeCell ref="FH12:FO12"/>
    <mergeCell ref="FH13:FO13"/>
    <mergeCell ref="EB12:EI12"/>
    <mergeCell ref="EB13:EI13"/>
    <mergeCell ref="EJ12:EQ12"/>
    <mergeCell ref="EJ13:EQ13"/>
    <mergeCell ref="DT14:EQ14"/>
    <mergeCell ref="DL12:DS12"/>
    <mergeCell ref="DL13:DS13"/>
    <mergeCell ref="CV14:DS14"/>
    <mergeCell ref="DT12:EA12"/>
    <mergeCell ref="DT13:EA13"/>
    <mergeCell ref="BX14:CU14"/>
    <mergeCell ref="A18:C18"/>
    <mergeCell ref="D15:AA15"/>
    <mergeCell ref="AB15:AY15"/>
    <mergeCell ref="AZ15:BW15"/>
    <mergeCell ref="BX15:CU15"/>
    <mergeCell ref="D16:K16"/>
    <mergeCell ref="D17:K17"/>
    <mergeCell ref="L16:S16"/>
    <mergeCell ref="L17:S17"/>
    <mergeCell ref="T16:AA16"/>
    <mergeCell ref="T17:AA17"/>
    <mergeCell ref="D18:AA18"/>
    <mergeCell ref="AB16:AI16"/>
    <mergeCell ref="AB17:AI17"/>
    <mergeCell ref="AJ16:AQ16"/>
    <mergeCell ref="AJ17:AQ17"/>
    <mergeCell ref="ER14:FO14"/>
    <mergeCell ref="DD16:DK16"/>
    <mergeCell ref="DD17:DK17"/>
    <mergeCell ref="DL16:DS16"/>
    <mergeCell ref="DL17:DS17"/>
    <mergeCell ref="CV18:DS18"/>
    <mergeCell ref="CF17:CM17"/>
    <mergeCell ref="CN16:CU16"/>
    <mergeCell ref="CN17:CU17"/>
    <mergeCell ref="BX18:CU18"/>
    <mergeCell ref="CV16:DC16"/>
    <mergeCell ref="CV17:DC17"/>
    <mergeCell ref="AB18:AY18"/>
    <mergeCell ref="AZ16:BG16"/>
    <mergeCell ref="AZ17:BG17"/>
    <mergeCell ref="BH16:BO16"/>
    <mergeCell ref="BH17:BO17"/>
    <mergeCell ref="AZ18:BW18"/>
    <mergeCell ref="FP15:FT18"/>
    <mergeCell ref="A19:C19"/>
    <mergeCell ref="A20:C20"/>
    <mergeCell ref="A21:C21"/>
    <mergeCell ref="A22:C22"/>
    <mergeCell ref="D19:AA19"/>
    <mergeCell ref="AB19:AY19"/>
    <mergeCell ref="AZ19:BW19"/>
    <mergeCell ref="BX19:CU19"/>
    <mergeCell ref="CV19:DD19"/>
    <mergeCell ref="DE19:DL19"/>
    <mergeCell ref="DM19:DS19"/>
    <mergeCell ref="DT19:EQ19"/>
    <mergeCell ref="ER19:FE19"/>
    <mergeCell ref="FF19:FH19"/>
    <mergeCell ref="FI19:FO19"/>
    <mergeCell ref="EZ16:FG16"/>
    <mergeCell ref="EZ17:FG17"/>
    <mergeCell ref="FH16:FO16"/>
    <mergeCell ref="FH17:FO17"/>
    <mergeCell ref="ER18:FO18"/>
    <mergeCell ref="EJ16:EQ16"/>
    <mergeCell ref="EJ17:EQ17"/>
    <mergeCell ref="DT18:EQ18"/>
    <mergeCell ref="ER16:EY16"/>
    <mergeCell ref="ER17:EY17"/>
    <mergeCell ref="DT16:DU16"/>
    <mergeCell ref="DT17:DU17"/>
    <mergeCell ref="DV16:EA16"/>
    <mergeCell ref="DV17:EA17"/>
    <mergeCell ref="EB16:EI16"/>
    <mergeCell ref="EB17:EI17"/>
    <mergeCell ref="BH20:BO20"/>
    <mergeCell ref="BH21:BO21"/>
    <mergeCell ref="BP20:BW20"/>
    <mergeCell ref="BP21:BW21"/>
    <mergeCell ref="AZ22:BW22"/>
    <mergeCell ref="AR20:AY20"/>
    <mergeCell ref="AR21:AY21"/>
    <mergeCell ref="AB22:AY22"/>
    <mergeCell ref="AZ20:BG20"/>
    <mergeCell ref="AZ21:BG21"/>
    <mergeCell ref="D22:AA22"/>
    <mergeCell ref="AB20:AI20"/>
    <mergeCell ref="AB21:AI21"/>
    <mergeCell ref="AJ20:AQ20"/>
    <mergeCell ref="AJ21:AQ21"/>
    <mergeCell ref="D20:K20"/>
    <mergeCell ref="D21:K21"/>
    <mergeCell ref="L20:S20"/>
    <mergeCell ref="L21:S21"/>
    <mergeCell ref="T20:AA20"/>
    <mergeCell ref="T21:AA21"/>
    <mergeCell ref="A23:C23"/>
    <mergeCell ref="A24:C24"/>
    <mergeCell ref="A25:C25"/>
    <mergeCell ref="A26:C26"/>
    <mergeCell ref="D23:AA23"/>
    <mergeCell ref="AB23:AY23"/>
    <mergeCell ref="AZ23:BW23"/>
    <mergeCell ref="BX23:CU23"/>
    <mergeCell ref="CV23:DH23"/>
    <mergeCell ref="DI23"/>
    <mergeCell ref="DJ23:DN23"/>
    <mergeCell ref="DO23"/>
    <mergeCell ref="DP23:DS23"/>
    <mergeCell ref="DT23:EQ23"/>
    <mergeCell ref="ER23:ES23"/>
    <mergeCell ref="FF20:FH20"/>
    <mergeCell ref="FF21:FH21"/>
    <mergeCell ref="ER22:FO22"/>
    <mergeCell ref="DT22:EQ22"/>
    <mergeCell ref="ER20:EY20"/>
    <mergeCell ref="ER21:EY21"/>
    <mergeCell ref="EZ20:FE20"/>
    <mergeCell ref="EZ21:FE21"/>
    <mergeCell ref="DT20:EA20"/>
    <mergeCell ref="DT21:EA21"/>
    <mergeCell ref="EB20:EI20"/>
    <mergeCell ref="EB21:EI21"/>
    <mergeCell ref="EJ20:EQ20"/>
    <mergeCell ref="EJ21:EQ21"/>
    <mergeCell ref="DE20:DL20"/>
    <mergeCell ref="DE21:DL21"/>
    <mergeCell ref="DM20:DS20"/>
    <mergeCell ref="ET23:FO23"/>
    <mergeCell ref="D24:K24"/>
    <mergeCell ref="D25:K25"/>
    <mergeCell ref="L24:S24"/>
    <mergeCell ref="L25:S25"/>
    <mergeCell ref="T24:AA24"/>
    <mergeCell ref="T25:AA25"/>
    <mergeCell ref="AR24:AY24"/>
    <mergeCell ref="AR25:AY25"/>
    <mergeCell ref="AZ24:BG24"/>
    <mergeCell ref="AZ25:BG25"/>
    <mergeCell ref="BH24:BO24"/>
    <mergeCell ref="BH25:BO25"/>
    <mergeCell ref="BP24:BW24"/>
    <mergeCell ref="BP25:BW25"/>
    <mergeCell ref="CN24:CU24"/>
    <mergeCell ref="FP19:FT22"/>
    <mergeCell ref="FI20:FO20"/>
    <mergeCell ref="FI21:FO21"/>
    <mergeCell ref="DM21:DS21"/>
    <mergeCell ref="CV22:DS22"/>
    <mergeCell ref="BX22:CU22"/>
    <mergeCell ref="CV20:DC20"/>
    <mergeCell ref="CV21:DC21"/>
    <mergeCell ref="DD20"/>
    <mergeCell ref="DD21"/>
    <mergeCell ref="BX20:CE20"/>
    <mergeCell ref="BX21:CE21"/>
    <mergeCell ref="CF20:CM20"/>
    <mergeCell ref="CF21:CM21"/>
    <mergeCell ref="CN20:CU20"/>
    <mergeCell ref="CN21:CU21"/>
    <mergeCell ref="CN25:CU25"/>
    <mergeCell ref="BX26:CU26"/>
    <mergeCell ref="CV24:DC24"/>
    <mergeCell ref="CV25:DC25"/>
    <mergeCell ref="DD24:DH24"/>
    <mergeCell ref="DD25:DH25"/>
    <mergeCell ref="AZ26:BW26"/>
    <mergeCell ref="BX24:CE24"/>
    <mergeCell ref="BX25:CE25"/>
    <mergeCell ref="CF24:CM24"/>
    <mergeCell ref="CF25:CM25"/>
    <mergeCell ref="D26:AA26"/>
    <mergeCell ref="AB24:AI24"/>
    <mergeCell ref="AB25:AI25"/>
    <mergeCell ref="AJ24:AQ24"/>
    <mergeCell ref="AJ25:AQ25"/>
    <mergeCell ref="AB26:AY26"/>
    <mergeCell ref="ET24:FO24"/>
    <mergeCell ref="ET25:FO25"/>
    <mergeCell ref="ER26:FO26"/>
    <mergeCell ref="DT24:EA24"/>
    <mergeCell ref="DT25:EA25"/>
    <mergeCell ref="EB24:EI24"/>
    <mergeCell ref="EB25:EI25"/>
    <mergeCell ref="EJ24:EQ24"/>
    <mergeCell ref="EJ25:EQ25"/>
    <mergeCell ref="DO24"/>
    <mergeCell ref="DO25"/>
    <mergeCell ref="DP24:DS24"/>
    <mergeCell ref="DP25:DS25"/>
    <mergeCell ref="CV26:DS26"/>
    <mergeCell ref="DI24"/>
    <mergeCell ref="DI25"/>
    <mergeCell ref="DJ24:DK24"/>
    <mergeCell ref="DJ25:DK25"/>
    <mergeCell ref="DL24:DN24"/>
    <mergeCell ref="DL25:DN25"/>
    <mergeCell ref="AB30:AY30"/>
    <mergeCell ref="AZ28:BG28"/>
    <mergeCell ref="AZ29:BG29"/>
    <mergeCell ref="D30:AA30"/>
    <mergeCell ref="AB28:AI28"/>
    <mergeCell ref="AB29:AI29"/>
    <mergeCell ref="AJ28:AQ28"/>
    <mergeCell ref="AJ29:AQ29"/>
    <mergeCell ref="D29:K29"/>
    <mergeCell ref="L28:S28"/>
    <mergeCell ref="L29:S29"/>
    <mergeCell ref="T28:AA28"/>
    <mergeCell ref="T29:AA29"/>
    <mergeCell ref="FP23:FT26"/>
    <mergeCell ref="A27:C27"/>
    <mergeCell ref="A28:C28"/>
    <mergeCell ref="A29:C29"/>
    <mergeCell ref="A30:C30"/>
    <mergeCell ref="D27:AA27"/>
    <mergeCell ref="AB27:AY27"/>
    <mergeCell ref="AZ27:BW27"/>
    <mergeCell ref="BX27:CU27"/>
    <mergeCell ref="CV27:DF27"/>
    <mergeCell ref="DG27:DQ27"/>
    <mergeCell ref="DR27:DS27"/>
    <mergeCell ref="DT27:ED27"/>
    <mergeCell ref="EE27:EQ27"/>
    <mergeCell ref="ER27:FO27"/>
    <mergeCell ref="D28:K28"/>
    <mergeCell ref="DT26:EQ26"/>
    <mergeCell ref="ER24:ES24"/>
    <mergeCell ref="ER25:ES25"/>
    <mergeCell ref="FP27:FT30"/>
    <mergeCell ref="A31:C31"/>
    <mergeCell ref="AZ31:BW31"/>
    <mergeCell ref="BX31:CU31"/>
    <mergeCell ref="CV31:DD31"/>
    <mergeCell ref="DE31:DF31"/>
    <mergeCell ref="DG31:DS31"/>
    <mergeCell ref="DT31:EC31"/>
    <mergeCell ref="ED31:EE31"/>
    <mergeCell ref="EF31:EQ31"/>
    <mergeCell ref="ER31:ES31"/>
    <mergeCell ref="ET31:FO31"/>
    <mergeCell ref="FP31:FT34"/>
    <mergeCell ref="ED28"/>
    <mergeCell ref="ED29"/>
    <mergeCell ref="EE28:EI28"/>
    <mergeCell ref="EE29:EI29"/>
    <mergeCell ref="EJ28:EQ28"/>
    <mergeCell ref="EJ29:EQ29"/>
    <mergeCell ref="DG28:DK28"/>
    <mergeCell ref="DG29:DK29"/>
    <mergeCell ref="DL28:DQ28"/>
    <mergeCell ref="DL29:DQ29"/>
    <mergeCell ref="CV30:DS30"/>
    <mergeCell ref="DR28:EC28"/>
    <mergeCell ref="DR29:EC29"/>
    <mergeCell ref="DT30:EQ30"/>
    <mergeCell ref="BX30:CU30"/>
    <mergeCell ref="CV28:DE28"/>
    <mergeCell ref="CV29:DE29"/>
    <mergeCell ref="DF28"/>
    <mergeCell ref="DF29"/>
    <mergeCell ref="A32:C32"/>
    <mergeCell ref="A33:C33"/>
    <mergeCell ref="A34:C34"/>
    <mergeCell ref="D31:AA31"/>
    <mergeCell ref="AB31:AY31"/>
    <mergeCell ref="D32:K32"/>
    <mergeCell ref="D33:K33"/>
    <mergeCell ref="L32:S32"/>
    <mergeCell ref="L33:S33"/>
    <mergeCell ref="T32:AA32"/>
    <mergeCell ref="T33:AA33"/>
    <mergeCell ref="D34:AA34"/>
    <mergeCell ref="AB32:AI32"/>
    <mergeCell ref="AB33:AI33"/>
    <mergeCell ref="AJ32:AQ32"/>
    <mergeCell ref="AJ33:AQ33"/>
    <mergeCell ref="ER28:FO28"/>
    <mergeCell ref="ER29:FO29"/>
    <mergeCell ref="ER30:FO30"/>
    <mergeCell ref="BX28:CE28"/>
    <mergeCell ref="BX29:CE29"/>
    <mergeCell ref="CF28:CM28"/>
    <mergeCell ref="CF29:CM29"/>
    <mergeCell ref="CN28:CU28"/>
    <mergeCell ref="CN29:CU29"/>
    <mergeCell ref="BH28:BO28"/>
    <mergeCell ref="BH29:BO29"/>
    <mergeCell ref="BP28:BW28"/>
    <mergeCell ref="BP29:BW29"/>
    <mergeCell ref="AZ30:BW30"/>
    <mergeCell ref="AR28:AY28"/>
    <mergeCell ref="AR29:AY29"/>
    <mergeCell ref="DD33"/>
    <mergeCell ref="CV34:DS34"/>
    <mergeCell ref="BX32:CE32"/>
    <mergeCell ref="BX33:CE33"/>
    <mergeCell ref="CF32:CM32"/>
    <mergeCell ref="CF33:CM33"/>
    <mergeCell ref="CN32:CU32"/>
    <mergeCell ref="CN33:CU33"/>
    <mergeCell ref="BH32:BO32"/>
    <mergeCell ref="BH33:BO33"/>
    <mergeCell ref="BP32:BW32"/>
    <mergeCell ref="BP33:BW33"/>
    <mergeCell ref="AZ34:BW34"/>
    <mergeCell ref="AR32:AY32"/>
    <mergeCell ref="AR33:AY33"/>
    <mergeCell ref="AB34:AY34"/>
    <mergeCell ref="AZ32:BG32"/>
    <mergeCell ref="AZ33:BG33"/>
    <mergeCell ref="A35:C35"/>
    <mergeCell ref="A36:C36"/>
    <mergeCell ref="A37:C37"/>
    <mergeCell ref="A38:C38"/>
    <mergeCell ref="D35:AA35"/>
    <mergeCell ref="D38:AA38"/>
    <mergeCell ref="ER32:ES32"/>
    <mergeCell ref="ER33:ES33"/>
    <mergeCell ref="ET32:FO32"/>
    <mergeCell ref="ET33:FO33"/>
    <mergeCell ref="ER34:FO34"/>
    <mergeCell ref="EF32:EI32"/>
    <mergeCell ref="EF33:EI33"/>
    <mergeCell ref="EJ32:EQ32"/>
    <mergeCell ref="EJ33:EQ33"/>
    <mergeCell ref="DT34:EQ34"/>
    <mergeCell ref="DT32:EA32"/>
    <mergeCell ref="DT33:EA33"/>
    <mergeCell ref="EB32:EC32"/>
    <mergeCell ref="EB33:EC33"/>
    <mergeCell ref="ED32:EE32"/>
    <mergeCell ref="ED33:EE33"/>
    <mergeCell ref="DE32:DF32"/>
    <mergeCell ref="DE33:DF33"/>
    <mergeCell ref="DG32:DK32"/>
    <mergeCell ref="DG33:DK33"/>
    <mergeCell ref="DL32:DS32"/>
    <mergeCell ref="DL33:DS33"/>
    <mergeCell ref="BX34:CU34"/>
    <mergeCell ref="CV32:DC32"/>
    <mergeCell ref="CV33:DC33"/>
    <mergeCell ref="DD32"/>
    <mergeCell ref="BX37:CE37"/>
    <mergeCell ref="CF36:CM36"/>
    <mergeCell ref="CF37:CM37"/>
    <mergeCell ref="CN36:CU36"/>
    <mergeCell ref="CN37:CU37"/>
    <mergeCell ref="AB38:AY38"/>
    <mergeCell ref="AZ36:BG36"/>
    <mergeCell ref="AZ37:BG37"/>
    <mergeCell ref="BH36:BO36"/>
    <mergeCell ref="BH37:BO37"/>
    <mergeCell ref="AZ38:BW38"/>
    <mergeCell ref="ER35:FO35"/>
    <mergeCell ref="D36:K36"/>
    <mergeCell ref="D37:K37"/>
    <mergeCell ref="L36:S36"/>
    <mergeCell ref="L37:S37"/>
    <mergeCell ref="T36:AA36"/>
    <mergeCell ref="T37:AA37"/>
    <mergeCell ref="AB36:AI36"/>
    <mergeCell ref="AB37:AI37"/>
    <mergeCell ref="AJ36:AQ36"/>
    <mergeCell ref="AJ37:AQ37"/>
    <mergeCell ref="AR36:AY36"/>
    <mergeCell ref="AR37:AY37"/>
    <mergeCell ref="BP36:BW36"/>
    <mergeCell ref="BP37:BW37"/>
    <mergeCell ref="BX36:CE36"/>
    <mergeCell ref="AB35:AY35"/>
    <mergeCell ref="AZ35:BW35"/>
    <mergeCell ref="BX35:CU35"/>
    <mergeCell ref="CV35:DS35"/>
    <mergeCell ref="DT35:EQ35"/>
    <mergeCell ref="ER38:FO38"/>
    <mergeCell ref="FP35:FT38"/>
    <mergeCell ref="A39:C39"/>
    <mergeCell ref="FP39:FT39"/>
    <mergeCell ref="D39:AA39"/>
    <mergeCell ref="AB39:AY39"/>
    <mergeCell ref="AZ39:BW39"/>
    <mergeCell ref="BX39:CU39"/>
    <mergeCell ref="CV39:DS39"/>
    <mergeCell ref="DT39:EQ39"/>
    <mergeCell ref="ER39:FO39"/>
    <mergeCell ref="ER36:EY36"/>
    <mergeCell ref="ER37:EY37"/>
    <mergeCell ref="EZ36:FG36"/>
    <mergeCell ref="EZ37:FG37"/>
    <mergeCell ref="FH36:FO36"/>
    <mergeCell ref="FH37:FO37"/>
    <mergeCell ref="EB36:EI36"/>
    <mergeCell ref="EB37:EI37"/>
    <mergeCell ref="EJ36:EQ36"/>
    <mergeCell ref="EJ37:EQ37"/>
    <mergeCell ref="DT38:EQ38"/>
    <mergeCell ref="DL36:DS36"/>
    <mergeCell ref="DL37:DS37"/>
    <mergeCell ref="CV38:DS38"/>
    <mergeCell ref="DT36:EA36"/>
    <mergeCell ref="DT37:EA37"/>
    <mergeCell ref="BX38:CU38"/>
    <mergeCell ref="CV36:DC36"/>
    <mergeCell ref="CV37:DC37"/>
    <mergeCell ref="DD36:DK36"/>
    <mergeCell ref="DD37:DK37"/>
    <mergeCell ref="A44:K44"/>
    <mergeCell ref="L44:S44"/>
    <mergeCell ref="T44:AA44"/>
    <mergeCell ref="AB44:AI44"/>
    <mergeCell ref="AJ44:AQ44"/>
    <mergeCell ref="AR44:AY44"/>
    <mergeCell ref="A43:K43"/>
    <mergeCell ref="L43:S43"/>
    <mergeCell ref="T43:AA43"/>
    <mergeCell ref="AB43:AI43"/>
    <mergeCell ref="AJ43:AQ43"/>
    <mergeCell ref="A41:AY41"/>
    <mergeCell ref="A42:K42"/>
    <mergeCell ref="L42:S42"/>
    <mergeCell ref="T42:AA42"/>
    <mergeCell ref="AB42:AI42"/>
    <mergeCell ref="AJ42:AQ42"/>
    <mergeCell ref="AR42:AY42"/>
    <mergeCell ref="A48:K48"/>
    <mergeCell ref="L48:S48"/>
    <mergeCell ref="T48:AA48"/>
    <mergeCell ref="AB48:AI48"/>
    <mergeCell ref="AJ48:AQ48"/>
    <mergeCell ref="AR48:AY48"/>
    <mergeCell ref="A47:K47"/>
    <mergeCell ref="L47:S47"/>
    <mergeCell ref="T47:AA47"/>
    <mergeCell ref="AB47:AI47"/>
    <mergeCell ref="AJ47:AQ47"/>
    <mergeCell ref="AR45:AY45"/>
    <mergeCell ref="A46:K46"/>
    <mergeCell ref="L46:S46"/>
    <mergeCell ref="T46:AA46"/>
    <mergeCell ref="AB46:AI46"/>
    <mergeCell ref="AJ46:AQ46"/>
    <mergeCell ref="AR46:AY46"/>
    <mergeCell ref="A45:K45"/>
    <mergeCell ref="L45:S45"/>
    <mergeCell ref="T45:AA45"/>
    <mergeCell ref="AB45:AI45"/>
    <mergeCell ref="AJ45:AQ45"/>
    <mergeCell ref="A52:K52"/>
    <mergeCell ref="L52:S52"/>
    <mergeCell ref="T52:AA52"/>
    <mergeCell ref="AB52:AI52"/>
    <mergeCell ref="AJ52:AQ52"/>
    <mergeCell ref="AR52:AY52"/>
    <mergeCell ref="A51:K51"/>
    <mergeCell ref="L51:S51"/>
    <mergeCell ref="T51:AA51"/>
    <mergeCell ref="AB51:AI51"/>
    <mergeCell ref="AJ51:AQ51"/>
    <mergeCell ref="AR49:AY49"/>
    <mergeCell ref="A50:K50"/>
    <mergeCell ref="L50:S50"/>
    <mergeCell ref="T50:AA50"/>
    <mergeCell ref="AB50:AI50"/>
    <mergeCell ref="AJ50:AQ50"/>
    <mergeCell ref="AR50:AY50"/>
    <mergeCell ref="A49:K49"/>
    <mergeCell ref="L49:S49"/>
    <mergeCell ref="T49:AA49"/>
    <mergeCell ref="AB49:AI49"/>
    <mergeCell ref="AJ49:AQ49"/>
    <mergeCell ref="A55:K55"/>
    <mergeCell ref="L55:S55"/>
    <mergeCell ref="T55:AA55"/>
    <mergeCell ref="AB55:AI55"/>
    <mergeCell ref="AJ55:AQ55"/>
    <mergeCell ref="AR53:AY53"/>
    <mergeCell ref="A54:K54"/>
    <mergeCell ref="L54:S54"/>
    <mergeCell ref="T54:AA54"/>
    <mergeCell ref="AB54:AI54"/>
    <mergeCell ref="AJ54:AQ54"/>
    <mergeCell ref="AR54:AY54"/>
    <mergeCell ref="A53:K53"/>
    <mergeCell ref="L53:S53"/>
    <mergeCell ref="T53:AA53"/>
    <mergeCell ref="AB53:AI53"/>
    <mergeCell ref="AJ53:AQ53"/>
    <mergeCell ref="DF43:DM43"/>
    <mergeCell ref="DN43:DU43"/>
    <mergeCell ref="BB44:BI44"/>
    <mergeCell ref="BJ44:BY44"/>
    <mergeCell ref="BZ44:CG44"/>
    <mergeCell ref="CH44:CO44"/>
    <mergeCell ref="CP44:CW44"/>
    <mergeCell ref="CX44:DE44"/>
    <mergeCell ref="DF44:DM44"/>
    <mergeCell ref="DN44:DU44"/>
    <mergeCell ref="AR55:AY55"/>
    <mergeCell ref="BB41:DU41"/>
    <mergeCell ref="BB42:BI42"/>
    <mergeCell ref="BJ42:BY42"/>
    <mergeCell ref="BZ42:CG42"/>
    <mergeCell ref="CH42:CO42"/>
    <mergeCell ref="CP42:CW42"/>
    <mergeCell ref="CX42:DE42"/>
    <mergeCell ref="DF42:DM42"/>
    <mergeCell ref="DN42:DU42"/>
    <mergeCell ref="BB43:BI43"/>
    <mergeCell ref="BJ43:BY43"/>
    <mergeCell ref="BZ43:CG43"/>
    <mergeCell ref="CH43:CO43"/>
    <mergeCell ref="CP43:CW43"/>
    <mergeCell ref="CX43:DE43"/>
    <mergeCell ref="AR51:AY51"/>
    <mergeCell ref="AR47:AY47"/>
    <mergeCell ref="AR43:AY43"/>
    <mergeCell ref="DN47:DU47"/>
    <mergeCell ref="BB48:BI48"/>
    <mergeCell ref="BJ48:BY48"/>
    <mergeCell ref="BZ48:CG48"/>
    <mergeCell ref="CH48:CO48"/>
    <mergeCell ref="CP48:CW48"/>
    <mergeCell ref="CX48:DE48"/>
    <mergeCell ref="DF48:DM48"/>
    <mergeCell ref="DN48:DU48"/>
    <mergeCell ref="BB47:BI47"/>
    <mergeCell ref="BJ47:BY47"/>
    <mergeCell ref="BZ47:CG47"/>
    <mergeCell ref="CH47:CO47"/>
    <mergeCell ref="CP47:CW47"/>
    <mergeCell ref="CX45:DE45"/>
    <mergeCell ref="DF45:DM45"/>
    <mergeCell ref="DN45:DU45"/>
    <mergeCell ref="BB46:BI46"/>
    <mergeCell ref="BJ46:BY46"/>
    <mergeCell ref="BZ46:CG46"/>
    <mergeCell ref="CH46:CO46"/>
    <mergeCell ref="CP46:CW46"/>
    <mergeCell ref="CX46:DE46"/>
    <mergeCell ref="DF46:DM46"/>
    <mergeCell ref="DN46:DU46"/>
    <mergeCell ref="BB45:BI45"/>
    <mergeCell ref="BJ45:BY45"/>
    <mergeCell ref="BZ45:CG45"/>
    <mergeCell ref="CH45:CO45"/>
    <mergeCell ref="CP45:CW45"/>
    <mergeCell ref="BB52:BI52"/>
    <mergeCell ref="BJ52:BY52"/>
    <mergeCell ref="BZ52:CG52"/>
    <mergeCell ref="CH52:CO52"/>
    <mergeCell ref="CP52:CW52"/>
    <mergeCell ref="CX52:DE52"/>
    <mergeCell ref="DF52:DM52"/>
    <mergeCell ref="DN52:DU52"/>
    <mergeCell ref="BB51:BI51"/>
    <mergeCell ref="BJ51:BY51"/>
    <mergeCell ref="BZ51:CG51"/>
    <mergeCell ref="CH51:CO51"/>
    <mergeCell ref="CP51:CW51"/>
    <mergeCell ref="CX49:DE49"/>
    <mergeCell ref="DF49:DM49"/>
    <mergeCell ref="DN49:DU49"/>
    <mergeCell ref="BB50:BI50"/>
    <mergeCell ref="BJ50:BY50"/>
    <mergeCell ref="BZ50:CG50"/>
    <mergeCell ref="CH50:CO50"/>
    <mergeCell ref="CP50:CW50"/>
    <mergeCell ref="CX50:DE50"/>
    <mergeCell ref="DF50:DM50"/>
    <mergeCell ref="DN50:DU50"/>
    <mergeCell ref="BB49:BI49"/>
    <mergeCell ref="BJ49:BY49"/>
    <mergeCell ref="BZ49:CG49"/>
    <mergeCell ref="CH49:CO49"/>
    <mergeCell ref="CP49:CW49"/>
    <mergeCell ref="BB55:BI55"/>
    <mergeCell ref="BJ55:BY55"/>
    <mergeCell ref="BZ55:CG55"/>
    <mergeCell ref="CH55:CO55"/>
    <mergeCell ref="CP55:CW55"/>
    <mergeCell ref="CX53:DE53"/>
    <mergeCell ref="DF53:DM53"/>
    <mergeCell ref="DN53:DU53"/>
    <mergeCell ref="BB54:BI54"/>
    <mergeCell ref="BJ54:BY54"/>
    <mergeCell ref="BZ54:CG54"/>
    <mergeCell ref="CH54:CO54"/>
    <mergeCell ref="CP54:CW54"/>
    <mergeCell ref="CX54:DE54"/>
    <mergeCell ref="DF54:DM54"/>
    <mergeCell ref="DN54:DU54"/>
    <mergeCell ref="BB53:BI53"/>
    <mergeCell ref="BJ53:BY53"/>
    <mergeCell ref="BZ53:CG53"/>
    <mergeCell ref="CH53:CO53"/>
    <mergeCell ref="CP53:CW53"/>
    <mergeCell ref="EV42:FC42"/>
    <mergeCell ref="EV43:FC43"/>
    <mergeCell ref="EV44:FC44"/>
    <mergeCell ref="EV45:FC45"/>
    <mergeCell ref="EV46:FC46"/>
    <mergeCell ref="EV47:FC47"/>
    <mergeCell ref="EV48:FC48"/>
    <mergeCell ref="EV49:FC49"/>
    <mergeCell ref="EV50:FC50"/>
    <mergeCell ref="EN42:EU42"/>
    <mergeCell ref="EN43:EU43"/>
    <mergeCell ref="EN44:EU44"/>
    <mergeCell ref="EN45:EU45"/>
    <mergeCell ref="EN46:EU46"/>
    <mergeCell ref="CX55:DE55"/>
    <mergeCell ref="DF55:DM55"/>
    <mergeCell ref="DN55:DU55"/>
    <mergeCell ref="DX42:EM42"/>
    <mergeCell ref="DX43:EM43"/>
    <mergeCell ref="DX44:EM44"/>
    <mergeCell ref="DX45:EM45"/>
    <mergeCell ref="DX46:EM46"/>
    <mergeCell ref="DX47:EM47"/>
    <mergeCell ref="DX48:EM48"/>
    <mergeCell ref="DX49:EM49"/>
    <mergeCell ref="DX50:EM50"/>
    <mergeCell ref="DX52:EM53"/>
    <mergeCell ref="CX51:DE51"/>
    <mergeCell ref="DF51:DM51"/>
    <mergeCell ref="DN51:DU51"/>
    <mergeCell ref="CX47:DE47"/>
    <mergeCell ref="DF47:DM47"/>
    <mergeCell ref="FT46:GA46"/>
    <mergeCell ref="FD47:FK47"/>
    <mergeCell ref="FD48:FK48"/>
    <mergeCell ref="FD49:FK49"/>
    <mergeCell ref="FD50:FK50"/>
    <mergeCell ref="FL42:FS42"/>
    <mergeCell ref="FL43:FS43"/>
    <mergeCell ref="FL44:FS44"/>
    <mergeCell ref="FL45:FS45"/>
    <mergeCell ref="FL46:FS46"/>
    <mergeCell ref="FL47:FS47"/>
    <mergeCell ref="FL48:FS48"/>
    <mergeCell ref="FL49:FS49"/>
    <mergeCell ref="FL50:FS50"/>
    <mergeCell ref="FD42:FK42"/>
    <mergeCell ref="FD43:FK43"/>
    <mergeCell ref="FD44:FK44"/>
    <mergeCell ref="FD45:FK45"/>
    <mergeCell ref="FD46:FK46"/>
    <mergeCell ref="DX41:GY41"/>
    <mergeCell ref="GR42:GY42"/>
    <mergeCell ref="GR43:GY43"/>
    <mergeCell ref="GR44:GY44"/>
    <mergeCell ref="GR45:GY45"/>
    <mergeCell ref="GR46:GY46"/>
    <mergeCell ref="GR47:GY47"/>
    <mergeCell ref="GR48:GY48"/>
    <mergeCell ref="GR49:GY49"/>
    <mergeCell ref="GR50:GY50"/>
    <mergeCell ref="GJ42:GQ42"/>
    <mergeCell ref="GJ43:GQ43"/>
    <mergeCell ref="GJ44:GQ44"/>
    <mergeCell ref="GJ45:GQ45"/>
    <mergeCell ref="GJ46:GQ46"/>
    <mergeCell ref="FT47:GA47"/>
    <mergeCell ref="FT48:GA48"/>
    <mergeCell ref="FT49:GA49"/>
    <mergeCell ref="FT50:GA50"/>
    <mergeCell ref="GB42:GI42"/>
    <mergeCell ref="GB43:GI43"/>
    <mergeCell ref="GB44:GI44"/>
    <mergeCell ref="GB45:GI45"/>
    <mergeCell ref="GB46:GI46"/>
    <mergeCell ref="GB47:GI47"/>
    <mergeCell ref="GB48:GI48"/>
    <mergeCell ref="GB49:GI49"/>
    <mergeCell ref="GB50:GI50"/>
    <mergeCell ref="FT42:GA42"/>
    <mergeCell ref="FT43:GA43"/>
    <mergeCell ref="FT44:GA44"/>
    <mergeCell ref="FT45:GA45"/>
    <mergeCell ref="DX61:EM61"/>
    <mergeCell ref="EN53:EP53"/>
    <mergeCell ref="EQ53:ER53"/>
    <mergeCell ref="ES53:EU53"/>
    <mergeCell ref="EN52:EU52"/>
    <mergeCell ref="EN61:EP61"/>
    <mergeCell ref="EQ61:ER61"/>
    <mergeCell ref="ES61:EU61"/>
    <mergeCell ref="DX54:EM54"/>
    <mergeCell ref="EN54:EP54"/>
    <mergeCell ref="EQ54:ER54"/>
    <mergeCell ref="ES54:EU54"/>
    <mergeCell ref="DX55:EM55"/>
    <mergeCell ref="EN55:EP55"/>
    <mergeCell ref="EQ55:ER55"/>
    <mergeCell ref="ES55:EU55"/>
    <mergeCell ref="GJ47:GQ47"/>
    <mergeCell ref="GJ48:GQ48"/>
    <mergeCell ref="GJ49:GQ49"/>
    <mergeCell ref="GJ50:GQ50"/>
    <mergeCell ref="EN47:EU47"/>
    <mergeCell ref="EN48:EU48"/>
    <mergeCell ref="EN49:EU49"/>
    <mergeCell ref="EN50:EU50"/>
    <mergeCell ref="FD53:FF53"/>
    <mergeCell ref="FG53:FH53"/>
    <mergeCell ref="FI53:FK53"/>
    <mergeCell ref="FD52:FK52"/>
    <mergeCell ref="FD61:FF61"/>
    <mergeCell ref="FG61:FH61"/>
    <mergeCell ref="FI61:FK61"/>
    <mergeCell ref="FD54:FF54"/>
    <mergeCell ref="FG54:FH54"/>
    <mergeCell ref="FI54:FK54"/>
    <mergeCell ref="FD55:FF55"/>
    <mergeCell ref="FG55:FH55"/>
    <mergeCell ref="FI55:FK55"/>
    <mergeCell ref="FD56:FF56"/>
    <mergeCell ref="FG56:FH56"/>
    <mergeCell ref="FI56:FK56"/>
    <mergeCell ref="EV53:EX53"/>
    <mergeCell ref="EY53:EZ53"/>
    <mergeCell ref="FA53:FC53"/>
    <mergeCell ref="EV52:FC52"/>
    <mergeCell ref="EV61:EX61"/>
    <mergeCell ref="EY61:EZ61"/>
    <mergeCell ref="FA61:FC61"/>
    <mergeCell ref="EV54:EX54"/>
    <mergeCell ref="EY54:EZ54"/>
    <mergeCell ref="FA54:FC54"/>
    <mergeCell ref="EV55:EX55"/>
    <mergeCell ref="EY55:EZ55"/>
    <mergeCell ref="FA55:FC55"/>
    <mergeCell ref="EY56:EZ56"/>
    <mergeCell ref="FA56:FC56"/>
    <mergeCell ref="EY57:EZ57"/>
    <mergeCell ref="FT53:FV53"/>
    <mergeCell ref="FW53:FX53"/>
    <mergeCell ref="FY53:GA53"/>
    <mergeCell ref="FT52:GA52"/>
    <mergeCell ref="FT61:FV61"/>
    <mergeCell ref="FW61:FX61"/>
    <mergeCell ref="FY61:GA61"/>
    <mergeCell ref="FT54:FV54"/>
    <mergeCell ref="FW54:FX54"/>
    <mergeCell ref="FY54:GA54"/>
    <mergeCell ref="FT55:FV55"/>
    <mergeCell ref="FW55:FX55"/>
    <mergeCell ref="FY55:GA55"/>
    <mergeCell ref="FT56:FV56"/>
    <mergeCell ref="FW56:FX56"/>
    <mergeCell ref="FY56:GA56"/>
    <mergeCell ref="FL53:FN53"/>
    <mergeCell ref="FO53:FP53"/>
    <mergeCell ref="FQ53:FS53"/>
    <mergeCell ref="FL52:FS52"/>
    <mergeCell ref="FL61:FN61"/>
    <mergeCell ref="FO61:FP61"/>
    <mergeCell ref="FQ61:FS61"/>
    <mergeCell ref="FL54:FN54"/>
    <mergeCell ref="FO54:FP54"/>
    <mergeCell ref="FQ54:FS54"/>
    <mergeCell ref="FL55:FN55"/>
    <mergeCell ref="FO55:FP55"/>
    <mergeCell ref="FQ55:FS55"/>
    <mergeCell ref="FL56:FN56"/>
    <mergeCell ref="FO56:FP56"/>
    <mergeCell ref="FQ56:FS56"/>
    <mergeCell ref="GJ54:GL54"/>
    <mergeCell ref="GM54:GN54"/>
    <mergeCell ref="GO54:GQ54"/>
    <mergeCell ref="GJ55:GL55"/>
    <mergeCell ref="GM55:GN55"/>
    <mergeCell ref="GO55:GQ55"/>
    <mergeCell ref="GJ56:GL56"/>
    <mergeCell ref="GM56:GN56"/>
    <mergeCell ref="GO56:GQ56"/>
    <mergeCell ref="GB53:GD53"/>
    <mergeCell ref="GE53:GF53"/>
    <mergeCell ref="GG53:GI53"/>
    <mergeCell ref="GB52:GI52"/>
    <mergeCell ref="GB61:GD61"/>
    <mergeCell ref="GE61:GF61"/>
    <mergeCell ref="GG61:GI61"/>
    <mergeCell ref="GB54:GD54"/>
    <mergeCell ref="GE54:GF54"/>
    <mergeCell ref="GG54:GI54"/>
    <mergeCell ref="GB55:GD55"/>
    <mergeCell ref="GE55:GF55"/>
    <mergeCell ref="GG55:GI55"/>
    <mergeCell ref="GB56:GD56"/>
    <mergeCell ref="GE56:GF56"/>
    <mergeCell ref="GG56:GI56"/>
    <mergeCell ref="EN57:EP57"/>
    <mergeCell ref="EQ57:ER57"/>
    <mergeCell ref="ES57:EU57"/>
    <mergeCell ref="EV57:EX57"/>
    <mergeCell ref="DX56:EM56"/>
    <mergeCell ref="EN56:EP56"/>
    <mergeCell ref="EQ56:ER56"/>
    <mergeCell ref="ES56:EU56"/>
    <mergeCell ref="EV56:EX56"/>
    <mergeCell ref="GR53:GT53"/>
    <mergeCell ref="GU53:GV53"/>
    <mergeCell ref="GW53:GY53"/>
    <mergeCell ref="GR52:GY52"/>
    <mergeCell ref="GR61:GT61"/>
    <mergeCell ref="GU61:GV61"/>
    <mergeCell ref="GW61:GY61"/>
    <mergeCell ref="GR54:GT54"/>
    <mergeCell ref="GU54:GV54"/>
    <mergeCell ref="GW54:GY54"/>
    <mergeCell ref="GR55:GT55"/>
    <mergeCell ref="GU55:GV55"/>
    <mergeCell ref="GW55:GY55"/>
    <mergeCell ref="GR56:GT56"/>
    <mergeCell ref="GU56:GV56"/>
    <mergeCell ref="GW56:GY56"/>
    <mergeCell ref="GJ53:GL53"/>
    <mergeCell ref="GM53:GN53"/>
    <mergeCell ref="GO53:GQ53"/>
    <mergeCell ref="GJ52:GQ52"/>
    <mergeCell ref="GJ61:GL61"/>
    <mergeCell ref="GM61:GN61"/>
    <mergeCell ref="GO61:GQ61"/>
    <mergeCell ref="GO57:GQ57"/>
    <mergeCell ref="GR57:GT57"/>
    <mergeCell ref="GU57:GV57"/>
    <mergeCell ref="GW57:GY57"/>
    <mergeCell ref="DX58:EM58"/>
    <mergeCell ref="EN58:EP58"/>
    <mergeCell ref="EQ58:ER58"/>
    <mergeCell ref="ES58:EU58"/>
    <mergeCell ref="EV58:EX58"/>
    <mergeCell ref="EY58:EZ58"/>
    <mergeCell ref="FA58:FC58"/>
    <mergeCell ref="FD58:FF58"/>
    <mergeCell ref="FG58:FH58"/>
    <mergeCell ref="FI58:FK58"/>
    <mergeCell ref="FL58:FN58"/>
    <mergeCell ref="FO58:FP58"/>
    <mergeCell ref="GB57:GD57"/>
    <mergeCell ref="GE57:GF57"/>
    <mergeCell ref="GG57:GI57"/>
    <mergeCell ref="GJ57:GL57"/>
    <mergeCell ref="GM57:GN57"/>
    <mergeCell ref="FO57:FP57"/>
    <mergeCell ref="FQ57:FS57"/>
    <mergeCell ref="FT57:FV57"/>
    <mergeCell ref="FW57:FX57"/>
    <mergeCell ref="FY57:GA57"/>
    <mergeCell ref="FA57:FC57"/>
    <mergeCell ref="FD57:FF57"/>
    <mergeCell ref="FG57:FH57"/>
    <mergeCell ref="FI57:FK57"/>
    <mergeCell ref="FL57:FN57"/>
    <mergeCell ref="DX57:EM57"/>
    <mergeCell ref="FT59:FV59"/>
    <mergeCell ref="FW59:FX59"/>
    <mergeCell ref="FY59:GA59"/>
    <mergeCell ref="GB59:GD59"/>
    <mergeCell ref="GE59:GF59"/>
    <mergeCell ref="GR58:GT58"/>
    <mergeCell ref="GU58:GV58"/>
    <mergeCell ref="GW58:GY58"/>
    <mergeCell ref="DX59:EM59"/>
    <mergeCell ref="EN59:EP59"/>
    <mergeCell ref="EQ59:ER59"/>
    <mergeCell ref="ES59:EU59"/>
    <mergeCell ref="EV59:EX59"/>
    <mergeCell ref="EY59:EZ59"/>
    <mergeCell ref="FA59:FC59"/>
    <mergeCell ref="FD59:FF59"/>
    <mergeCell ref="FG59:FH59"/>
    <mergeCell ref="FI59:FK59"/>
    <mergeCell ref="FL59:FN59"/>
    <mergeCell ref="FO59:FP59"/>
    <mergeCell ref="FQ59:FS59"/>
    <mergeCell ref="GE58:GF58"/>
    <mergeCell ref="GG58:GI58"/>
    <mergeCell ref="GJ58:GL58"/>
    <mergeCell ref="GM58:GN58"/>
    <mergeCell ref="GO58:GQ58"/>
    <mergeCell ref="FQ58:FS58"/>
    <mergeCell ref="FT58:FV58"/>
    <mergeCell ref="FW58:FX58"/>
    <mergeCell ref="FY58:GA58"/>
    <mergeCell ref="GB58:GD58"/>
    <mergeCell ref="GW60:GY60"/>
    <mergeCell ref="GJ60:GL60"/>
    <mergeCell ref="GM60:GN60"/>
    <mergeCell ref="GO60:GQ60"/>
    <mergeCell ref="GR60:GT60"/>
    <mergeCell ref="GU60:GV60"/>
    <mergeCell ref="FW60:FX60"/>
    <mergeCell ref="FY60:GA60"/>
    <mergeCell ref="GB60:GD60"/>
    <mergeCell ref="GE60:GF60"/>
    <mergeCell ref="GG60:GI60"/>
    <mergeCell ref="GU59:GV59"/>
    <mergeCell ref="GW59:GY59"/>
    <mergeCell ref="DX60:EM60"/>
    <mergeCell ref="EN60:EP60"/>
    <mergeCell ref="EQ60:ER60"/>
    <mergeCell ref="ES60:EU60"/>
    <mergeCell ref="EV60:EX60"/>
    <mergeCell ref="EY60:EZ60"/>
    <mergeCell ref="FA60:FC60"/>
    <mergeCell ref="FD60:FF60"/>
    <mergeCell ref="FG60:FH60"/>
    <mergeCell ref="FI60:FK60"/>
    <mergeCell ref="FL60:FN60"/>
    <mergeCell ref="FO60:FP60"/>
    <mergeCell ref="FQ60:FS60"/>
    <mergeCell ref="FT60:FV60"/>
    <mergeCell ref="GG59:GI59"/>
    <mergeCell ref="GJ59:GL59"/>
    <mergeCell ref="GM59:GN59"/>
    <mergeCell ref="GO59:GQ59"/>
    <mergeCell ref="GR59:GT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Y66"/>
  <sheetViews>
    <sheetView topLeftCell="A38" zoomScale="40" workbookViewId="0">
      <selection activeCell="BB43" sqref="BB43:BI43"/>
    </sheetView>
  </sheetViews>
  <sheetFormatPr baseColWidth="10" defaultColWidth="9.109375" defaultRowHeight="24" x14ac:dyDescent="0.35"/>
  <cols>
    <col min="1" max="3" width="9.109375" style="1" customWidth="1"/>
    <col min="4" max="250" width="3" style="1" customWidth="1"/>
    <col min="251" max="251" width="9.109375" style="1" customWidth="1"/>
    <col min="252" max="16384" width="9.109375" style="1"/>
  </cols>
  <sheetData>
    <row r="1" spans="1:176" x14ac:dyDescent="0.35">
      <c r="A1" s="83" t="s">
        <v>0</v>
      </c>
      <c r="B1" s="69"/>
      <c r="C1" s="69"/>
      <c r="D1" s="69" t="s">
        <v>1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80" t="s">
        <v>2</v>
      </c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9"/>
      <c r="EY1" s="69"/>
      <c r="EZ1" s="69"/>
      <c r="FA1" s="69"/>
      <c r="FB1" s="69"/>
      <c r="FC1" s="69"/>
      <c r="FD1" s="69"/>
      <c r="FE1" s="69"/>
      <c r="FF1" s="69"/>
      <c r="FG1" s="69"/>
      <c r="FH1" s="69"/>
      <c r="FI1" s="69"/>
      <c r="FJ1" s="69"/>
      <c r="FK1" s="69"/>
      <c r="FL1" s="69"/>
      <c r="FM1" s="69"/>
      <c r="FN1" s="69"/>
      <c r="FO1" s="69"/>
      <c r="FP1" s="69"/>
      <c r="FQ1" s="69"/>
      <c r="FR1" s="69"/>
      <c r="FS1" s="69"/>
      <c r="FT1" s="70"/>
    </row>
    <row r="2" spans="1:176" x14ac:dyDescent="0.35">
      <c r="A2" s="84" t="s">
        <v>3</v>
      </c>
      <c r="B2" s="21"/>
      <c r="C2" s="21"/>
      <c r="D2" s="21" t="s">
        <v>4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74"/>
    </row>
    <row r="3" spans="1:176" x14ac:dyDescent="0.35">
      <c r="A3" s="84" t="s">
        <v>5</v>
      </c>
      <c r="B3" s="21"/>
      <c r="C3" s="21"/>
      <c r="D3" s="21" t="s">
        <v>6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74"/>
    </row>
    <row r="4" spans="1:176" x14ac:dyDescent="0.35">
      <c r="A4" s="85" t="s">
        <v>7</v>
      </c>
      <c r="B4" s="81"/>
      <c r="C4" s="81"/>
      <c r="D4" s="81" t="s">
        <v>92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  <c r="DF4" s="81"/>
      <c r="DG4" s="81"/>
      <c r="DH4" s="81"/>
      <c r="DI4" s="81"/>
      <c r="DJ4" s="81"/>
      <c r="DK4" s="81"/>
      <c r="DL4" s="81"/>
      <c r="DM4" s="81"/>
      <c r="DN4" s="81"/>
      <c r="DO4" s="81"/>
      <c r="DP4" s="81"/>
      <c r="DQ4" s="81"/>
      <c r="DR4" s="81"/>
      <c r="DS4" s="81"/>
      <c r="DT4" s="81"/>
      <c r="DU4" s="81"/>
      <c r="DV4" s="81"/>
      <c r="DW4" s="81"/>
      <c r="DX4" s="81"/>
      <c r="DY4" s="81"/>
      <c r="DZ4" s="81"/>
      <c r="EA4" s="81"/>
      <c r="EB4" s="81"/>
      <c r="EC4" s="81"/>
      <c r="ED4" s="81"/>
      <c r="EE4" s="81"/>
      <c r="EF4" s="81"/>
      <c r="EG4" s="81"/>
      <c r="EH4" s="81"/>
      <c r="EI4" s="81"/>
      <c r="EJ4" s="81"/>
      <c r="EK4" s="81"/>
      <c r="EL4" s="81"/>
      <c r="EM4" s="81"/>
      <c r="EN4" s="81"/>
      <c r="EO4" s="81"/>
      <c r="EP4" s="81"/>
      <c r="EQ4" s="81"/>
      <c r="ER4" s="81"/>
      <c r="ES4" s="81"/>
      <c r="ET4" s="81"/>
      <c r="EU4" s="81"/>
      <c r="EV4" s="81"/>
      <c r="EW4" s="81"/>
      <c r="EX4" s="81"/>
      <c r="EY4" s="81"/>
      <c r="EZ4" s="81"/>
      <c r="FA4" s="81"/>
      <c r="FB4" s="81"/>
      <c r="FC4" s="81"/>
      <c r="FD4" s="81"/>
      <c r="FE4" s="81"/>
      <c r="FF4" s="81"/>
      <c r="FG4" s="81"/>
      <c r="FH4" s="81"/>
      <c r="FI4" s="81"/>
      <c r="FJ4" s="81"/>
      <c r="FK4" s="81"/>
      <c r="FL4" s="81"/>
      <c r="FM4" s="81"/>
      <c r="FN4" s="81"/>
      <c r="FO4" s="81"/>
      <c r="FP4" s="81"/>
      <c r="FQ4" s="81"/>
      <c r="FR4" s="81"/>
      <c r="FS4" s="81"/>
      <c r="FT4" s="82"/>
    </row>
    <row r="5" spans="1:176" x14ac:dyDescent="0.35">
      <c r="A5" s="4"/>
      <c r="FT5" s="6"/>
    </row>
    <row r="6" spans="1:176" x14ac:dyDescent="0.35">
      <c r="A6" s="78" t="s">
        <v>5</v>
      </c>
      <c r="B6" s="79"/>
      <c r="C6" s="79"/>
      <c r="D6" s="79" t="s">
        <v>9</v>
      </c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 t="s">
        <v>10</v>
      </c>
      <c r="AC6" s="79"/>
      <c r="AD6" s="79"/>
      <c r="AE6" s="79"/>
      <c r="AF6" s="79"/>
      <c r="AG6" s="79"/>
      <c r="AH6" s="79"/>
      <c r="AI6" s="79"/>
      <c r="AJ6" s="79" t="s">
        <v>93</v>
      </c>
      <c r="AK6" s="79"/>
      <c r="AL6" s="79"/>
      <c r="AM6" s="79"/>
      <c r="AN6" s="79"/>
      <c r="FT6" s="6"/>
    </row>
    <row r="7" spans="1:176" x14ac:dyDescent="0.35">
      <c r="A7" s="4"/>
      <c r="FT7" s="6"/>
    </row>
    <row r="8" spans="1:176" x14ac:dyDescent="0.35">
      <c r="A8" s="4"/>
      <c r="D8" s="68" t="s">
        <v>94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70"/>
      <c r="AB8" s="68" t="s">
        <v>95</v>
      </c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70"/>
      <c r="AZ8" s="68" t="s">
        <v>96</v>
      </c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70"/>
      <c r="BX8" s="68" t="s">
        <v>97</v>
      </c>
      <c r="BY8" s="69"/>
      <c r="BZ8" s="69"/>
      <c r="CA8" s="69"/>
      <c r="CB8" s="69"/>
      <c r="CC8" s="69"/>
      <c r="CD8" s="69"/>
      <c r="CE8" s="69"/>
      <c r="CF8" s="69"/>
      <c r="CG8" s="69"/>
      <c r="CH8" s="69"/>
      <c r="CI8" s="69"/>
      <c r="CJ8" s="69"/>
      <c r="CK8" s="69"/>
      <c r="CL8" s="69"/>
      <c r="CM8" s="69"/>
      <c r="CN8" s="69"/>
      <c r="CO8" s="69"/>
      <c r="CP8" s="69"/>
      <c r="CQ8" s="69"/>
      <c r="CR8" s="69"/>
      <c r="CS8" s="69"/>
      <c r="CT8" s="69"/>
      <c r="CU8" s="70"/>
      <c r="CV8" s="68" t="s">
        <v>98</v>
      </c>
      <c r="CW8" s="69"/>
      <c r="CX8" s="69"/>
      <c r="CY8" s="69"/>
      <c r="CZ8" s="69"/>
      <c r="DA8" s="69"/>
      <c r="DB8" s="69"/>
      <c r="DC8" s="69"/>
      <c r="DD8" s="69"/>
      <c r="DE8" s="69"/>
      <c r="DF8" s="69"/>
      <c r="DG8" s="69"/>
      <c r="DH8" s="69"/>
      <c r="DI8" s="69"/>
      <c r="DJ8" s="69"/>
      <c r="DK8" s="69"/>
      <c r="DL8" s="69"/>
      <c r="DM8" s="69"/>
      <c r="DN8" s="69"/>
      <c r="DO8" s="69"/>
      <c r="DP8" s="69"/>
      <c r="DQ8" s="69"/>
      <c r="DR8" s="69"/>
      <c r="DS8" s="70"/>
      <c r="DT8" s="68" t="s">
        <v>99</v>
      </c>
      <c r="DU8" s="69"/>
      <c r="DV8" s="69"/>
      <c r="DW8" s="69"/>
      <c r="DX8" s="69"/>
      <c r="DY8" s="69"/>
      <c r="DZ8" s="69"/>
      <c r="EA8" s="69"/>
      <c r="EB8" s="69"/>
      <c r="EC8" s="69"/>
      <c r="ED8" s="69"/>
      <c r="EE8" s="69"/>
      <c r="EF8" s="69"/>
      <c r="EG8" s="69"/>
      <c r="EH8" s="69"/>
      <c r="EI8" s="69"/>
      <c r="EJ8" s="69"/>
      <c r="EK8" s="69"/>
      <c r="EL8" s="69"/>
      <c r="EM8" s="69"/>
      <c r="EN8" s="69"/>
      <c r="EO8" s="69"/>
      <c r="EP8" s="69"/>
      <c r="EQ8" s="70"/>
      <c r="ER8" s="68" t="s">
        <v>100</v>
      </c>
      <c r="ES8" s="69"/>
      <c r="ET8" s="69"/>
      <c r="EU8" s="69"/>
      <c r="EV8" s="69"/>
      <c r="EW8" s="69"/>
      <c r="EX8" s="69"/>
      <c r="EY8" s="69"/>
      <c r="EZ8" s="69"/>
      <c r="FA8" s="69"/>
      <c r="FB8" s="69"/>
      <c r="FC8" s="69"/>
      <c r="FD8" s="69"/>
      <c r="FE8" s="69"/>
      <c r="FF8" s="69"/>
      <c r="FG8" s="69"/>
      <c r="FH8" s="69"/>
      <c r="FI8" s="69"/>
      <c r="FJ8" s="69"/>
      <c r="FK8" s="69"/>
      <c r="FL8" s="69"/>
      <c r="FM8" s="69"/>
      <c r="FN8" s="69"/>
      <c r="FO8" s="70"/>
      <c r="FP8" s="75" t="s">
        <v>19</v>
      </c>
      <c r="FQ8" s="76"/>
      <c r="FR8" s="76"/>
      <c r="FS8" s="76"/>
      <c r="FT8" s="76"/>
    </row>
    <row r="9" spans="1:176" x14ac:dyDescent="0.35">
      <c r="A9" s="4"/>
      <c r="D9" s="71" t="s">
        <v>20</v>
      </c>
      <c r="E9" s="21"/>
      <c r="F9" s="21"/>
      <c r="G9" s="21"/>
      <c r="H9" s="21"/>
      <c r="I9" s="21"/>
      <c r="J9" s="21"/>
      <c r="K9" s="21"/>
      <c r="L9" s="72" t="s">
        <v>21</v>
      </c>
      <c r="M9" s="21"/>
      <c r="N9" s="21"/>
      <c r="O9" s="21"/>
      <c r="P9" s="21"/>
      <c r="Q9" s="21"/>
      <c r="R9" s="21"/>
      <c r="S9" s="21"/>
      <c r="T9" s="73" t="s">
        <v>22</v>
      </c>
      <c r="U9" s="21"/>
      <c r="V9" s="21"/>
      <c r="W9" s="21"/>
      <c r="X9" s="21"/>
      <c r="Y9" s="21"/>
      <c r="Z9" s="21"/>
      <c r="AA9" s="74"/>
      <c r="AB9" s="71" t="s">
        <v>20</v>
      </c>
      <c r="AC9" s="21"/>
      <c r="AD9" s="21"/>
      <c r="AE9" s="21"/>
      <c r="AF9" s="21"/>
      <c r="AG9" s="21"/>
      <c r="AH9" s="21"/>
      <c r="AI9" s="21"/>
      <c r="AJ9" s="72" t="s">
        <v>21</v>
      </c>
      <c r="AK9" s="21"/>
      <c r="AL9" s="21"/>
      <c r="AM9" s="21"/>
      <c r="AN9" s="21"/>
      <c r="AO9" s="21"/>
      <c r="AP9" s="21"/>
      <c r="AQ9" s="21"/>
      <c r="AR9" s="73" t="s">
        <v>22</v>
      </c>
      <c r="AS9" s="21"/>
      <c r="AT9" s="21"/>
      <c r="AU9" s="21"/>
      <c r="AV9" s="21"/>
      <c r="AW9" s="21"/>
      <c r="AX9" s="21"/>
      <c r="AY9" s="74"/>
      <c r="AZ9" s="71" t="s">
        <v>20</v>
      </c>
      <c r="BA9" s="21"/>
      <c r="BB9" s="21"/>
      <c r="BC9" s="21"/>
      <c r="BD9" s="21"/>
      <c r="BE9" s="21"/>
      <c r="BF9" s="21"/>
      <c r="BG9" s="21"/>
      <c r="BH9" s="72" t="s">
        <v>21</v>
      </c>
      <c r="BI9" s="21"/>
      <c r="BJ9" s="21"/>
      <c r="BK9" s="21"/>
      <c r="BL9" s="21"/>
      <c r="BM9" s="21"/>
      <c r="BN9" s="21"/>
      <c r="BO9" s="21"/>
      <c r="BP9" s="73" t="s">
        <v>22</v>
      </c>
      <c r="BQ9" s="21"/>
      <c r="BR9" s="21"/>
      <c r="BS9" s="21"/>
      <c r="BT9" s="21"/>
      <c r="BU9" s="21"/>
      <c r="BV9" s="21"/>
      <c r="BW9" s="74"/>
      <c r="BX9" s="71" t="s">
        <v>20</v>
      </c>
      <c r="BY9" s="21"/>
      <c r="BZ9" s="21"/>
      <c r="CA9" s="21"/>
      <c r="CB9" s="21"/>
      <c r="CC9" s="21"/>
      <c r="CD9" s="21"/>
      <c r="CE9" s="21"/>
      <c r="CF9" s="72" t="s">
        <v>21</v>
      </c>
      <c r="CG9" s="21"/>
      <c r="CH9" s="21"/>
      <c r="CI9" s="21"/>
      <c r="CJ9" s="21"/>
      <c r="CK9" s="21"/>
      <c r="CL9" s="21"/>
      <c r="CM9" s="21"/>
      <c r="CN9" s="73" t="s">
        <v>22</v>
      </c>
      <c r="CO9" s="21"/>
      <c r="CP9" s="21"/>
      <c r="CQ9" s="21"/>
      <c r="CR9" s="21"/>
      <c r="CS9" s="21"/>
      <c r="CT9" s="21"/>
      <c r="CU9" s="74"/>
      <c r="CV9" s="71" t="s">
        <v>20</v>
      </c>
      <c r="CW9" s="21"/>
      <c r="CX9" s="21"/>
      <c r="CY9" s="21"/>
      <c r="CZ9" s="21"/>
      <c r="DA9" s="21"/>
      <c r="DB9" s="21"/>
      <c r="DC9" s="21"/>
      <c r="DD9" s="72" t="s">
        <v>21</v>
      </c>
      <c r="DE9" s="21"/>
      <c r="DF9" s="21"/>
      <c r="DG9" s="21"/>
      <c r="DH9" s="21"/>
      <c r="DI9" s="21"/>
      <c r="DJ9" s="21"/>
      <c r="DK9" s="21"/>
      <c r="DL9" s="73" t="s">
        <v>22</v>
      </c>
      <c r="DM9" s="21"/>
      <c r="DN9" s="21"/>
      <c r="DO9" s="21"/>
      <c r="DP9" s="21"/>
      <c r="DQ9" s="21"/>
      <c r="DR9" s="21"/>
      <c r="DS9" s="74"/>
      <c r="DT9" s="71" t="s">
        <v>20</v>
      </c>
      <c r="DU9" s="21"/>
      <c r="DV9" s="21"/>
      <c r="DW9" s="21"/>
      <c r="DX9" s="21"/>
      <c r="DY9" s="21"/>
      <c r="DZ9" s="21"/>
      <c r="EA9" s="21"/>
      <c r="EB9" s="72" t="s">
        <v>21</v>
      </c>
      <c r="EC9" s="21"/>
      <c r="ED9" s="21"/>
      <c r="EE9" s="21"/>
      <c r="EF9" s="21"/>
      <c r="EG9" s="21"/>
      <c r="EH9" s="21"/>
      <c r="EI9" s="21"/>
      <c r="EJ9" s="73" t="s">
        <v>22</v>
      </c>
      <c r="EK9" s="21"/>
      <c r="EL9" s="21"/>
      <c r="EM9" s="21"/>
      <c r="EN9" s="21"/>
      <c r="EO9" s="21"/>
      <c r="EP9" s="21"/>
      <c r="EQ9" s="74"/>
      <c r="ER9" s="71" t="s">
        <v>20</v>
      </c>
      <c r="ES9" s="21"/>
      <c r="ET9" s="21"/>
      <c r="EU9" s="21"/>
      <c r="EV9" s="21"/>
      <c r="EW9" s="21"/>
      <c r="EX9" s="21"/>
      <c r="EY9" s="21"/>
      <c r="EZ9" s="72" t="s">
        <v>21</v>
      </c>
      <c r="FA9" s="21"/>
      <c r="FB9" s="21"/>
      <c r="FC9" s="21"/>
      <c r="FD9" s="21"/>
      <c r="FE9" s="21"/>
      <c r="FF9" s="21"/>
      <c r="FG9" s="21"/>
      <c r="FH9" s="73" t="s">
        <v>22</v>
      </c>
      <c r="FI9" s="21"/>
      <c r="FJ9" s="21"/>
      <c r="FK9" s="21"/>
      <c r="FL9" s="21"/>
      <c r="FM9" s="21"/>
      <c r="FN9" s="21"/>
      <c r="FO9" s="74"/>
      <c r="FP9" s="76"/>
      <c r="FQ9" s="76"/>
      <c r="FR9" s="76"/>
      <c r="FS9" s="76"/>
      <c r="FT9" s="76"/>
    </row>
    <row r="10" spans="1:176" s="2" customFormat="1" ht="58.05" customHeight="1" x14ac:dyDescent="0.3">
      <c r="A10" s="5"/>
      <c r="D10" s="7">
        <v>0</v>
      </c>
      <c r="E10" s="8">
        <v>4.1666666666666699E-2</v>
      </c>
      <c r="F10" s="8">
        <v>8.3333333333333301E-2</v>
      </c>
      <c r="G10" s="8">
        <v>0.125</v>
      </c>
      <c r="H10" s="8">
        <v>0.16666666666666699</v>
      </c>
      <c r="I10" s="8">
        <v>0.20833333333333301</v>
      </c>
      <c r="J10" s="8">
        <v>0.25</v>
      </c>
      <c r="K10" s="8">
        <v>0.29166666666666702</v>
      </c>
      <c r="L10" s="8">
        <v>0.33333333333333298</v>
      </c>
      <c r="M10" s="8">
        <v>0.375</v>
      </c>
      <c r="N10" s="8">
        <v>0.41666666666666702</v>
      </c>
      <c r="O10" s="8">
        <v>0.45833333333333298</v>
      </c>
      <c r="P10" s="8">
        <v>0.5</v>
      </c>
      <c r="Q10" s="8">
        <v>0.54166666666666696</v>
      </c>
      <c r="R10" s="8">
        <v>0.58333333333333304</v>
      </c>
      <c r="S10" s="8">
        <v>0.625</v>
      </c>
      <c r="T10" s="8">
        <v>0.66666666666666696</v>
      </c>
      <c r="U10" s="8">
        <v>0.70833333333333304</v>
      </c>
      <c r="V10" s="8">
        <v>0.75</v>
      </c>
      <c r="W10" s="8">
        <v>0.79166666666666696</v>
      </c>
      <c r="X10" s="8">
        <v>0.83333333333333304</v>
      </c>
      <c r="Y10" s="8">
        <v>0.875</v>
      </c>
      <c r="Z10" s="8">
        <v>0.91666666666666696</v>
      </c>
      <c r="AA10" s="9">
        <v>0.95833333333333304</v>
      </c>
      <c r="AB10" s="7">
        <v>0</v>
      </c>
      <c r="AC10" s="8">
        <v>4.1666666666666699E-2</v>
      </c>
      <c r="AD10" s="8">
        <v>8.3333333333333301E-2</v>
      </c>
      <c r="AE10" s="8">
        <v>0.125</v>
      </c>
      <c r="AF10" s="8">
        <v>0.16666666666666699</v>
      </c>
      <c r="AG10" s="8">
        <v>0.20833333333333301</v>
      </c>
      <c r="AH10" s="8">
        <v>0.25</v>
      </c>
      <c r="AI10" s="8">
        <v>0.29166666666666702</v>
      </c>
      <c r="AJ10" s="8">
        <v>0.33333333333333298</v>
      </c>
      <c r="AK10" s="8">
        <v>0.375</v>
      </c>
      <c r="AL10" s="8">
        <v>0.41666666666666702</v>
      </c>
      <c r="AM10" s="8">
        <v>0.45833333333333298</v>
      </c>
      <c r="AN10" s="8">
        <v>0.5</v>
      </c>
      <c r="AO10" s="8">
        <v>0.54166666666666696</v>
      </c>
      <c r="AP10" s="8">
        <v>0.58333333333333304</v>
      </c>
      <c r="AQ10" s="8">
        <v>0.625</v>
      </c>
      <c r="AR10" s="8">
        <v>0.66666666666666696</v>
      </c>
      <c r="AS10" s="8">
        <v>0.70833333333333304</v>
      </c>
      <c r="AT10" s="8">
        <v>0.75</v>
      </c>
      <c r="AU10" s="8">
        <v>0.79166666666666696</v>
      </c>
      <c r="AV10" s="8">
        <v>0.83333333333333304</v>
      </c>
      <c r="AW10" s="8">
        <v>0.875</v>
      </c>
      <c r="AX10" s="8">
        <v>0.91666666666666696</v>
      </c>
      <c r="AY10" s="9">
        <v>0.95833333333333304</v>
      </c>
      <c r="AZ10" s="7">
        <v>0</v>
      </c>
      <c r="BA10" s="8">
        <v>4.1666666666666699E-2</v>
      </c>
      <c r="BB10" s="8">
        <v>8.3333333333333301E-2</v>
      </c>
      <c r="BC10" s="8">
        <v>0.125</v>
      </c>
      <c r="BD10" s="8">
        <v>0.16666666666666699</v>
      </c>
      <c r="BE10" s="8">
        <v>0.20833333333333301</v>
      </c>
      <c r="BF10" s="8">
        <v>0.25</v>
      </c>
      <c r="BG10" s="8">
        <v>0.29166666666666702</v>
      </c>
      <c r="BH10" s="8">
        <v>0.33333333333333298</v>
      </c>
      <c r="BI10" s="8">
        <v>0.375</v>
      </c>
      <c r="BJ10" s="8">
        <v>0.41666666666666702</v>
      </c>
      <c r="BK10" s="8">
        <v>0.45833333333333298</v>
      </c>
      <c r="BL10" s="8">
        <v>0.5</v>
      </c>
      <c r="BM10" s="8">
        <v>0.54166666666666696</v>
      </c>
      <c r="BN10" s="8">
        <v>0.58333333333333304</v>
      </c>
      <c r="BO10" s="8">
        <v>0.625</v>
      </c>
      <c r="BP10" s="8">
        <v>0.66666666666666696</v>
      </c>
      <c r="BQ10" s="8">
        <v>0.70833333333333304</v>
      </c>
      <c r="BR10" s="8">
        <v>0.75</v>
      </c>
      <c r="BS10" s="8">
        <v>0.79166666666666696</v>
      </c>
      <c r="BT10" s="8">
        <v>0.83333333333333304</v>
      </c>
      <c r="BU10" s="8">
        <v>0.875</v>
      </c>
      <c r="BV10" s="8">
        <v>0.91666666666666696</v>
      </c>
      <c r="BW10" s="9">
        <v>0.95833333333333304</v>
      </c>
      <c r="BX10" s="7">
        <v>0</v>
      </c>
      <c r="BY10" s="8">
        <v>4.1666666666666699E-2</v>
      </c>
      <c r="BZ10" s="8">
        <v>8.3333333333333301E-2</v>
      </c>
      <c r="CA10" s="8">
        <v>0.125</v>
      </c>
      <c r="CB10" s="8">
        <v>0.16666666666666699</v>
      </c>
      <c r="CC10" s="8">
        <v>0.20833333333333301</v>
      </c>
      <c r="CD10" s="8">
        <v>0.25</v>
      </c>
      <c r="CE10" s="8">
        <v>0.29166666666666702</v>
      </c>
      <c r="CF10" s="8">
        <v>0.33333333333333298</v>
      </c>
      <c r="CG10" s="8">
        <v>0.375</v>
      </c>
      <c r="CH10" s="8">
        <v>0.41666666666666702</v>
      </c>
      <c r="CI10" s="8">
        <v>0.45833333333333298</v>
      </c>
      <c r="CJ10" s="8">
        <v>0.5</v>
      </c>
      <c r="CK10" s="8">
        <v>0.54166666666666696</v>
      </c>
      <c r="CL10" s="8">
        <v>0.58333333333333304</v>
      </c>
      <c r="CM10" s="8">
        <v>0.625</v>
      </c>
      <c r="CN10" s="8">
        <v>0.66666666666666696</v>
      </c>
      <c r="CO10" s="8">
        <v>0.70833333333333304</v>
      </c>
      <c r="CP10" s="8">
        <v>0.75</v>
      </c>
      <c r="CQ10" s="8">
        <v>0.79166666666666696</v>
      </c>
      <c r="CR10" s="8">
        <v>0.83333333333333304</v>
      </c>
      <c r="CS10" s="8">
        <v>0.875</v>
      </c>
      <c r="CT10" s="8">
        <v>0.91666666666666696</v>
      </c>
      <c r="CU10" s="9">
        <v>0.95833333333333304</v>
      </c>
      <c r="CV10" s="7">
        <v>0</v>
      </c>
      <c r="CW10" s="8">
        <v>4.1666666666666699E-2</v>
      </c>
      <c r="CX10" s="8">
        <v>8.3333333333333301E-2</v>
      </c>
      <c r="CY10" s="8">
        <v>0.125</v>
      </c>
      <c r="CZ10" s="8">
        <v>0.16666666666666699</v>
      </c>
      <c r="DA10" s="8">
        <v>0.20833333333333301</v>
      </c>
      <c r="DB10" s="8">
        <v>0.25</v>
      </c>
      <c r="DC10" s="8">
        <v>0.29166666666666702</v>
      </c>
      <c r="DD10" s="8">
        <v>0.33333333333333298</v>
      </c>
      <c r="DE10" s="8">
        <v>0.375</v>
      </c>
      <c r="DF10" s="8">
        <v>0.41666666666666702</v>
      </c>
      <c r="DG10" s="8">
        <v>0.45833333333333298</v>
      </c>
      <c r="DH10" s="8">
        <v>0.5</v>
      </c>
      <c r="DI10" s="8">
        <v>0.54166666666666696</v>
      </c>
      <c r="DJ10" s="8">
        <v>0.58333333333333304</v>
      </c>
      <c r="DK10" s="8">
        <v>0.625</v>
      </c>
      <c r="DL10" s="8">
        <v>0.66666666666666696</v>
      </c>
      <c r="DM10" s="8">
        <v>0.70833333333333304</v>
      </c>
      <c r="DN10" s="8">
        <v>0.75</v>
      </c>
      <c r="DO10" s="8">
        <v>0.79166666666666696</v>
      </c>
      <c r="DP10" s="8">
        <v>0.83333333333333304</v>
      </c>
      <c r="DQ10" s="8">
        <v>0.875</v>
      </c>
      <c r="DR10" s="8">
        <v>0.91666666666666696</v>
      </c>
      <c r="DS10" s="9">
        <v>0.95833333333333304</v>
      </c>
      <c r="DT10" s="7">
        <v>0</v>
      </c>
      <c r="DU10" s="8">
        <v>4.1666666666666699E-2</v>
      </c>
      <c r="DV10" s="8">
        <v>8.3333333333333301E-2</v>
      </c>
      <c r="DW10" s="8">
        <v>0.125</v>
      </c>
      <c r="DX10" s="8">
        <v>0.16666666666666699</v>
      </c>
      <c r="DY10" s="8">
        <v>0.20833333333333301</v>
      </c>
      <c r="DZ10" s="8">
        <v>0.25</v>
      </c>
      <c r="EA10" s="8">
        <v>0.29166666666666702</v>
      </c>
      <c r="EB10" s="8">
        <v>0.33333333333333298</v>
      </c>
      <c r="EC10" s="8">
        <v>0.375</v>
      </c>
      <c r="ED10" s="8">
        <v>0.41666666666666702</v>
      </c>
      <c r="EE10" s="8">
        <v>0.45833333333333298</v>
      </c>
      <c r="EF10" s="8">
        <v>0.5</v>
      </c>
      <c r="EG10" s="8">
        <v>0.54166666666666696</v>
      </c>
      <c r="EH10" s="8">
        <v>0.58333333333333304</v>
      </c>
      <c r="EI10" s="8">
        <v>0.625</v>
      </c>
      <c r="EJ10" s="8">
        <v>0.66666666666666696</v>
      </c>
      <c r="EK10" s="8">
        <v>0.70833333333333304</v>
      </c>
      <c r="EL10" s="8">
        <v>0.75</v>
      </c>
      <c r="EM10" s="8">
        <v>0.79166666666666696</v>
      </c>
      <c r="EN10" s="8">
        <v>0.83333333333333304</v>
      </c>
      <c r="EO10" s="8">
        <v>0.875</v>
      </c>
      <c r="EP10" s="8">
        <v>0.91666666666666696</v>
      </c>
      <c r="EQ10" s="9">
        <v>0.95833333333333304</v>
      </c>
      <c r="ER10" s="7">
        <v>0</v>
      </c>
      <c r="ES10" s="8">
        <v>4.1666666666666699E-2</v>
      </c>
      <c r="ET10" s="8">
        <v>8.3333333333333301E-2</v>
      </c>
      <c r="EU10" s="8">
        <v>0.125</v>
      </c>
      <c r="EV10" s="8">
        <v>0.16666666666666699</v>
      </c>
      <c r="EW10" s="8">
        <v>0.20833333333333301</v>
      </c>
      <c r="EX10" s="8">
        <v>0.25</v>
      </c>
      <c r="EY10" s="8">
        <v>0.29166666666666702</v>
      </c>
      <c r="EZ10" s="8">
        <v>0.33333333333333298</v>
      </c>
      <c r="FA10" s="8">
        <v>0.375</v>
      </c>
      <c r="FB10" s="8">
        <v>0.41666666666666702</v>
      </c>
      <c r="FC10" s="8">
        <v>0.45833333333333298</v>
      </c>
      <c r="FD10" s="8">
        <v>0.5</v>
      </c>
      <c r="FE10" s="8">
        <v>0.54166666666666696</v>
      </c>
      <c r="FF10" s="8">
        <v>0.58333333333333304</v>
      </c>
      <c r="FG10" s="8">
        <v>0.625</v>
      </c>
      <c r="FH10" s="8">
        <v>0.66666666666666696</v>
      </c>
      <c r="FI10" s="8">
        <v>0.70833333333333304</v>
      </c>
      <c r="FJ10" s="8">
        <v>0.75</v>
      </c>
      <c r="FK10" s="8">
        <v>0.79166666666666696</v>
      </c>
      <c r="FL10" s="8">
        <v>0.83333333333333304</v>
      </c>
      <c r="FM10" s="8">
        <v>0.875</v>
      </c>
      <c r="FN10" s="8">
        <v>0.91666666666666696</v>
      </c>
      <c r="FO10" s="9">
        <v>0.95833333333333304</v>
      </c>
      <c r="FP10" s="77"/>
      <c r="FQ10" s="77"/>
      <c r="FR10" s="77"/>
      <c r="FS10" s="77"/>
      <c r="FT10" s="77"/>
    </row>
    <row r="11" spans="1:176" s="3" customFormat="1" ht="60" customHeight="1" x14ac:dyDescent="0.35">
      <c r="A11" s="43" t="s">
        <v>23</v>
      </c>
      <c r="B11" s="44"/>
      <c r="C11" s="44"/>
      <c r="D11" s="66" t="s">
        <v>24</v>
      </c>
      <c r="E11" s="44"/>
      <c r="F11" s="44"/>
      <c r="G11" s="44"/>
      <c r="H11" s="44"/>
      <c r="I11" s="44"/>
      <c r="J11" s="44"/>
      <c r="K11" s="44"/>
      <c r="L11" s="67" t="s">
        <v>24</v>
      </c>
      <c r="M11" s="44"/>
      <c r="N11" s="44"/>
      <c r="O11" s="44"/>
      <c r="P11" s="44"/>
      <c r="Q11" s="44"/>
      <c r="R11" s="44"/>
      <c r="S11" s="44"/>
      <c r="T11" s="67" t="s">
        <v>24</v>
      </c>
      <c r="U11" s="44"/>
      <c r="V11" s="44"/>
      <c r="W11" s="44"/>
      <c r="X11" s="44"/>
      <c r="Y11" s="44"/>
      <c r="Z11" s="44"/>
      <c r="AA11" s="45"/>
      <c r="AB11" s="66" t="s">
        <v>24</v>
      </c>
      <c r="AC11" s="44"/>
      <c r="AD11" s="44"/>
      <c r="AE11" s="44"/>
      <c r="AF11" s="44"/>
      <c r="AG11" s="44"/>
      <c r="AH11" s="44"/>
      <c r="AI11" s="44"/>
      <c r="AJ11" s="67" t="s">
        <v>24</v>
      </c>
      <c r="AK11" s="44"/>
      <c r="AL11" s="44"/>
      <c r="AM11" s="44"/>
      <c r="AN11" s="44"/>
      <c r="AO11" s="44"/>
      <c r="AP11" s="44"/>
      <c r="AQ11" s="44"/>
      <c r="AR11" s="67" t="s">
        <v>24</v>
      </c>
      <c r="AS11" s="44"/>
      <c r="AT11" s="44"/>
      <c r="AU11" s="44"/>
      <c r="AV11" s="44"/>
      <c r="AW11" s="44"/>
      <c r="AX11" s="44"/>
      <c r="AY11" s="45"/>
      <c r="AZ11" s="66" t="s">
        <v>24</v>
      </c>
      <c r="BA11" s="44"/>
      <c r="BB11" s="44"/>
      <c r="BC11" s="44"/>
      <c r="BD11" s="44"/>
      <c r="BE11" s="44"/>
      <c r="BF11" s="44"/>
      <c r="BG11" s="44"/>
      <c r="BH11" s="67" t="s">
        <v>24</v>
      </c>
      <c r="BI11" s="44"/>
      <c r="BJ11" s="44"/>
      <c r="BK11" s="44"/>
      <c r="BL11" s="44"/>
      <c r="BM11" s="44"/>
      <c r="BN11" s="44"/>
      <c r="BO11" s="44"/>
      <c r="BP11" s="67" t="s">
        <v>24</v>
      </c>
      <c r="BQ11" s="44"/>
      <c r="BR11" s="44"/>
      <c r="BS11" s="44"/>
      <c r="BT11" s="44"/>
      <c r="BU11" s="44"/>
      <c r="BV11" s="44"/>
      <c r="BW11" s="45"/>
      <c r="BX11" s="66" t="s">
        <v>24</v>
      </c>
      <c r="BY11" s="44"/>
      <c r="BZ11" s="44"/>
      <c r="CA11" s="44"/>
      <c r="CB11" s="44"/>
      <c r="CC11" s="44"/>
      <c r="CD11" s="44"/>
      <c r="CE11" s="44"/>
      <c r="CF11" s="44" t="s">
        <v>31</v>
      </c>
      <c r="CG11" s="44"/>
      <c r="CH11" s="44"/>
      <c r="CI11" s="44"/>
      <c r="CJ11" s="44"/>
      <c r="CK11" s="44"/>
      <c r="CL11" s="44"/>
      <c r="CM11" s="44"/>
      <c r="CN11" s="44" t="s">
        <v>31</v>
      </c>
      <c r="CO11" s="44"/>
      <c r="CP11" s="44"/>
      <c r="CQ11" s="44"/>
      <c r="CR11" s="67" t="s">
        <v>24</v>
      </c>
      <c r="CS11" s="44"/>
      <c r="CT11" s="44"/>
      <c r="CU11" s="45"/>
      <c r="CV11" s="66" t="s">
        <v>24</v>
      </c>
      <c r="CW11" s="44"/>
      <c r="CX11" s="44"/>
      <c r="CY11" s="44"/>
      <c r="CZ11" s="44"/>
      <c r="DA11" s="44"/>
      <c r="DB11" s="44"/>
      <c r="DC11" s="44"/>
      <c r="DD11" s="67" t="s">
        <v>24</v>
      </c>
      <c r="DE11" s="44"/>
      <c r="DF11" s="44"/>
      <c r="DG11" s="44"/>
      <c r="DH11" s="44"/>
      <c r="DI11" s="44"/>
      <c r="DJ11" s="44"/>
      <c r="DK11" s="44"/>
      <c r="DL11" s="67" t="s">
        <v>24</v>
      </c>
      <c r="DM11" s="44"/>
      <c r="DN11" s="44"/>
      <c r="DO11" s="44"/>
      <c r="DP11" s="44"/>
      <c r="DQ11" s="44"/>
      <c r="DR11" s="44"/>
      <c r="DS11" s="45"/>
      <c r="DT11" s="66" t="s">
        <v>24</v>
      </c>
      <c r="DU11" s="44"/>
      <c r="DV11" s="44"/>
      <c r="DW11" s="44"/>
      <c r="DX11" s="44"/>
      <c r="DY11" s="44"/>
      <c r="DZ11" s="44"/>
      <c r="EA11" s="44"/>
      <c r="EB11" s="67" t="s">
        <v>24</v>
      </c>
      <c r="EC11" s="44"/>
      <c r="ED11" s="44"/>
      <c r="EE11" s="44"/>
      <c r="EF11" s="44"/>
      <c r="EG11" s="44"/>
      <c r="EH11" s="44"/>
      <c r="EI11" s="44"/>
      <c r="EJ11" s="67" t="s">
        <v>24</v>
      </c>
      <c r="EK11" s="44"/>
      <c r="EL11" s="44"/>
      <c r="EM11" s="44"/>
      <c r="EN11" s="44"/>
      <c r="EO11" s="44"/>
      <c r="EP11" s="44"/>
      <c r="EQ11" s="45"/>
      <c r="ER11" s="66" t="s">
        <v>24</v>
      </c>
      <c r="ES11" s="44"/>
      <c r="ET11" s="44"/>
      <c r="EU11" s="44"/>
      <c r="EV11" s="44"/>
      <c r="EW11" s="44"/>
      <c r="EX11" s="44"/>
      <c r="EY11" s="44"/>
      <c r="EZ11" s="67" t="s">
        <v>24</v>
      </c>
      <c r="FA11" s="44"/>
      <c r="FB11" s="44"/>
      <c r="FC11" s="44"/>
      <c r="FD11" s="44"/>
      <c r="FE11" s="44"/>
      <c r="FF11" s="44"/>
      <c r="FG11" s="44"/>
      <c r="FH11" s="67" t="s">
        <v>24</v>
      </c>
      <c r="FI11" s="44"/>
      <c r="FJ11" s="44"/>
      <c r="FK11" s="44"/>
      <c r="FL11" s="44"/>
      <c r="FM11" s="44"/>
      <c r="FN11" s="44"/>
      <c r="FO11" s="45"/>
      <c r="FP11" s="36">
        <v>12614</v>
      </c>
      <c r="FQ11" s="37"/>
      <c r="FR11" s="37"/>
      <c r="FS11" s="37"/>
      <c r="FT11" s="37"/>
    </row>
    <row r="12" spans="1:176" s="3" customFormat="1" ht="109.95" customHeight="1" x14ac:dyDescent="0.35">
      <c r="A12" s="43" t="s">
        <v>25</v>
      </c>
      <c r="B12" s="44"/>
      <c r="C12" s="44"/>
      <c r="D12" s="43" t="s">
        <v>26</v>
      </c>
      <c r="E12" s="44"/>
      <c r="F12" s="44"/>
      <c r="G12" s="44"/>
      <c r="H12" s="44"/>
      <c r="I12" s="44"/>
      <c r="J12" s="44"/>
      <c r="K12" s="44"/>
      <c r="L12" s="44" t="s">
        <v>26</v>
      </c>
      <c r="M12" s="44"/>
      <c r="N12" s="44"/>
      <c r="O12" s="44"/>
      <c r="P12" s="44"/>
      <c r="Q12" s="44"/>
      <c r="R12" s="44"/>
      <c r="S12" s="44"/>
      <c r="T12" s="44" t="s">
        <v>26</v>
      </c>
      <c r="U12" s="44"/>
      <c r="V12" s="44"/>
      <c r="W12" s="44"/>
      <c r="X12" s="44"/>
      <c r="Y12" s="44"/>
      <c r="Z12" s="44"/>
      <c r="AA12" s="45"/>
      <c r="AB12" s="43" t="s">
        <v>26</v>
      </c>
      <c r="AC12" s="44"/>
      <c r="AD12" s="44"/>
      <c r="AE12" s="44"/>
      <c r="AF12" s="44"/>
      <c r="AG12" s="44"/>
      <c r="AH12" s="44"/>
      <c r="AI12" s="44"/>
      <c r="AJ12" s="44" t="s">
        <v>26</v>
      </c>
      <c r="AK12" s="44"/>
      <c r="AL12" s="44"/>
      <c r="AM12" s="44"/>
      <c r="AN12" s="44"/>
      <c r="AO12" s="44"/>
      <c r="AP12" s="44"/>
      <c r="AQ12" s="44"/>
      <c r="AR12" s="44" t="s">
        <v>26</v>
      </c>
      <c r="AS12" s="44"/>
      <c r="AT12" s="44"/>
      <c r="AU12" s="44"/>
      <c r="AV12" s="44"/>
      <c r="AW12" s="44"/>
      <c r="AX12" s="44"/>
      <c r="AY12" s="45"/>
      <c r="AZ12" s="43" t="s">
        <v>26</v>
      </c>
      <c r="BA12" s="44"/>
      <c r="BB12" s="44"/>
      <c r="BC12" s="44"/>
      <c r="BD12" s="44"/>
      <c r="BE12" s="44"/>
      <c r="BF12" s="44"/>
      <c r="BG12" s="44"/>
      <c r="BH12" s="44" t="s">
        <v>26</v>
      </c>
      <c r="BI12" s="44"/>
      <c r="BJ12" s="44"/>
      <c r="BK12" s="44"/>
      <c r="BL12" s="44"/>
      <c r="BM12" s="44"/>
      <c r="BN12" s="44"/>
      <c r="BO12" s="44"/>
      <c r="BP12" s="44" t="s">
        <v>26</v>
      </c>
      <c r="BQ12" s="44"/>
      <c r="BR12" s="44"/>
      <c r="BS12" s="44"/>
      <c r="BT12" s="44"/>
      <c r="BU12" s="44"/>
      <c r="BV12" s="44"/>
      <c r="BW12" s="45"/>
      <c r="BX12" s="43" t="s">
        <v>26</v>
      </c>
      <c r="BY12" s="44"/>
      <c r="BZ12" s="44"/>
      <c r="CA12" s="44"/>
      <c r="CB12" s="44"/>
      <c r="CC12" s="44"/>
      <c r="CD12" s="44"/>
      <c r="CE12" s="44"/>
      <c r="CF12" s="56" t="s">
        <v>40</v>
      </c>
      <c r="CG12" s="44"/>
      <c r="CH12" s="44"/>
      <c r="CI12" s="44"/>
      <c r="CJ12" s="44"/>
      <c r="CK12" s="44"/>
      <c r="CL12" s="44"/>
      <c r="CM12" s="44"/>
      <c r="CN12" s="56" t="s">
        <v>40</v>
      </c>
      <c r="CO12" s="44"/>
      <c r="CP12" s="44"/>
      <c r="CQ12" s="44"/>
      <c r="CR12" s="48" t="s">
        <v>26</v>
      </c>
      <c r="CS12" s="44"/>
      <c r="CT12" s="44"/>
      <c r="CU12" s="45"/>
      <c r="CV12" s="43" t="s">
        <v>26</v>
      </c>
      <c r="CW12" s="44"/>
      <c r="CX12" s="44"/>
      <c r="CY12" s="44"/>
      <c r="CZ12" s="44"/>
      <c r="DA12" s="44"/>
      <c r="DB12" s="44"/>
      <c r="DC12" s="44"/>
      <c r="DD12" s="44" t="s">
        <v>26</v>
      </c>
      <c r="DE12" s="44"/>
      <c r="DF12" s="44"/>
      <c r="DG12" s="44"/>
      <c r="DH12" s="44"/>
      <c r="DI12" s="44"/>
      <c r="DJ12" s="44"/>
      <c r="DK12" s="44"/>
      <c r="DL12" s="44" t="s">
        <v>26</v>
      </c>
      <c r="DM12" s="44"/>
      <c r="DN12" s="44"/>
      <c r="DO12" s="44"/>
      <c r="DP12" s="44"/>
      <c r="DQ12" s="44"/>
      <c r="DR12" s="44"/>
      <c r="DS12" s="45"/>
      <c r="DT12" s="43" t="s">
        <v>26</v>
      </c>
      <c r="DU12" s="44"/>
      <c r="DV12" s="44"/>
      <c r="DW12" s="44"/>
      <c r="DX12" s="44"/>
      <c r="DY12" s="44"/>
      <c r="DZ12" s="44"/>
      <c r="EA12" s="44"/>
      <c r="EB12" s="44" t="s">
        <v>26</v>
      </c>
      <c r="EC12" s="44"/>
      <c r="ED12" s="44"/>
      <c r="EE12" s="44"/>
      <c r="EF12" s="44"/>
      <c r="EG12" s="44"/>
      <c r="EH12" s="44"/>
      <c r="EI12" s="44"/>
      <c r="EJ12" s="44" t="s">
        <v>26</v>
      </c>
      <c r="EK12" s="44"/>
      <c r="EL12" s="44"/>
      <c r="EM12" s="44"/>
      <c r="EN12" s="44"/>
      <c r="EO12" s="44"/>
      <c r="EP12" s="44"/>
      <c r="EQ12" s="45"/>
      <c r="ER12" s="43" t="s">
        <v>26</v>
      </c>
      <c r="ES12" s="44"/>
      <c r="ET12" s="44"/>
      <c r="EU12" s="44"/>
      <c r="EV12" s="44"/>
      <c r="EW12" s="44"/>
      <c r="EX12" s="44"/>
      <c r="EY12" s="44"/>
      <c r="EZ12" s="44" t="s">
        <v>26</v>
      </c>
      <c r="FA12" s="44"/>
      <c r="FB12" s="44"/>
      <c r="FC12" s="44"/>
      <c r="FD12" s="44"/>
      <c r="FE12" s="44"/>
      <c r="FF12" s="44"/>
      <c r="FG12" s="44"/>
      <c r="FH12" s="44" t="s">
        <v>26</v>
      </c>
      <c r="FI12" s="44"/>
      <c r="FJ12" s="44"/>
      <c r="FK12" s="44"/>
      <c r="FL12" s="44"/>
      <c r="FM12" s="44"/>
      <c r="FN12" s="44"/>
      <c r="FO12" s="45"/>
      <c r="FP12" s="37"/>
      <c r="FQ12" s="37"/>
      <c r="FR12" s="37"/>
      <c r="FS12" s="37"/>
      <c r="FT12" s="37"/>
    </row>
    <row r="13" spans="1:176" s="3" customFormat="1" ht="60" customHeight="1" x14ac:dyDescent="0.35">
      <c r="A13" s="43" t="s">
        <v>27</v>
      </c>
      <c r="B13" s="44"/>
      <c r="C13" s="44"/>
      <c r="D13" s="43">
        <v>647</v>
      </c>
      <c r="E13" s="44"/>
      <c r="F13" s="44"/>
      <c r="G13" s="44"/>
      <c r="H13" s="44"/>
      <c r="I13" s="44"/>
      <c r="J13" s="44"/>
      <c r="K13" s="44"/>
      <c r="L13" s="44">
        <v>647</v>
      </c>
      <c r="M13" s="44"/>
      <c r="N13" s="44"/>
      <c r="O13" s="44"/>
      <c r="P13" s="44"/>
      <c r="Q13" s="44"/>
      <c r="R13" s="44"/>
      <c r="S13" s="44"/>
      <c r="T13" s="44">
        <v>647</v>
      </c>
      <c r="U13" s="44"/>
      <c r="V13" s="44"/>
      <c r="W13" s="44"/>
      <c r="X13" s="44"/>
      <c r="Y13" s="44"/>
      <c r="Z13" s="44"/>
      <c r="AA13" s="45"/>
      <c r="AB13" s="43">
        <v>647</v>
      </c>
      <c r="AC13" s="44"/>
      <c r="AD13" s="44"/>
      <c r="AE13" s="44"/>
      <c r="AF13" s="44"/>
      <c r="AG13" s="44"/>
      <c r="AH13" s="44"/>
      <c r="AI13" s="44"/>
      <c r="AJ13" s="44">
        <v>647</v>
      </c>
      <c r="AK13" s="44"/>
      <c r="AL13" s="44"/>
      <c r="AM13" s="44"/>
      <c r="AN13" s="44"/>
      <c r="AO13" s="44"/>
      <c r="AP13" s="44"/>
      <c r="AQ13" s="44"/>
      <c r="AR13" s="44">
        <v>647</v>
      </c>
      <c r="AS13" s="44"/>
      <c r="AT13" s="44"/>
      <c r="AU13" s="44"/>
      <c r="AV13" s="44"/>
      <c r="AW13" s="44"/>
      <c r="AX13" s="44"/>
      <c r="AY13" s="45"/>
      <c r="AZ13" s="43">
        <v>647</v>
      </c>
      <c r="BA13" s="44"/>
      <c r="BB13" s="44"/>
      <c r="BC13" s="44"/>
      <c r="BD13" s="44"/>
      <c r="BE13" s="44"/>
      <c r="BF13" s="44"/>
      <c r="BG13" s="44"/>
      <c r="BH13" s="44">
        <v>647</v>
      </c>
      <c r="BI13" s="44"/>
      <c r="BJ13" s="44"/>
      <c r="BK13" s="44"/>
      <c r="BL13" s="44"/>
      <c r="BM13" s="44"/>
      <c r="BN13" s="44"/>
      <c r="BO13" s="44"/>
      <c r="BP13" s="44">
        <v>647</v>
      </c>
      <c r="BQ13" s="44"/>
      <c r="BR13" s="44"/>
      <c r="BS13" s="44"/>
      <c r="BT13" s="44"/>
      <c r="BU13" s="44"/>
      <c r="BV13" s="44"/>
      <c r="BW13" s="45"/>
      <c r="BX13" s="43">
        <v>646</v>
      </c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8">
        <v>323</v>
      </c>
      <c r="CS13" s="44"/>
      <c r="CT13" s="44"/>
      <c r="CU13" s="45"/>
      <c r="CV13" s="43">
        <v>647</v>
      </c>
      <c r="CW13" s="44"/>
      <c r="CX13" s="44"/>
      <c r="CY13" s="44"/>
      <c r="CZ13" s="44"/>
      <c r="DA13" s="44"/>
      <c r="DB13" s="44"/>
      <c r="DC13" s="44"/>
      <c r="DD13" s="44">
        <v>647</v>
      </c>
      <c r="DE13" s="44"/>
      <c r="DF13" s="44"/>
      <c r="DG13" s="44"/>
      <c r="DH13" s="44"/>
      <c r="DI13" s="44"/>
      <c r="DJ13" s="44"/>
      <c r="DK13" s="44"/>
      <c r="DL13" s="44">
        <v>647</v>
      </c>
      <c r="DM13" s="44"/>
      <c r="DN13" s="44"/>
      <c r="DO13" s="44"/>
      <c r="DP13" s="44"/>
      <c r="DQ13" s="44"/>
      <c r="DR13" s="44"/>
      <c r="DS13" s="45"/>
      <c r="DT13" s="43">
        <v>647</v>
      </c>
      <c r="DU13" s="44"/>
      <c r="DV13" s="44"/>
      <c r="DW13" s="44"/>
      <c r="DX13" s="44"/>
      <c r="DY13" s="44"/>
      <c r="DZ13" s="44"/>
      <c r="EA13" s="44"/>
      <c r="EB13" s="44">
        <v>647</v>
      </c>
      <c r="EC13" s="44"/>
      <c r="ED13" s="44"/>
      <c r="EE13" s="44"/>
      <c r="EF13" s="44"/>
      <c r="EG13" s="44"/>
      <c r="EH13" s="44"/>
      <c r="EI13" s="44"/>
      <c r="EJ13" s="44">
        <v>647</v>
      </c>
      <c r="EK13" s="44"/>
      <c r="EL13" s="44"/>
      <c r="EM13" s="44"/>
      <c r="EN13" s="44"/>
      <c r="EO13" s="44"/>
      <c r="EP13" s="44"/>
      <c r="EQ13" s="45"/>
      <c r="ER13" s="43">
        <v>647</v>
      </c>
      <c r="ES13" s="44"/>
      <c r="ET13" s="44"/>
      <c r="EU13" s="44"/>
      <c r="EV13" s="44"/>
      <c r="EW13" s="44"/>
      <c r="EX13" s="44"/>
      <c r="EY13" s="44"/>
      <c r="EZ13" s="44">
        <v>647</v>
      </c>
      <c r="FA13" s="44"/>
      <c r="FB13" s="44"/>
      <c r="FC13" s="44"/>
      <c r="FD13" s="44"/>
      <c r="FE13" s="44"/>
      <c r="FF13" s="44"/>
      <c r="FG13" s="44"/>
      <c r="FH13" s="44">
        <v>646</v>
      </c>
      <c r="FI13" s="44"/>
      <c r="FJ13" s="44"/>
      <c r="FK13" s="44"/>
      <c r="FL13" s="44"/>
      <c r="FM13" s="44"/>
      <c r="FN13" s="44"/>
      <c r="FO13" s="45"/>
      <c r="FP13" s="37"/>
      <c r="FQ13" s="37"/>
      <c r="FR13" s="37"/>
      <c r="FS13" s="37"/>
      <c r="FT13" s="37"/>
    </row>
    <row r="14" spans="1:176" s="3" customFormat="1" ht="60" customHeight="1" x14ac:dyDescent="0.35">
      <c r="A14" s="43" t="s">
        <v>28</v>
      </c>
      <c r="B14" s="44"/>
      <c r="C14" s="44"/>
      <c r="D14" s="33">
        <v>1941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5"/>
      <c r="AB14" s="33">
        <v>1941</v>
      </c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5"/>
      <c r="AZ14" s="33">
        <v>1941</v>
      </c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5"/>
      <c r="BX14" s="33">
        <v>969</v>
      </c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5"/>
      <c r="CV14" s="33">
        <v>1941</v>
      </c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5"/>
      <c r="DT14" s="33">
        <v>1941</v>
      </c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5"/>
      <c r="ER14" s="33">
        <v>1940</v>
      </c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5"/>
      <c r="FP14" s="37"/>
      <c r="FQ14" s="37"/>
      <c r="FR14" s="37"/>
      <c r="FS14" s="37"/>
      <c r="FT14" s="37"/>
    </row>
    <row r="15" spans="1:176" s="3" customFormat="1" ht="60" customHeight="1" x14ac:dyDescent="0.35">
      <c r="A15" s="43" t="s">
        <v>29</v>
      </c>
      <c r="B15" s="44"/>
      <c r="C15" s="44"/>
      <c r="D15" s="43" t="s">
        <v>31</v>
      </c>
      <c r="E15" s="96" t="s">
        <v>101</v>
      </c>
      <c r="F15" s="44"/>
      <c r="G15" s="44"/>
      <c r="H15" s="44"/>
      <c r="I15" s="44"/>
      <c r="J15" s="44"/>
      <c r="K15" s="44"/>
      <c r="L15" s="96" t="s">
        <v>101</v>
      </c>
      <c r="M15" s="44" t="s">
        <v>31</v>
      </c>
      <c r="N15" s="44"/>
      <c r="O15" s="58" t="s">
        <v>37</v>
      </c>
      <c r="P15" s="44"/>
      <c r="Q15" s="44"/>
      <c r="R15" s="44"/>
      <c r="S15" s="44"/>
      <c r="T15" s="58" t="s">
        <v>37</v>
      </c>
      <c r="U15" s="44"/>
      <c r="V15" s="44"/>
      <c r="W15" s="44"/>
      <c r="X15" s="44"/>
      <c r="Y15" s="44"/>
      <c r="Z15" s="44"/>
      <c r="AA15" s="45"/>
      <c r="AB15" s="57" t="s">
        <v>37</v>
      </c>
      <c r="AC15" s="44"/>
      <c r="AD15" s="44"/>
      <c r="AE15" s="44"/>
      <c r="AF15" s="44"/>
      <c r="AG15" s="44"/>
      <c r="AH15" s="44"/>
      <c r="AI15" s="44"/>
      <c r="AJ15" s="58" t="s">
        <v>37</v>
      </c>
      <c r="AK15" s="44"/>
      <c r="AL15" s="44"/>
      <c r="AM15" s="44"/>
      <c r="AN15" s="44"/>
      <c r="AO15" s="44"/>
      <c r="AP15" s="44"/>
      <c r="AQ15" s="44" t="s">
        <v>31</v>
      </c>
      <c r="AR15" s="59" t="s">
        <v>38</v>
      </c>
      <c r="AS15" s="44"/>
      <c r="AT15" s="44"/>
      <c r="AU15" s="44"/>
      <c r="AV15" s="44"/>
      <c r="AW15" s="44"/>
      <c r="AX15" s="44"/>
      <c r="AY15" s="45"/>
      <c r="AZ15" s="60" t="s">
        <v>38</v>
      </c>
      <c r="BA15" s="44"/>
      <c r="BB15" s="44"/>
      <c r="BC15" s="44"/>
      <c r="BD15" s="44"/>
      <c r="BE15" s="44"/>
      <c r="BF15" s="44"/>
      <c r="BG15" s="44"/>
      <c r="BH15" s="59" t="s">
        <v>38</v>
      </c>
      <c r="BI15" s="44"/>
      <c r="BJ15" s="44"/>
      <c r="BK15" s="44"/>
      <c r="BL15" s="44"/>
      <c r="BM15" s="44"/>
      <c r="BN15" s="44"/>
      <c r="BO15" s="44"/>
      <c r="BP15" s="59" t="s">
        <v>38</v>
      </c>
      <c r="BQ15" s="44"/>
      <c r="BR15" s="44"/>
      <c r="BS15" s="44"/>
      <c r="BT15" s="44"/>
      <c r="BU15" s="44"/>
      <c r="BV15" s="44"/>
      <c r="BW15" s="45"/>
      <c r="BX15" s="60" t="s">
        <v>38</v>
      </c>
      <c r="BY15" s="44"/>
      <c r="BZ15" s="44"/>
      <c r="CA15" s="44"/>
      <c r="CB15" s="44"/>
      <c r="CC15" s="44"/>
      <c r="CD15" s="44"/>
      <c r="CE15" s="44"/>
      <c r="CF15" s="44" t="s">
        <v>31</v>
      </c>
      <c r="CG15" s="44"/>
      <c r="CH15" s="44"/>
      <c r="CI15" s="44"/>
      <c r="CJ15" s="44"/>
      <c r="CK15" s="44"/>
      <c r="CL15" s="64" t="s">
        <v>30</v>
      </c>
      <c r="CM15" s="44"/>
      <c r="CN15" s="64" t="s">
        <v>30</v>
      </c>
      <c r="CO15" s="44"/>
      <c r="CP15" s="44"/>
      <c r="CQ15" s="44"/>
      <c r="CR15" s="44"/>
      <c r="CS15" s="44"/>
      <c r="CT15" s="44"/>
      <c r="CU15" s="45"/>
      <c r="CV15" s="63" t="s">
        <v>30</v>
      </c>
      <c r="CW15" s="44"/>
      <c r="CX15" s="44"/>
      <c r="CY15" s="44"/>
      <c r="CZ15" s="44"/>
      <c r="DA15" s="44"/>
      <c r="DB15" s="44"/>
      <c r="DC15" s="44"/>
      <c r="DD15" s="64" t="s">
        <v>30</v>
      </c>
      <c r="DE15" s="44"/>
      <c r="DF15" s="44"/>
      <c r="DG15" s="44"/>
      <c r="DH15" s="44"/>
      <c r="DI15" s="44"/>
      <c r="DJ15" s="44"/>
      <c r="DK15" s="44"/>
      <c r="DL15" s="64" t="s">
        <v>30</v>
      </c>
      <c r="DM15" s="44"/>
      <c r="DN15" s="44"/>
      <c r="DO15" s="44"/>
      <c r="DP15" s="44"/>
      <c r="DQ15" s="44"/>
      <c r="DR15" s="44"/>
      <c r="DS15" s="45"/>
      <c r="DT15" s="63" t="s">
        <v>30</v>
      </c>
      <c r="DU15" s="44"/>
      <c r="DV15" s="44"/>
      <c r="DW15" s="44"/>
      <c r="DX15" s="44"/>
      <c r="DY15" s="44"/>
      <c r="DZ15" s="44"/>
      <c r="EA15" s="44"/>
      <c r="EB15" s="64" t="s">
        <v>30</v>
      </c>
      <c r="EC15" s="44"/>
      <c r="ED15" s="44"/>
      <c r="EE15" s="44"/>
      <c r="EF15" s="44"/>
      <c r="EG15" s="44"/>
      <c r="EH15" s="44"/>
      <c r="EI15" s="44"/>
      <c r="EJ15" s="64" t="s">
        <v>30</v>
      </c>
      <c r="EK15" s="44"/>
      <c r="EL15" s="44"/>
      <c r="EM15" s="44"/>
      <c r="EN15" s="44"/>
      <c r="EO15" s="44"/>
      <c r="EP15" s="44"/>
      <c r="EQ15" s="45"/>
      <c r="ER15" s="43" t="s">
        <v>31</v>
      </c>
      <c r="ES15" s="44"/>
      <c r="ET15" s="44"/>
      <c r="EU15" s="44"/>
      <c r="EV15" s="44"/>
      <c r="EW15" s="44"/>
      <c r="EX15" s="44"/>
      <c r="EY15" s="44"/>
      <c r="EZ15" s="44" t="s">
        <v>31</v>
      </c>
      <c r="FA15" s="44"/>
      <c r="FB15" s="44"/>
      <c r="FC15" s="44"/>
      <c r="FD15" s="44"/>
      <c r="FE15" s="44"/>
      <c r="FF15" s="44"/>
      <c r="FG15" s="44"/>
      <c r="FH15" s="44" t="s">
        <v>31</v>
      </c>
      <c r="FI15" s="44"/>
      <c r="FJ15" s="44"/>
      <c r="FK15" s="44"/>
      <c r="FL15" s="44"/>
      <c r="FM15" s="44"/>
      <c r="FN15" s="44"/>
      <c r="FO15" s="45"/>
      <c r="FP15" s="36">
        <v>22732</v>
      </c>
      <c r="FQ15" s="37"/>
      <c r="FR15" s="37"/>
      <c r="FS15" s="37"/>
      <c r="FT15" s="37"/>
    </row>
    <row r="16" spans="1:176" s="3" customFormat="1" ht="109.95" customHeight="1" x14ac:dyDescent="0.35">
      <c r="A16" s="43" t="s">
        <v>25</v>
      </c>
      <c r="B16" s="44"/>
      <c r="C16" s="44"/>
      <c r="D16" s="62" t="s">
        <v>48</v>
      </c>
      <c r="E16" s="44" t="s">
        <v>35</v>
      </c>
      <c r="F16" s="44"/>
      <c r="G16" s="44"/>
      <c r="H16" s="44"/>
      <c r="I16" s="44"/>
      <c r="J16" s="44"/>
      <c r="K16" s="44"/>
      <c r="L16" s="48" t="s">
        <v>35</v>
      </c>
      <c r="M16" s="49" t="s">
        <v>34</v>
      </c>
      <c r="N16" s="44"/>
      <c r="O16" s="48" t="s">
        <v>35</v>
      </c>
      <c r="P16" s="44"/>
      <c r="Q16" s="44"/>
      <c r="R16" s="44"/>
      <c r="S16" s="44"/>
      <c r="T16" s="44" t="s">
        <v>35</v>
      </c>
      <c r="U16" s="44"/>
      <c r="V16" s="44"/>
      <c r="W16" s="44"/>
      <c r="X16" s="44"/>
      <c r="Y16" s="44"/>
      <c r="Z16" s="44"/>
      <c r="AA16" s="45"/>
      <c r="AB16" s="43" t="s">
        <v>35</v>
      </c>
      <c r="AC16" s="44"/>
      <c r="AD16" s="44"/>
      <c r="AE16" s="44"/>
      <c r="AF16" s="44"/>
      <c r="AG16" s="44"/>
      <c r="AH16" s="44"/>
      <c r="AI16" s="44"/>
      <c r="AJ16" s="44" t="s">
        <v>35</v>
      </c>
      <c r="AK16" s="44"/>
      <c r="AL16" s="44"/>
      <c r="AM16" s="44"/>
      <c r="AN16" s="44"/>
      <c r="AO16" s="44"/>
      <c r="AP16" s="44"/>
      <c r="AQ16" s="49" t="s">
        <v>34</v>
      </c>
      <c r="AR16" s="44" t="s">
        <v>35</v>
      </c>
      <c r="AS16" s="44"/>
      <c r="AT16" s="44"/>
      <c r="AU16" s="44"/>
      <c r="AV16" s="44"/>
      <c r="AW16" s="44"/>
      <c r="AX16" s="44"/>
      <c r="AY16" s="45"/>
      <c r="AZ16" s="43" t="s">
        <v>35</v>
      </c>
      <c r="BA16" s="44"/>
      <c r="BB16" s="44"/>
      <c r="BC16" s="44"/>
      <c r="BD16" s="44"/>
      <c r="BE16" s="44"/>
      <c r="BF16" s="44"/>
      <c r="BG16" s="44"/>
      <c r="BH16" s="44" t="s">
        <v>35</v>
      </c>
      <c r="BI16" s="44"/>
      <c r="BJ16" s="44"/>
      <c r="BK16" s="44"/>
      <c r="BL16" s="44"/>
      <c r="BM16" s="44"/>
      <c r="BN16" s="44"/>
      <c r="BO16" s="44"/>
      <c r="BP16" s="44" t="s">
        <v>35</v>
      </c>
      <c r="BQ16" s="44"/>
      <c r="BR16" s="44"/>
      <c r="BS16" s="44"/>
      <c r="BT16" s="44"/>
      <c r="BU16" s="44"/>
      <c r="BV16" s="44"/>
      <c r="BW16" s="45"/>
      <c r="BX16" s="43" t="s">
        <v>35</v>
      </c>
      <c r="BY16" s="44"/>
      <c r="BZ16" s="44"/>
      <c r="CA16" s="44"/>
      <c r="CB16" s="44"/>
      <c r="CC16" s="44"/>
      <c r="CD16" s="44"/>
      <c r="CE16" s="44"/>
      <c r="CF16" s="56" t="s">
        <v>40</v>
      </c>
      <c r="CG16" s="44"/>
      <c r="CH16" s="44"/>
      <c r="CI16" s="44"/>
      <c r="CJ16" s="44"/>
      <c r="CK16" s="44"/>
      <c r="CL16" s="48" t="s">
        <v>33</v>
      </c>
      <c r="CM16" s="44"/>
      <c r="CN16" s="44" t="s">
        <v>33</v>
      </c>
      <c r="CO16" s="44"/>
      <c r="CP16" s="44"/>
      <c r="CQ16" s="44"/>
      <c r="CR16" s="44"/>
      <c r="CS16" s="44"/>
      <c r="CT16" s="44"/>
      <c r="CU16" s="45"/>
      <c r="CV16" s="43" t="s">
        <v>33</v>
      </c>
      <c r="CW16" s="44"/>
      <c r="CX16" s="44"/>
      <c r="CY16" s="44"/>
      <c r="CZ16" s="44"/>
      <c r="DA16" s="44"/>
      <c r="DB16" s="44"/>
      <c r="DC16" s="44"/>
      <c r="DD16" s="44" t="s">
        <v>33</v>
      </c>
      <c r="DE16" s="44"/>
      <c r="DF16" s="44"/>
      <c r="DG16" s="44"/>
      <c r="DH16" s="44"/>
      <c r="DI16" s="44"/>
      <c r="DJ16" s="44"/>
      <c r="DK16" s="44"/>
      <c r="DL16" s="44" t="s">
        <v>33</v>
      </c>
      <c r="DM16" s="44"/>
      <c r="DN16" s="44"/>
      <c r="DO16" s="44"/>
      <c r="DP16" s="44"/>
      <c r="DQ16" s="44"/>
      <c r="DR16" s="44"/>
      <c r="DS16" s="45"/>
      <c r="DT16" s="43" t="s">
        <v>33</v>
      </c>
      <c r="DU16" s="44"/>
      <c r="DV16" s="44"/>
      <c r="DW16" s="44"/>
      <c r="DX16" s="44"/>
      <c r="DY16" s="44"/>
      <c r="DZ16" s="44"/>
      <c r="EA16" s="44"/>
      <c r="EB16" s="44" t="s">
        <v>33</v>
      </c>
      <c r="EC16" s="44"/>
      <c r="ED16" s="44"/>
      <c r="EE16" s="44"/>
      <c r="EF16" s="44"/>
      <c r="EG16" s="44"/>
      <c r="EH16" s="44"/>
      <c r="EI16" s="44"/>
      <c r="EJ16" s="44" t="s">
        <v>33</v>
      </c>
      <c r="EK16" s="44"/>
      <c r="EL16" s="44"/>
      <c r="EM16" s="44"/>
      <c r="EN16" s="44"/>
      <c r="EO16" s="44"/>
      <c r="EP16" s="44"/>
      <c r="EQ16" s="45"/>
      <c r="ER16" s="95" t="s">
        <v>102</v>
      </c>
      <c r="ES16" s="44"/>
      <c r="ET16" s="44"/>
      <c r="EU16" s="44"/>
      <c r="EV16" s="44"/>
      <c r="EW16" s="44"/>
      <c r="EX16" s="44"/>
      <c r="EY16" s="44"/>
      <c r="EZ16" s="94" t="s">
        <v>102</v>
      </c>
      <c r="FA16" s="44"/>
      <c r="FB16" s="44"/>
      <c r="FC16" s="44"/>
      <c r="FD16" s="44"/>
      <c r="FE16" s="44"/>
      <c r="FF16" s="44"/>
      <c r="FG16" s="44"/>
      <c r="FH16" s="94" t="s">
        <v>102</v>
      </c>
      <c r="FI16" s="44"/>
      <c r="FJ16" s="44"/>
      <c r="FK16" s="44"/>
      <c r="FL16" s="44"/>
      <c r="FM16" s="44"/>
      <c r="FN16" s="44"/>
      <c r="FO16" s="45"/>
      <c r="FP16" s="37"/>
      <c r="FQ16" s="37"/>
      <c r="FR16" s="37"/>
      <c r="FS16" s="37"/>
      <c r="FT16" s="37"/>
    </row>
    <row r="17" spans="1:176" s="3" customFormat="1" ht="60" customHeight="1" x14ac:dyDescent="0.35">
      <c r="A17" s="43" t="s">
        <v>27</v>
      </c>
      <c r="B17" s="44"/>
      <c r="C17" s="44"/>
      <c r="D17" s="46"/>
      <c r="E17" s="44">
        <v>644</v>
      </c>
      <c r="F17" s="44"/>
      <c r="G17" s="44"/>
      <c r="H17" s="44"/>
      <c r="I17" s="44"/>
      <c r="J17" s="44"/>
      <c r="K17" s="44"/>
      <c r="L17" s="48">
        <v>88</v>
      </c>
      <c r="M17" s="48"/>
      <c r="N17" s="44"/>
      <c r="O17" s="48">
        <v>876</v>
      </c>
      <c r="P17" s="44"/>
      <c r="Q17" s="44"/>
      <c r="R17" s="44"/>
      <c r="S17" s="44"/>
      <c r="T17" s="44">
        <v>1407</v>
      </c>
      <c r="U17" s="44"/>
      <c r="V17" s="44"/>
      <c r="W17" s="44"/>
      <c r="X17" s="44"/>
      <c r="Y17" s="44"/>
      <c r="Z17" s="44"/>
      <c r="AA17" s="45"/>
      <c r="AB17" s="43">
        <v>1407</v>
      </c>
      <c r="AC17" s="44"/>
      <c r="AD17" s="44"/>
      <c r="AE17" s="44"/>
      <c r="AF17" s="44"/>
      <c r="AG17" s="44"/>
      <c r="AH17" s="44"/>
      <c r="AI17" s="44"/>
      <c r="AJ17" s="44">
        <v>1310</v>
      </c>
      <c r="AK17" s="44"/>
      <c r="AL17" s="44"/>
      <c r="AM17" s="44"/>
      <c r="AN17" s="44"/>
      <c r="AO17" s="44"/>
      <c r="AP17" s="44"/>
      <c r="AQ17" s="48"/>
      <c r="AR17" s="44">
        <v>1327</v>
      </c>
      <c r="AS17" s="44"/>
      <c r="AT17" s="44"/>
      <c r="AU17" s="44"/>
      <c r="AV17" s="44"/>
      <c r="AW17" s="44"/>
      <c r="AX17" s="44"/>
      <c r="AY17" s="45"/>
      <c r="AZ17" s="43">
        <v>1407</v>
      </c>
      <c r="BA17" s="44"/>
      <c r="BB17" s="44"/>
      <c r="BC17" s="44"/>
      <c r="BD17" s="44"/>
      <c r="BE17" s="44"/>
      <c r="BF17" s="44"/>
      <c r="BG17" s="44"/>
      <c r="BH17" s="44">
        <v>1407</v>
      </c>
      <c r="BI17" s="44"/>
      <c r="BJ17" s="44"/>
      <c r="BK17" s="44"/>
      <c r="BL17" s="44"/>
      <c r="BM17" s="44"/>
      <c r="BN17" s="44"/>
      <c r="BO17" s="44"/>
      <c r="BP17" s="44">
        <v>1407</v>
      </c>
      <c r="BQ17" s="44"/>
      <c r="BR17" s="44"/>
      <c r="BS17" s="44"/>
      <c r="BT17" s="44"/>
      <c r="BU17" s="44"/>
      <c r="BV17" s="44"/>
      <c r="BW17" s="45"/>
      <c r="BX17" s="43">
        <v>1407</v>
      </c>
      <c r="BY17" s="44"/>
      <c r="BZ17" s="44"/>
      <c r="CA17" s="44"/>
      <c r="CB17" s="44"/>
      <c r="CC17" s="44"/>
      <c r="CD17" s="44"/>
      <c r="CE17" s="44"/>
      <c r="CF17" s="44">
        <v>45</v>
      </c>
      <c r="CG17" s="44"/>
      <c r="CH17" s="44"/>
      <c r="CI17" s="44"/>
      <c r="CJ17" s="44"/>
      <c r="CK17" s="44"/>
      <c r="CL17" s="48">
        <v>299</v>
      </c>
      <c r="CM17" s="44"/>
      <c r="CN17" s="44">
        <v>1382</v>
      </c>
      <c r="CO17" s="44"/>
      <c r="CP17" s="44"/>
      <c r="CQ17" s="44"/>
      <c r="CR17" s="44"/>
      <c r="CS17" s="44"/>
      <c r="CT17" s="44"/>
      <c r="CU17" s="45"/>
      <c r="CV17" s="43">
        <v>1382</v>
      </c>
      <c r="CW17" s="44"/>
      <c r="CX17" s="44"/>
      <c r="CY17" s="44"/>
      <c r="CZ17" s="44"/>
      <c r="DA17" s="44"/>
      <c r="DB17" s="44"/>
      <c r="DC17" s="44"/>
      <c r="DD17" s="44">
        <v>1382</v>
      </c>
      <c r="DE17" s="44"/>
      <c r="DF17" s="44"/>
      <c r="DG17" s="44"/>
      <c r="DH17" s="44"/>
      <c r="DI17" s="44"/>
      <c r="DJ17" s="44"/>
      <c r="DK17" s="44"/>
      <c r="DL17" s="44">
        <v>1382</v>
      </c>
      <c r="DM17" s="44"/>
      <c r="DN17" s="44"/>
      <c r="DO17" s="44"/>
      <c r="DP17" s="44"/>
      <c r="DQ17" s="44"/>
      <c r="DR17" s="44"/>
      <c r="DS17" s="45"/>
      <c r="DT17" s="43">
        <v>1382</v>
      </c>
      <c r="DU17" s="44"/>
      <c r="DV17" s="44"/>
      <c r="DW17" s="44"/>
      <c r="DX17" s="44"/>
      <c r="DY17" s="44"/>
      <c r="DZ17" s="44"/>
      <c r="EA17" s="44"/>
      <c r="EB17" s="44">
        <v>1382</v>
      </c>
      <c r="EC17" s="44"/>
      <c r="ED17" s="44"/>
      <c r="EE17" s="44"/>
      <c r="EF17" s="44"/>
      <c r="EG17" s="44"/>
      <c r="EH17" s="44"/>
      <c r="EI17" s="44"/>
      <c r="EJ17" s="44">
        <v>1382</v>
      </c>
      <c r="EK17" s="44"/>
      <c r="EL17" s="44"/>
      <c r="EM17" s="44"/>
      <c r="EN17" s="44"/>
      <c r="EO17" s="44"/>
      <c r="EP17" s="44"/>
      <c r="EQ17" s="45"/>
      <c r="ER17" s="43">
        <v>27</v>
      </c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  <c r="FK17" s="44"/>
      <c r="FL17" s="44"/>
      <c r="FM17" s="44"/>
      <c r="FN17" s="44"/>
      <c r="FO17" s="45"/>
      <c r="FP17" s="37"/>
      <c r="FQ17" s="37"/>
      <c r="FR17" s="37"/>
      <c r="FS17" s="37"/>
      <c r="FT17" s="37"/>
    </row>
    <row r="18" spans="1:176" s="3" customFormat="1" ht="60" customHeight="1" x14ac:dyDescent="0.35">
      <c r="A18" s="43" t="s">
        <v>28</v>
      </c>
      <c r="B18" s="44"/>
      <c r="C18" s="44"/>
      <c r="D18" s="33">
        <v>3015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5"/>
      <c r="AB18" s="33">
        <v>4044</v>
      </c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5"/>
      <c r="AZ18" s="33">
        <v>4221</v>
      </c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5"/>
      <c r="BX18" s="33">
        <v>3133</v>
      </c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5"/>
      <c r="CV18" s="33">
        <v>4146</v>
      </c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5"/>
      <c r="DT18" s="33">
        <v>4146</v>
      </c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5"/>
      <c r="ER18" s="33">
        <v>27</v>
      </c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5"/>
      <c r="FP18" s="37"/>
      <c r="FQ18" s="37"/>
      <c r="FR18" s="37"/>
      <c r="FS18" s="37"/>
      <c r="FT18" s="37"/>
    </row>
    <row r="19" spans="1:176" s="3" customFormat="1" ht="60" customHeight="1" x14ac:dyDescent="0.35">
      <c r="A19" s="43" t="s">
        <v>36</v>
      </c>
      <c r="B19" s="44"/>
      <c r="C19" s="44"/>
      <c r="D19" s="93" t="s">
        <v>39</v>
      </c>
      <c r="E19" s="44"/>
      <c r="F19" s="44"/>
      <c r="G19" s="44"/>
      <c r="H19" s="44"/>
      <c r="I19" s="44"/>
      <c r="J19" s="44"/>
      <c r="K19" s="44"/>
      <c r="L19" s="61" t="s">
        <v>39</v>
      </c>
      <c r="M19" s="44"/>
      <c r="N19" s="44"/>
      <c r="O19" s="44"/>
      <c r="P19" s="44"/>
      <c r="Q19" s="44"/>
      <c r="R19" s="44"/>
      <c r="S19" s="44"/>
      <c r="T19" s="61" t="s">
        <v>39</v>
      </c>
      <c r="U19" s="44"/>
      <c r="V19" s="44"/>
      <c r="W19" s="44"/>
      <c r="X19" s="44"/>
      <c r="Y19" s="44"/>
      <c r="Z19" s="44"/>
      <c r="AA19" s="45"/>
      <c r="AB19" s="93" t="s">
        <v>39</v>
      </c>
      <c r="AC19" s="44"/>
      <c r="AD19" s="44"/>
      <c r="AE19" s="44"/>
      <c r="AF19" s="44"/>
      <c r="AG19" s="44"/>
      <c r="AH19" s="44" t="s">
        <v>31</v>
      </c>
      <c r="AI19" s="44"/>
      <c r="AJ19" s="44" t="s">
        <v>31</v>
      </c>
      <c r="AK19" s="44"/>
      <c r="AL19" s="44"/>
      <c r="AM19" s="44"/>
      <c r="AN19" s="44"/>
      <c r="AO19" s="44"/>
      <c r="AP19" s="91" t="s">
        <v>103</v>
      </c>
      <c r="AQ19" s="44"/>
      <c r="AR19" s="91" t="s">
        <v>103</v>
      </c>
      <c r="AS19" s="44"/>
      <c r="AT19" s="44"/>
      <c r="AU19" s="44"/>
      <c r="AV19" s="44"/>
      <c r="AW19" s="44"/>
      <c r="AX19" s="44"/>
      <c r="AY19" s="45"/>
      <c r="AZ19" s="92" t="s">
        <v>103</v>
      </c>
      <c r="BA19" s="44"/>
      <c r="BB19" s="44"/>
      <c r="BC19" s="44"/>
      <c r="BD19" s="44"/>
      <c r="BE19" s="44"/>
      <c r="BF19" s="44"/>
      <c r="BG19" s="44"/>
      <c r="BH19" s="91" t="s">
        <v>103</v>
      </c>
      <c r="BI19" s="44"/>
      <c r="BJ19" s="44"/>
      <c r="BK19" s="44"/>
      <c r="BL19" s="44"/>
      <c r="BM19" s="44"/>
      <c r="BN19" s="44"/>
      <c r="BO19" s="44"/>
      <c r="BP19" s="91" t="s">
        <v>103</v>
      </c>
      <c r="BQ19" s="44"/>
      <c r="BR19" s="44"/>
      <c r="BS19" s="44"/>
      <c r="BT19" s="44"/>
      <c r="BU19" s="44"/>
      <c r="BV19" s="44"/>
      <c r="BW19" s="45"/>
      <c r="BX19" s="92" t="s">
        <v>103</v>
      </c>
      <c r="BY19" s="44"/>
      <c r="BZ19" s="44"/>
      <c r="CA19" s="44"/>
      <c r="CB19" s="44"/>
      <c r="CC19" s="44"/>
      <c r="CD19" s="44"/>
      <c r="CE19" s="44" t="s">
        <v>31</v>
      </c>
      <c r="CF19" s="44" t="s">
        <v>31</v>
      </c>
      <c r="CG19" s="44"/>
      <c r="CH19" s="44"/>
      <c r="CI19" s="44"/>
      <c r="CJ19" s="44"/>
      <c r="CK19" s="44"/>
      <c r="CL19" s="44"/>
      <c r="CM19" s="44"/>
      <c r="CN19" s="44" t="s">
        <v>31</v>
      </c>
      <c r="CO19" s="44"/>
      <c r="CP19" s="44"/>
      <c r="CQ19" s="53" t="s">
        <v>104</v>
      </c>
      <c r="CR19" s="44"/>
      <c r="CS19" s="44"/>
      <c r="CT19" s="44"/>
      <c r="CU19" s="45"/>
      <c r="CV19" s="65" t="s">
        <v>104</v>
      </c>
      <c r="CW19" s="44"/>
      <c r="CX19" s="44"/>
      <c r="CY19" s="44"/>
      <c r="CZ19" s="44"/>
      <c r="DA19" s="44"/>
      <c r="DB19" s="44"/>
      <c r="DC19" s="44"/>
      <c r="DD19" s="53" t="s">
        <v>104</v>
      </c>
      <c r="DE19" s="44"/>
      <c r="DF19" s="44"/>
      <c r="DG19" s="44"/>
      <c r="DH19" s="44"/>
      <c r="DI19" s="44"/>
      <c r="DJ19" s="44"/>
      <c r="DK19" s="44"/>
      <c r="DL19" s="53" t="s">
        <v>104</v>
      </c>
      <c r="DM19" s="44"/>
      <c r="DN19" s="44"/>
      <c r="DO19" s="44"/>
      <c r="DP19" s="44"/>
      <c r="DQ19" s="44"/>
      <c r="DR19" s="44"/>
      <c r="DS19" s="45"/>
      <c r="DT19" s="65" t="s">
        <v>104</v>
      </c>
      <c r="DU19" s="44"/>
      <c r="DV19" s="44"/>
      <c r="DW19" s="44"/>
      <c r="DX19" s="44"/>
      <c r="DY19" s="44"/>
      <c r="DZ19" s="44"/>
      <c r="EA19" s="44"/>
      <c r="EB19" s="53" t="s">
        <v>104</v>
      </c>
      <c r="EC19" s="44"/>
      <c r="ED19" s="44"/>
      <c r="EE19" s="44"/>
      <c r="EF19" s="44" t="s">
        <v>31</v>
      </c>
      <c r="EG19" s="44"/>
      <c r="EH19" s="58" t="s">
        <v>105</v>
      </c>
      <c r="EI19" s="44"/>
      <c r="EJ19" s="58" t="s">
        <v>105</v>
      </c>
      <c r="EK19" s="44"/>
      <c r="EL19" s="44"/>
      <c r="EM19" s="44"/>
      <c r="EN19" s="44"/>
      <c r="EO19" s="44"/>
      <c r="EP19" s="44"/>
      <c r="EQ19" s="45"/>
      <c r="ER19" s="57" t="s">
        <v>105</v>
      </c>
      <c r="ES19" s="44"/>
      <c r="ET19" s="44"/>
      <c r="EU19" s="44"/>
      <c r="EV19" s="44"/>
      <c r="EW19" s="44"/>
      <c r="EX19" s="44"/>
      <c r="EY19" s="44"/>
      <c r="EZ19" s="58" t="s">
        <v>105</v>
      </c>
      <c r="FA19" s="44"/>
      <c r="FB19" s="44"/>
      <c r="FC19" s="44"/>
      <c r="FD19" s="44"/>
      <c r="FE19" s="44"/>
      <c r="FF19" s="44" t="s">
        <v>31</v>
      </c>
      <c r="FG19" s="44"/>
      <c r="FH19" s="44" t="s">
        <v>31</v>
      </c>
      <c r="FI19" s="44"/>
      <c r="FJ19" s="44"/>
      <c r="FK19" s="44"/>
      <c r="FL19" s="44"/>
      <c r="FM19" s="44"/>
      <c r="FN19" s="53" t="s">
        <v>32</v>
      </c>
      <c r="FO19" s="45"/>
      <c r="FP19" s="36">
        <v>17943</v>
      </c>
      <c r="FQ19" s="37"/>
      <c r="FR19" s="37"/>
      <c r="FS19" s="37"/>
      <c r="FT19" s="37"/>
    </row>
    <row r="20" spans="1:176" s="3" customFormat="1" ht="109.95" customHeight="1" x14ac:dyDescent="0.35">
      <c r="A20" s="43" t="s">
        <v>25</v>
      </c>
      <c r="B20" s="44"/>
      <c r="C20" s="44"/>
      <c r="D20" s="43" t="s">
        <v>35</v>
      </c>
      <c r="E20" s="44"/>
      <c r="F20" s="44"/>
      <c r="G20" s="44"/>
      <c r="H20" s="44"/>
      <c r="I20" s="44"/>
      <c r="J20" s="44"/>
      <c r="K20" s="44"/>
      <c r="L20" s="44" t="s">
        <v>35</v>
      </c>
      <c r="M20" s="44"/>
      <c r="N20" s="44"/>
      <c r="O20" s="44"/>
      <c r="P20" s="44"/>
      <c r="Q20" s="44"/>
      <c r="R20" s="44"/>
      <c r="S20" s="44"/>
      <c r="T20" s="44" t="s">
        <v>35</v>
      </c>
      <c r="U20" s="44"/>
      <c r="V20" s="44"/>
      <c r="W20" s="44"/>
      <c r="X20" s="44"/>
      <c r="Y20" s="44"/>
      <c r="Z20" s="44"/>
      <c r="AA20" s="45"/>
      <c r="AB20" s="43" t="s">
        <v>35</v>
      </c>
      <c r="AC20" s="44"/>
      <c r="AD20" s="44"/>
      <c r="AE20" s="44"/>
      <c r="AF20" s="44"/>
      <c r="AG20" s="44"/>
      <c r="AH20" s="56" t="s">
        <v>48</v>
      </c>
      <c r="AI20" s="44"/>
      <c r="AJ20" s="56" t="s">
        <v>48</v>
      </c>
      <c r="AK20" s="44"/>
      <c r="AL20" s="44"/>
      <c r="AM20" s="44"/>
      <c r="AN20" s="44"/>
      <c r="AO20" s="44"/>
      <c r="AP20" s="48" t="s">
        <v>106</v>
      </c>
      <c r="AQ20" s="44"/>
      <c r="AR20" s="44" t="s">
        <v>106</v>
      </c>
      <c r="AS20" s="44"/>
      <c r="AT20" s="44"/>
      <c r="AU20" s="44"/>
      <c r="AV20" s="44"/>
      <c r="AW20" s="44"/>
      <c r="AX20" s="44"/>
      <c r="AY20" s="45"/>
      <c r="AZ20" s="43" t="s">
        <v>106</v>
      </c>
      <c r="BA20" s="44"/>
      <c r="BB20" s="44"/>
      <c r="BC20" s="44"/>
      <c r="BD20" s="44"/>
      <c r="BE20" s="44"/>
      <c r="BF20" s="44"/>
      <c r="BG20" s="44"/>
      <c r="BH20" s="44" t="s">
        <v>106</v>
      </c>
      <c r="BI20" s="44"/>
      <c r="BJ20" s="44"/>
      <c r="BK20" s="44"/>
      <c r="BL20" s="44"/>
      <c r="BM20" s="44"/>
      <c r="BN20" s="44"/>
      <c r="BO20" s="44"/>
      <c r="BP20" s="44" t="s">
        <v>106</v>
      </c>
      <c r="BQ20" s="44"/>
      <c r="BR20" s="44"/>
      <c r="BS20" s="44"/>
      <c r="BT20" s="44"/>
      <c r="BU20" s="44"/>
      <c r="BV20" s="44"/>
      <c r="BW20" s="45"/>
      <c r="BX20" s="43" t="s">
        <v>106</v>
      </c>
      <c r="BY20" s="44"/>
      <c r="BZ20" s="44"/>
      <c r="CA20" s="44"/>
      <c r="CB20" s="44"/>
      <c r="CC20" s="44"/>
      <c r="CD20" s="44"/>
      <c r="CE20" s="56" t="s">
        <v>40</v>
      </c>
      <c r="CF20" s="56" t="s">
        <v>40</v>
      </c>
      <c r="CG20" s="44"/>
      <c r="CH20" s="44"/>
      <c r="CI20" s="44"/>
      <c r="CJ20" s="44"/>
      <c r="CK20" s="44"/>
      <c r="CL20" s="44"/>
      <c r="CM20" s="44"/>
      <c r="CN20" s="56" t="s">
        <v>40</v>
      </c>
      <c r="CO20" s="44"/>
      <c r="CP20" s="44"/>
      <c r="CQ20" s="48" t="s">
        <v>106</v>
      </c>
      <c r="CR20" s="44"/>
      <c r="CS20" s="44"/>
      <c r="CT20" s="44"/>
      <c r="CU20" s="45"/>
      <c r="CV20" s="43" t="s">
        <v>106</v>
      </c>
      <c r="CW20" s="44"/>
      <c r="CX20" s="44"/>
      <c r="CY20" s="44"/>
      <c r="CZ20" s="44"/>
      <c r="DA20" s="44"/>
      <c r="DB20" s="44"/>
      <c r="DC20" s="44"/>
      <c r="DD20" s="44" t="s">
        <v>106</v>
      </c>
      <c r="DE20" s="44"/>
      <c r="DF20" s="44"/>
      <c r="DG20" s="44"/>
      <c r="DH20" s="44"/>
      <c r="DI20" s="44"/>
      <c r="DJ20" s="44"/>
      <c r="DK20" s="44"/>
      <c r="DL20" s="44" t="s">
        <v>106</v>
      </c>
      <c r="DM20" s="44"/>
      <c r="DN20" s="44"/>
      <c r="DO20" s="44"/>
      <c r="DP20" s="44"/>
      <c r="DQ20" s="44"/>
      <c r="DR20" s="44"/>
      <c r="DS20" s="45"/>
      <c r="DT20" s="43" t="s">
        <v>106</v>
      </c>
      <c r="DU20" s="44"/>
      <c r="DV20" s="44"/>
      <c r="DW20" s="44"/>
      <c r="DX20" s="44"/>
      <c r="DY20" s="44"/>
      <c r="DZ20" s="44"/>
      <c r="EA20" s="44"/>
      <c r="EB20" s="48" t="s">
        <v>106</v>
      </c>
      <c r="EC20" s="44"/>
      <c r="ED20" s="44"/>
      <c r="EE20" s="44"/>
      <c r="EF20" s="49" t="s">
        <v>34</v>
      </c>
      <c r="EG20" s="44"/>
      <c r="EH20" s="48" t="s">
        <v>106</v>
      </c>
      <c r="EI20" s="44"/>
      <c r="EJ20" s="44" t="s">
        <v>106</v>
      </c>
      <c r="EK20" s="44"/>
      <c r="EL20" s="44"/>
      <c r="EM20" s="44"/>
      <c r="EN20" s="44"/>
      <c r="EO20" s="44"/>
      <c r="EP20" s="44"/>
      <c r="EQ20" s="45"/>
      <c r="ER20" s="43" t="s">
        <v>106</v>
      </c>
      <c r="ES20" s="44"/>
      <c r="ET20" s="44"/>
      <c r="EU20" s="44"/>
      <c r="EV20" s="44"/>
      <c r="EW20" s="44"/>
      <c r="EX20" s="44"/>
      <c r="EY20" s="44"/>
      <c r="EZ20" s="44" t="s">
        <v>106</v>
      </c>
      <c r="FA20" s="44"/>
      <c r="FB20" s="44"/>
      <c r="FC20" s="44"/>
      <c r="FD20" s="44"/>
      <c r="FE20" s="44"/>
      <c r="FF20" s="56" t="s">
        <v>48</v>
      </c>
      <c r="FG20" s="44"/>
      <c r="FH20" s="56" t="s">
        <v>48</v>
      </c>
      <c r="FI20" s="44"/>
      <c r="FJ20" s="44"/>
      <c r="FK20" s="44"/>
      <c r="FL20" s="44"/>
      <c r="FM20" s="44"/>
      <c r="FN20" s="48" t="s">
        <v>35</v>
      </c>
      <c r="FO20" s="45"/>
      <c r="FP20" s="37"/>
      <c r="FQ20" s="37"/>
      <c r="FR20" s="37"/>
      <c r="FS20" s="37"/>
      <c r="FT20" s="37"/>
    </row>
    <row r="21" spans="1:176" s="3" customFormat="1" ht="60" customHeight="1" x14ac:dyDescent="0.35">
      <c r="A21" s="43" t="s">
        <v>27</v>
      </c>
      <c r="B21" s="44"/>
      <c r="C21" s="44"/>
      <c r="D21" s="43">
        <v>1236</v>
      </c>
      <c r="E21" s="44"/>
      <c r="F21" s="44"/>
      <c r="G21" s="44"/>
      <c r="H21" s="44"/>
      <c r="I21" s="44"/>
      <c r="J21" s="44"/>
      <c r="K21" s="44"/>
      <c r="L21" s="44">
        <v>1236</v>
      </c>
      <c r="M21" s="44"/>
      <c r="N21" s="44"/>
      <c r="O21" s="44"/>
      <c r="P21" s="44"/>
      <c r="Q21" s="44"/>
      <c r="R21" s="44"/>
      <c r="S21" s="44"/>
      <c r="T21" s="44">
        <v>1236</v>
      </c>
      <c r="U21" s="44"/>
      <c r="V21" s="44"/>
      <c r="W21" s="44"/>
      <c r="X21" s="44"/>
      <c r="Y21" s="44"/>
      <c r="Z21" s="44"/>
      <c r="AA21" s="45"/>
      <c r="AB21" s="43">
        <v>970</v>
      </c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8">
        <v>210</v>
      </c>
      <c r="AQ21" s="44"/>
      <c r="AR21" s="44">
        <v>979</v>
      </c>
      <c r="AS21" s="44"/>
      <c r="AT21" s="44"/>
      <c r="AU21" s="44"/>
      <c r="AV21" s="44"/>
      <c r="AW21" s="44"/>
      <c r="AX21" s="44"/>
      <c r="AY21" s="45"/>
      <c r="AZ21" s="43">
        <v>979</v>
      </c>
      <c r="BA21" s="44"/>
      <c r="BB21" s="44"/>
      <c r="BC21" s="44"/>
      <c r="BD21" s="44"/>
      <c r="BE21" s="44"/>
      <c r="BF21" s="44"/>
      <c r="BG21" s="44"/>
      <c r="BH21" s="44">
        <v>979</v>
      </c>
      <c r="BI21" s="44"/>
      <c r="BJ21" s="44"/>
      <c r="BK21" s="44"/>
      <c r="BL21" s="44"/>
      <c r="BM21" s="44"/>
      <c r="BN21" s="44"/>
      <c r="BO21" s="44"/>
      <c r="BP21" s="44">
        <v>979</v>
      </c>
      <c r="BQ21" s="44"/>
      <c r="BR21" s="44"/>
      <c r="BS21" s="44"/>
      <c r="BT21" s="44"/>
      <c r="BU21" s="44"/>
      <c r="BV21" s="44"/>
      <c r="BW21" s="45"/>
      <c r="BX21" s="43">
        <v>874</v>
      </c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8">
        <v>596</v>
      </c>
      <c r="CR21" s="44"/>
      <c r="CS21" s="44"/>
      <c r="CT21" s="44"/>
      <c r="CU21" s="45"/>
      <c r="CV21" s="43">
        <v>979</v>
      </c>
      <c r="CW21" s="44"/>
      <c r="CX21" s="44"/>
      <c r="CY21" s="44"/>
      <c r="CZ21" s="44"/>
      <c r="DA21" s="44"/>
      <c r="DB21" s="44"/>
      <c r="DC21" s="44"/>
      <c r="DD21" s="44">
        <v>979</v>
      </c>
      <c r="DE21" s="44"/>
      <c r="DF21" s="44"/>
      <c r="DG21" s="44"/>
      <c r="DH21" s="44"/>
      <c r="DI21" s="44"/>
      <c r="DJ21" s="44"/>
      <c r="DK21" s="44"/>
      <c r="DL21" s="44">
        <v>979</v>
      </c>
      <c r="DM21" s="44"/>
      <c r="DN21" s="44"/>
      <c r="DO21" s="44"/>
      <c r="DP21" s="44"/>
      <c r="DQ21" s="44"/>
      <c r="DR21" s="44"/>
      <c r="DS21" s="45"/>
      <c r="DT21" s="43">
        <v>979</v>
      </c>
      <c r="DU21" s="44"/>
      <c r="DV21" s="44"/>
      <c r="DW21" s="44"/>
      <c r="DX21" s="44"/>
      <c r="DY21" s="44"/>
      <c r="DZ21" s="44"/>
      <c r="EA21" s="44"/>
      <c r="EB21" s="48">
        <v>488</v>
      </c>
      <c r="EC21" s="44"/>
      <c r="ED21" s="44"/>
      <c r="EE21" s="44"/>
      <c r="EF21" s="48"/>
      <c r="EG21" s="44"/>
      <c r="EH21" s="48">
        <v>247</v>
      </c>
      <c r="EI21" s="44"/>
      <c r="EJ21" s="44">
        <v>979</v>
      </c>
      <c r="EK21" s="44"/>
      <c r="EL21" s="44"/>
      <c r="EM21" s="44"/>
      <c r="EN21" s="44"/>
      <c r="EO21" s="44"/>
      <c r="EP21" s="44"/>
      <c r="EQ21" s="45"/>
      <c r="ER21" s="43">
        <v>979</v>
      </c>
      <c r="ES21" s="44"/>
      <c r="ET21" s="44"/>
      <c r="EU21" s="44"/>
      <c r="EV21" s="44"/>
      <c r="EW21" s="44"/>
      <c r="EX21" s="44"/>
      <c r="EY21" s="44"/>
      <c r="EZ21" s="44">
        <v>795</v>
      </c>
      <c r="FA21" s="44"/>
      <c r="FB21" s="44"/>
      <c r="FC21" s="44"/>
      <c r="FD21" s="44"/>
      <c r="FE21" s="44"/>
      <c r="FF21" s="44"/>
      <c r="FG21" s="44"/>
      <c r="FH21" s="44"/>
      <c r="FI21" s="44"/>
      <c r="FJ21" s="44"/>
      <c r="FK21" s="44"/>
      <c r="FL21" s="44"/>
      <c r="FM21" s="44"/>
      <c r="FN21" s="48">
        <v>265</v>
      </c>
      <c r="FO21" s="45"/>
      <c r="FP21" s="37"/>
      <c r="FQ21" s="37"/>
      <c r="FR21" s="37"/>
      <c r="FS21" s="37"/>
      <c r="FT21" s="37"/>
    </row>
    <row r="22" spans="1:176" s="3" customFormat="1" ht="60" customHeight="1" x14ac:dyDescent="0.35">
      <c r="A22" s="43" t="s">
        <v>28</v>
      </c>
      <c r="B22" s="44"/>
      <c r="C22" s="44"/>
      <c r="D22" s="33">
        <v>3708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5"/>
      <c r="AB22" s="33">
        <v>2159</v>
      </c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5"/>
      <c r="AZ22" s="33">
        <v>2937</v>
      </c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5"/>
      <c r="BX22" s="33">
        <v>1470</v>
      </c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5"/>
      <c r="CV22" s="33">
        <v>2937</v>
      </c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5"/>
      <c r="DT22" s="33">
        <v>2693</v>
      </c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5"/>
      <c r="ER22" s="33">
        <v>2039</v>
      </c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5"/>
      <c r="FP22" s="37"/>
      <c r="FQ22" s="37"/>
      <c r="FR22" s="37"/>
      <c r="FS22" s="37"/>
      <c r="FT22" s="37"/>
    </row>
    <row r="23" spans="1:176" s="3" customFormat="1" ht="60" customHeight="1" x14ac:dyDescent="0.35">
      <c r="A23" s="43" t="s">
        <v>41</v>
      </c>
      <c r="B23" s="44"/>
      <c r="C23" s="44"/>
      <c r="D23" s="43" t="s">
        <v>31</v>
      </c>
      <c r="E23" s="44"/>
      <c r="F23" s="44"/>
      <c r="G23" s="44"/>
      <c r="H23" s="44"/>
      <c r="I23" s="44"/>
      <c r="J23" s="44"/>
      <c r="K23" s="44"/>
      <c r="L23" s="44" t="s">
        <v>31</v>
      </c>
      <c r="M23" s="44"/>
      <c r="N23" s="44"/>
      <c r="O23" s="44"/>
      <c r="P23" s="44"/>
      <c r="Q23" s="44" t="s">
        <v>31</v>
      </c>
      <c r="R23" s="89" t="s">
        <v>107</v>
      </c>
      <c r="S23" s="44"/>
      <c r="T23" s="89" t="s">
        <v>107</v>
      </c>
      <c r="U23" s="44"/>
      <c r="V23" s="44"/>
      <c r="W23" s="44"/>
      <c r="X23" s="44"/>
      <c r="Y23" s="44"/>
      <c r="Z23" s="44"/>
      <c r="AA23" s="45"/>
      <c r="AB23" s="90" t="s">
        <v>107</v>
      </c>
      <c r="AC23" s="44"/>
      <c r="AD23" s="44"/>
      <c r="AE23" s="44"/>
      <c r="AF23" s="44"/>
      <c r="AG23" s="44"/>
      <c r="AH23" s="44"/>
      <c r="AI23" s="44"/>
      <c r="AJ23" s="89" t="s">
        <v>107</v>
      </c>
      <c r="AK23" s="44"/>
      <c r="AL23" s="44"/>
      <c r="AM23" s="44"/>
      <c r="AN23" s="44"/>
      <c r="AO23" s="44"/>
      <c r="AP23" s="44"/>
      <c r="AQ23" s="44"/>
      <c r="AR23" s="89" t="s">
        <v>107</v>
      </c>
      <c r="AS23" s="44"/>
      <c r="AT23" s="44"/>
      <c r="AU23" s="44"/>
      <c r="AV23" s="44"/>
      <c r="AW23" s="44"/>
      <c r="AX23" s="44"/>
      <c r="AY23" s="45"/>
      <c r="AZ23" s="90" t="s">
        <v>107</v>
      </c>
      <c r="BA23" s="44"/>
      <c r="BB23" s="44"/>
      <c r="BC23" s="44"/>
      <c r="BD23" s="44"/>
      <c r="BE23" s="44"/>
      <c r="BF23" s="44" t="s">
        <v>31</v>
      </c>
      <c r="BG23" s="91" t="s">
        <v>108</v>
      </c>
      <c r="BH23" s="91" t="s">
        <v>108</v>
      </c>
      <c r="BI23" s="44"/>
      <c r="BJ23" s="44"/>
      <c r="BK23" s="44"/>
      <c r="BL23" s="44"/>
      <c r="BM23" s="44"/>
      <c r="BN23" s="44"/>
      <c r="BO23" s="44"/>
      <c r="BP23" s="91" t="s">
        <v>108</v>
      </c>
      <c r="BQ23" s="44"/>
      <c r="BR23" s="44"/>
      <c r="BS23" s="44"/>
      <c r="BT23" s="44"/>
      <c r="BU23" s="44"/>
      <c r="BV23" s="44"/>
      <c r="BW23" s="45"/>
      <c r="BX23" s="92" t="s">
        <v>108</v>
      </c>
      <c r="BY23" s="44"/>
      <c r="BZ23" s="44"/>
      <c r="CA23" s="44"/>
      <c r="CB23" s="44"/>
      <c r="CC23" s="44"/>
      <c r="CD23" s="44"/>
      <c r="CE23" s="44"/>
      <c r="CF23" s="91" t="s">
        <v>108</v>
      </c>
      <c r="CG23" s="44"/>
      <c r="CH23" s="44"/>
      <c r="CI23" s="44"/>
      <c r="CJ23" s="44"/>
      <c r="CK23" s="44"/>
      <c r="CL23" s="44"/>
      <c r="CM23" s="44"/>
      <c r="CN23" s="91" t="s">
        <v>108</v>
      </c>
      <c r="CO23" s="44"/>
      <c r="CP23" s="44"/>
      <c r="CQ23" s="44"/>
      <c r="CR23" s="44"/>
      <c r="CS23" s="44"/>
      <c r="CT23" s="44"/>
      <c r="CU23" s="45"/>
      <c r="CV23" s="92" t="s">
        <v>108</v>
      </c>
      <c r="CW23" s="44"/>
      <c r="CX23" s="44"/>
      <c r="CY23" s="44"/>
      <c r="CZ23" s="44"/>
      <c r="DA23" s="44"/>
      <c r="DB23" s="44"/>
      <c r="DC23" s="44"/>
      <c r="DD23" s="91" t="s">
        <v>108</v>
      </c>
      <c r="DE23" s="44"/>
      <c r="DF23" s="44"/>
      <c r="DG23" s="44"/>
      <c r="DH23" s="44"/>
      <c r="DI23" s="44" t="s">
        <v>31</v>
      </c>
      <c r="DJ23" s="44"/>
      <c r="DK23" s="44"/>
      <c r="DL23" s="44" t="s">
        <v>31</v>
      </c>
      <c r="DM23" s="44"/>
      <c r="DN23" s="44"/>
      <c r="DO23" s="44"/>
      <c r="DP23" s="44"/>
      <c r="DQ23" s="53" t="s">
        <v>109</v>
      </c>
      <c r="DR23" s="44"/>
      <c r="DS23" s="45"/>
      <c r="DT23" s="65" t="s">
        <v>109</v>
      </c>
      <c r="DU23" s="44"/>
      <c r="DV23" s="44"/>
      <c r="DW23" s="44"/>
      <c r="DX23" s="44"/>
      <c r="DY23" s="44"/>
      <c r="DZ23" s="44"/>
      <c r="EA23" s="44"/>
      <c r="EB23" s="53" t="s">
        <v>109</v>
      </c>
      <c r="EC23" s="44"/>
      <c r="ED23" s="44"/>
      <c r="EE23" s="44"/>
      <c r="EF23" s="44" t="s">
        <v>31</v>
      </c>
      <c r="EG23" s="44"/>
      <c r="EH23" s="44"/>
      <c r="EI23" s="44"/>
      <c r="EJ23" s="44" t="s">
        <v>31</v>
      </c>
      <c r="EK23" s="44"/>
      <c r="EL23" s="44"/>
      <c r="EM23" s="44"/>
      <c r="EN23" s="44"/>
      <c r="EO23" s="44"/>
      <c r="EP23" s="44"/>
      <c r="EQ23" s="45"/>
      <c r="ER23" s="43" t="s">
        <v>31</v>
      </c>
      <c r="ES23" s="44"/>
      <c r="ET23" s="44"/>
      <c r="EU23" s="44"/>
      <c r="EV23" s="44"/>
      <c r="EW23" s="44"/>
      <c r="EX23" s="44"/>
      <c r="EY23" s="44"/>
      <c r="EZ23" s="44" t="s">
        <v>31</v>
      </c>
      <c r="FA23" s="53" t="s">
        <v>110</v>
      </c>
      <c r="FB23" s="44"/>
      <c r="FC23" s="44"/>
      <c r="FD23" s="44"/>
      <c r="FE23" s="44"/>
      <c r="FF23" s="44"/>
      <c r="FG23" s="44"/>
      <c r="FH23" s="53" t="s">
        <v>110</v>
      </c>
      <c r="FI23" s="44"/>
      <c r="FJ23" s="44"/>
      <c r="FK23" s="44"/>
      <c r="FL23" s="44"/>
      <c r="FM23" s="44"/>
      <c r="FN23" s="44"/>
      <c r="FO23" s="45"/>
      <c r="FP23" s="36">
        <v>14717</v>
      </c>
      <c r="FQ23" s="37"/>
      <c r="FR23" s="37"/>
      <c r="FS23" s="37"/>
      <c r="FT23" s="37"/>
    </row>
    <row r="24" spans="1:176" s="3" customFormat="1" ht="109.95" customHeight="1" x14ac:dyDescent="0.35">
      <c r="A24" s="43" t="s">
        <v>25</v>
      </c>
      <c r="B24" s="44"/>
      <c r="C24" s="44"/>
      <c r="D24" s="50" t="s">
        <v>49</v>
      </c>
      <c r="E24" s="44"/>
      <c r="F24" s="44"/>
      <c r="G24" s="44"/>
      <c r="H24" s="44"/>
      <c r="I24" s="44"/>
      <c r="J24" s="44"/>
      <c r="K24" s="44"/>
      <c r="L24" s="47" t="s">
        <v>49</v>
      </c>
      <c r="M24" s="44"/>
      <c r="N24" s="44"/>
      <c r="O24" s="44"/>
      <c r="P24" s="44"/>
      <c r="Q24" s="49" t="s">
        <v>46</v>
      </c>
      <c r="R24" s="48" t="s">
        <v>111</v>
      </c>
      <c r="S24" s="44"/>
      <c r="T24" s="44" t="s">
        <v>111</v>
      </c>
      <c r="U24" s="44"/>
      <c r="V24" s="44"/>
      <c r="W24" s="44"/>
      <c r="X24" s="44"/>
      <c r="Y24" s="44"/>
      <c r="Z24" s="44"/>
      <c r="AA24" s="45"/>
      <c r="AB24" s="43" t="s">
        <v>111</v>
      </c>
      <c r="AC24" s="44"/>
      <c r="AD24" s="44"/>
      <c r="AE24" s="44"/>
      <c r="AF24" s="44"/>
      <c r="AG24" s="44"/>
      <c r="AH24" s="44"/>
      <c r="AI24" s="44"/>
      <c r="AJ24" s="44" t="s">
        <v>111</v>
      </c>
      <c r="AK24" s="44"/>
      <c r="AL24" s="44"/>
      <c r="AM24" s="44"/>
      <c r="AN24" s="44"/>
      <c r="AO24" s="44"/>
      <c r="AP24" s="44"/>
      <c r="AQ24" s="44"/>
      <c r="AR24" s="44" t="s">
        <v>111</v>
      </c>
      <c r="AS24" s="44"/>
      <c r="AT24" s="44"/>
      <c r="AU24" s="44"/>
      <c r="AV24" s="44"/>
      <c r="AW24" s="44"/>
      <c r="AX24" s="44"/>
      <c r="AY24" s="45"/>
      <c r="AZ24" s="43" t="s">
        <v>111</v>
      </c>
      <c r="BA24" s="44"/>
      <c r="BB24" s="44"/>
      <c r="BC24" s="44"/>
      <c r="BD24" s="44"/>
      <c r="BE24" s="44"/>
      <c r="BF24" s="49" t="s">
        <v>34</v>
      </c>
      <c r="BG24" s="48" t="s">
        <v>112</v>
      </c>
      <c r="BH24" s="44" t="s">
        <v>112</v>
      </c>
      <c r="BI24" s="44"/>
      <c r="BJ24" s="44"/>
      <c r="BK24" s="44"/>
      <c r="BL24" s="44"/>
      <c r="BM24" s="44"/>
      <c r="BN24" s="44"/>
      <c r="BO24" s="44"/>
      <c r="BP24" s="44" t="s">
        <v>112</v>
      </c>
      <c r="BQ24" s="44"/>
      <c r="BR24" s="44"/>
      <c r="BS24" s="44"/>
      <c r="BT24" s="44"/>
      <c r="BU24" s="44"/>
      <c r="BV24" s="44"/>
      <c r="BW24" s="45"/>
      <c r="BX24" s="43" t="s">
        <v>112</v>
      </c>
      <c r="BY24" s="44"/>
      <c r="BZ24" s="44"/>
      <c r="CA24" s="44"/>
      <c r="CB24" s="44"/>
      <c r="CC24" s="44"/>
      <c r="CD24" s="44"/>
      <c r="CE24" s="44"/>
      <c r="CF24" s="44" t="s">
        <v>112</v>
      </c>
      <c r="CG24" s="44"/>
      <c r="CH24" s="44"/>
      <c r="CI24" s="44"/>
      <c r="CJ24" s="44"/>
      <c r="CK24" s="44"/>
      <c r="CL24" s="44"/>
      <c r="CM24" s="44"/>
      <c r="CN24" s="44" t="s">
        <v>112</v>
      </c>
      <c r="CO24" s="44"/>
      <c r="CP24" s="44"/>
      <c r="CQ24" s="44"/>
      <c r="CR24" s="44"/>
      <c r="CS24" s="44"/>
      <c r="CT24" s="44"/>
      <c r="CU24" s="45"/>
      <c r="CV24" s="43" t="s">
        <v>112</v>
      </c>
      <c r="CW24" s="44"/>
      <c r="CX24" s="44"/>
      <c r="CY24" s="44"/>
      <c r="CZ24" s="44"/>
      <c r="DA24" s="44"/>
      <c r="DB24" s="44"/>
      <c r="DC24" s="44"/>
      <c r="DD24" s="48" t="s">
        <v>112</v>
      </c>
      <c r="DE24" s="44"/>
      <c r="DF24" s="44"/>
      <c r="DG24" s="44"/>
      <c r="DH24" s="44"/>
      <c r="DI24" s="56" t="s">
        <v>48</v>
      </c>
      <c r="DJ24" s="44"/>
      <c r="DK24" s="44"/>
      <c r="DL24" s="56" t="s">
        <v>48</v>
      </c>
      <c r="DM24" s="44"/>
      <c r="DN24" s="44"/>
      <c r="DO24" s="44"/>
      <c r="DP24" s="44"/>
      <c r="DQ24" s="48" t="s">
        <v>45</v>
      </c>
      <c r="DR24" s="44"/>
      <c r="DS24" s="45"/>
      <c r="DT24" s="43" t="s">
        <v>45</v>
      </c>
      <c r="DU24" s="44"/>
      <c r="DV24" s="44"/>
      <c r="DW24" s="44"/>
      <c r="DX24" s="44"/>
      <c r="DY24" s="44"/>
      <c r="DZ24" s="44"/>
      <c r="EA24" s="44"/>
      <c r="EB24" s="48" t="s">
        <v>45</v>
      </c>
      <c r="EC24" s="44"/>
      <c r="ED24" s="44"/>
      <c r="EE24" s="44"/>
      <c r="EF24" s="47" t="s">
        <v>49</v>
      </c>
      <c r="EG24" s="44"/>
      <c r="EH24" s="44"/>
      <c r="EI24" s="44"/>
      <c r="EJ24" s="47" t="s">
        <v>49</v>
      </c>
      <c r="EK24" s="44"/>
      <c r="EL24" s="44"/>
      <c r="EM24" s="44"/>
      <c r="EN24" s="44"/>
      <c r="EO24" s="44"/>
      <c r="EP24" s="44"/>
      <c r="EQ24" s="45"/>
      <c r="ER24" s="50" t="s">
        <v>49</v>
      </c>
      <c r="ES24" s="44"/>
      <c r="ET24" s="44"/>
      <c r="EU24" s="44"/>
      <c r="EV24" s="44"/>
      <c r="EW24" s="44"/>
      <c r="EX24" s="44"/>
      <c r="EY24" s="44"/>
      <c r="EZ24" s="47" t="s">
        <v>49</v>
      </c>
      <c r="FA24" s="44" t="s">
        <v>112</v>
      </c>
      <c r="FB24" s="44"/>
      <c r="FC24" s="44"/>
      <c r="FD24" s="44"/>
      <c r="FE24" s="44"/>
      <c r="FF24" s="44"/>
      <c r="FG24" s="44"/>
      <c r="FH24" s="44" t="s">
        <v>112</v>
      </c>
      <c r="FI24" s="44"/>
      <c r="FJ24" s="44"/>
      <c r="FK24" s="44"/>
      <c r="FL24" s="44"/>
      <c r="FM24" s="44"/>
      <c r="FN24" s="44"/>
      <c r="FO24" s="45"/>
      <c r="FP24" s="37"/>
      <c r="FQ24" s="37"/>
      <c r="FR24" s="37"/>
      <c r="FS24" s="37"/>
      <c r="FT24" s="37"/>
    </row>
    <row r="25" spans="1:176" s="3" customFormat="1" ht="60" customHeight="1" x14ac:dyDescent="0.35">
      <c r="A25" s="43" t="s">
        <v>27</v>
      </c>
      <c r="B25" s="44"/>
      <c r="C25" s="44"/>
      <c r="D25" s="43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8"/>
      <c r="R25" s="48">
        <v>235</v>
      </c>
      <c r="S25" s="44"/>
      <c r="T25" s="44">
        <v>930</v>
      </c>
      <c r="U25" s="44"/>
      <c r="V25" s="44"/>
      <c r="W25" s="44"/>
      <c r="X25" s="44"/>
      <c r="Y25" s="44"/>
      <c r="Z25" s="44"/>
      <c r="AA25" s="45"/>
      <c r="AB25" s="43">
        <v>930</v>
      </c>
      <c r="AC25" s="44"/>
      <c r="AD25" s="44"/>
      <c r="AE25" s="44"/>
      <c r="AF25" s="44"/>
      <c r="AG25" s="44"/>
      <c r="AH25" s="44"/>
      <c r="AI25" s="44"/>
      <c r="AJ25" s="44">
        <v>930</v>
      </c>
      <c r="AK25" s="44"/>
      <c r="AL25" s="44"/>
      <c r="AM25" s="44"/>
      <c r="AN25" s="44"/>
      <c r="AO25" s="44"/>
      <c r="AP25" s="44"/>
      <c r="AQ25" s="44"/>
      <c r="AR25" s="44">
        <v>930</v>
      </c>
      <c r="AS25" s="44"/>
      <c r="AT25" s="44"/>
      <c r="AU25" s="44"/>
      <c r="AV25" s="44"/>
      <c r="AW25" s="44"/>
      <c r="AX25" s="44"/>
      <c r="AY25" s="45"/>
      <c r="AZ25" s="43">
        <v>645</v>
      </c>
      <c r="BA25" s="44"/>
      <c r="BB25" s="44"/>
      <c r="BC25" s="44"/>
      <c r="BD25" s="44"/>
      <c r="BE25" s="44"/>
      <c r="BF25" s="48"/>
      <c r="BG25" s="48">
        <v>168</v>
      </c>
      <c r="BH25" s="44">
        <v>930</v>
      </c>
      <c r="BI25" s="44"/>
      <c r="BJ25" s="44"/>
      <c r="BK25" s="44"/>
      <c r="BL25" s="44"/>
      <c r="BM25" s="44"/>
      <c r="BN25" s="44"/>
      <c r="BO25" s="44"/>
      <c r="BP25" s="44">
        <v>930</v>
      </c>
      <c r="BQ25" s="44"/>
      <c r="BR25" s="44"/>
      <c r="BS25" s="44"/>
      <c r="BT25" s="44"/>
      <c r="BU25" s="44"/>
      <c r="BV25" s="44"/>
      <c r="BW25" s="45"/>
      <c r="BX25" s="43">
        <v>930</v>
      </c>
      <c r="BY25" s="44"/>
      <c r="BZ25" s="44"/>
      <c r="CA25" s="44"/>
      <c r="CB25" s="44"/>
      <c r="CC25" s="44"/>
      <c r="CD25" s="44"/>
      <c r="CE25" s="44"/>
      <c r="CF25" s="44">
        <v>930</v>
      </c>
      <c r="CG25" s="44"/>
      <c r="CH25" s="44"/>
      <c r="CI25" s="44"/>
      <c r="CJ25" s="44"/>
      <c r="CK25" s="44"/>
      <c r="CL25" s="44"/>
      <c r="CM25" s="44"/>
      <c r="CN25" s="44">
        <v>930</v>
      </c>
      <c r="CO25" s="44"/>
      <c r="CP25" s="44"/>
      <c r="CQ25" s="44"/>
      <c r="CR25" s="44"/>
      <c r="CS25" s="44"/>
      <c r="CT25" s="44"/>
      <c r="CU25" s="45"/>
      <c r="CV25" s="43">
        <v>930</v>
      </c>
      <c r="CW25" s="44"/>
      <c r="CX25" s="44"/>
      <c r="CY25" s="44"/>
      <c r="CZ25" s="44"/>
      <c r="DA25" s="44"/>
      <c r="DB25" s="44"/>
      <c r="DC25" s="44"/>
      <c r="DD25" s="48">
        <v>552</v>
      </c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8">
        <v>447</v>
      </c>
      <c r="DR25" s="44"/>
      <c r="DS25" s="45"/>
      <c r="DT25" s="43">
        <v>1109</v>
      </c>
      <c r="DU25" s="44"/>
      <c r="DV25" s="44"/>
      <c r="DW25" s="44"/>
      <c r="DX25" s="44"/>
      <c r="DY25" s="44"/>
      <c r="DZ25" s="44"/>
      <c r="EA25" s="44"/>
      <c r="EB25" s="48">
        <v>544</v>
      </c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5"/>
      <c r="ER25" s="43"/>
      <c r="ES25" s="44"/>
      <c r="ET25" s="44"/>
      <c r="EU25" s="44"/>
      <c r="EV25" s="44"/>
      <c r="EW25" s="44"/>
      <c r="EX25" s="44"/>
      <c r="EY25" s="44"/>
      <c r="EZ25" s="44"/>
      <c r="FA25" s="44">
        <v>783</v>
      </c>
      <c r="FB25" s="44"/>
      <c r="FC25" s="44"/>
      <c r="FD25" s="44"/>
      <c r="FE25" s="44"/>
      <c r="FF25" s="44"/>
      <c r="FG25" s="44"/>
      <c r="FH25" s="44">
        <v>934</v>
      </c>
      <c r="FI25" s="44"/>
      <c r="FJ25" s="44"/>
      <c r="FK25" s="44"/>
      <c r="FL25" s="44"/>
      <c r="FM25" s="44"/>
      <c r="FN25" s="44"/>
      <c r="FO25" s="45"/>
      <c r="FP25" s="37"/>
      <c r="FQ25" s="37"/>
      <c r="FR25" s="37"/>
      <c r="FS25" s="37"/>
      <c r="FT25" s="37"/>
    </row>
    <row r="26" spans="1:176" s="3" customFormat="1" ht="60" customHeight="1" x14ac:dyDescent="0.35">
      <c r="A26" s="43" t="s">
        <v>28</v>
      </c>
      <c r="B26" s="44"/>
      <c r="C26" s="44"/>
      <c r="D26" s="33">
        <v>1165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  <c r="AB26" s="33">
        <v>2790</v>
      </c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5"/>
      <c r="AZ26" s="33">
        <v>2673</v>
      </c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5"/>
      <c r="BX26" s="33">
        <v>2790</v>
      </c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5"/>
      <c r="CV26" s="33">
        <v>1929</v>
      </c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5"/>
      <c r="DT26" s="33">
        <v>1653</v>
      </c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5"/>
      <c r="ER26" s="33">
        <v>1717</v>
      </c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5"/>
      <c r="FP26" s="37"/>
      <c r="FQ26" s="37"/>
      <c r="FR26" s="37"/>
      <c r="FS26" s="37"/>
      <c r="FT26" s="37"/>
    </row>
    <row r="27" spans="1:176" s="3" customFormat="1" ht="60" customHeight="1" x14ac:dyDescent="0.35">
      <c r="A27" s="43" t="s">
        <v>50</v>
      </c>
      <c r="B27" s="44"/>
      <c r="C27" s="44"/>
      <c r="D27" s="43" t="s">
        <v>31</v>
      </c>
      <c r="E27" s="44"/>
      <c r="F27" s="44"/>
      <c r="G27" s="44"/>
      <c r="H27" s="44"/>
      <c r="I27" s="44"/>
      <c r="J27" s="44"/>
      <c r="K27" s="44"/>
      <c r="L27" s="44" t="s">
        <v>31</v>
      </c>
      <c r="M27" s="44"/>
      <c r="N27" s="44"/>
      <c r="O27" s="44"/>
      <c r="P27" s="44"/>
      <c r="Q27" s="44"/>
      <c r="R27" s="44"/>
      <c r="S27" s="44"/>
      <c r="T27" s="44" t="s">
        <v>31</v>
      </c>
      <c r="U27" s="44"/>
      <c r="V27" s="44"/>
      <c r="W27" s="44"/>
      <c r="X27" s="44"/>
      <c r="Y27" s="44"/>
      <c r="Z27" s="44"/>
      <c r="AA27" s="45"/>
      <c r="AB27" s="43" t="s">
        <v>31</v>
      </c>
      <c r="AC27" s="44"/>
      <c r="AD27" s="44"/>
      <c r="AE27" s="44"/>
      <c r="AF27" s="44"/>
      <c r="AG27" s="44"/>
      <c r="AH27" s="44"/>
      <c r="AI27" s="44"/>
      <c r="AJ27" s="44" t="s">
        <v>31</v>
      </c>
      <c r="AK27" s="44"/>
      <c r="AL27" s="44" t="s">
        <v>31</v>
      </c>
      <c r="AM27" s="58" t="s">
        <v>113</v>
      </c>
      <c r="AN27" s="44"/>
      <c r="AO27" s="44"/>
      <c r="AP27" s="44"/>
      <c r="AQ27" s="44"/>
      <c r="AR27" s="58" t="s">
        <v>113</v>
      </c>
      <c r="AS27" s="44"/>
      <c r="AT27" s="44"/>
      <c r="AU27" s="44"/>
      <c r="AV27" s="44"/>
      <c r="AW27" s="44"/>
      <c r="AX27" s="44" t="s">
        <v>31</v>
      </c>
      <c r="AY27" s="45"/>
      <c r="AZ27" s="43" t="s">
        <v>31</v>
      </c>
      <c r="BA27" s="44"/>
      <c r="BB27" s="44"/>
      <c r="BC27" s="44"/>
      <c r="BD27" s="44"/>
      <c r="BE27" s="44"/>
      <c r="BF27" s="44"/>
      <c r="BG27" s="44"/>
      <c r="BH27" s="44" t="s">
        <v>31</v>
      </c>
      <c r="BI27" s="44"/>
      <c r="BJ27" s="44" t="s">
        <v>31</v>
      </c>
      <c r="BK27" s="53" t="s">
        <v>51</v>
      </c>
      <c r="BL27" s="44"/>
      <c r="BM27" s="44"/>
      <c r="BN27" s="44"/>
      <c r="BO27" s="44"/>
      <c r="BP27" s="53" t="s">
        <v>51</v>
      </c>
      <c r="BQ27" s="44"/>
      <c r="BR27" s="44"/>
      <c r="BS27" s="44"/>
      <c r="BT27" s="44"/>
      <c r="BU27" s="44"/>
      <c r="BV27" s="44" t="s">
        <v>31</v>
      </c>
      <c r="BW27" s="45"/>
      <c r="BX27" s="43" t="s">
        <v>31</v>
      </c>
      <c r="BY27" s="44"/>
      <c r="BZ27" s="44"/>
      <c r="CA27" s="44"/>
      <c r="CB27" s="44"/>
      <c r="CC27" s="44"/>
      <c r="CD27" s="44"/>
      <c r="CE27" s="44"/>
      <c r="CF27" s="44" t="s">
        <v>31</v>
      </c>
      <c r="CG27" s="44"/>
      <c r="CH27" s="44" t="s">
        <v>31</v>
      </c>
      <c r="CI27" s="53" t="s">
        <v>51</v>
      </c>
      <c r="CJ27" s="44"/>
      <c r="CK27" s="44"/>
      <c r="CL27" s="44"/>
      <c r="CM27" s="44"/>
      <c r="CN27" s="53" t="s">
        <v>51</v>
      </c>
      <c r="CO27" s="44"/>
      <c r="CP27" s="44"/>
      <c r="CQ27" s="44"/>
      <c r="CR27" s="44"/>
      <c r="CS27" s="44"/>
      <c r="CT27" s="44"/>
      <c r="CU27" s="45"/>
      <c r="CV27" s="43" t="s">
        <v>31</v>
      </c>
      <c r="CW27" s="44"/>
      <c r="CX27" s="44"/>
      <c r="CY27" s="44"/>
      <c r="CZ27" s="44"/>
      <c r="DA27" s="44"/>
      <c r="DB27" s="44"/>
      <c r="DC27" s="44"/>
      <c r="DD27" s="44" t="s">
        <v>31</v>
      </c>
      <c r="DE27" s="44"/>
      <c r="DF27" s="44"/>
      <c r="DG27" s="44"/>
      <c r="DH27" s="44"/>
      <c r="DI27" s="44"/>
      <c r="DJ27" s="44"/>
      <c r="DK27" s="44"/>
      <c r="DL27" s="44" t="s">
        <v>31</v>
      </c>
      <c r="DM27" s="44"/>
      <c r="DN27" s="44"/>
      <c r="DO27" s="44"/>
      <c r="DP27" s="44"/>
      <c r="DQ27" s="44"/>
      <c r="DR27" s="44"/>
      <c r="DS27" s="45"/>
      <c r="DT27" s="43" t="s">
        <v>31</v>
      </c>
      <c r="DU27" s="44"/>
      <c r="DV27" s="44"/>
      <c r="DW27" s="44"/>
      <c r="DX27" s="44"/>
      <c r="DY27" s="44"/>
      <c r="DZ27" s="44"/>
      <c r="EA27" s="44"/>
      <c r="EB27" s="44" t="s">
        <v>31</v>
      </c>
      <c r="EC27" s="44"/>
      <c r="ED27" s="44"/>
      <c r="EE27" s="44"/>
      <c r="EF27" s="44"/>
      <c r="EG27" s="44"/>
      <c r="EH27" s="44"/>
      <c r="EI27" s="44"/>
      <c r="EJ27" s="44" t="s">
        <v>31</v>
      </c>
      <c r="EK27" s="44"/>
      <c r="EL27" s="44"/>
      <c r="EM27" s="44"/>
      <c r="EN27" s="44"/>
      <c r="EO27" s="44"/>
      <c r="EP27" s="44"/>
      <c r="EQ27" s="45"/>
      <c r="ER27" s="43" t="s">
        <v>31</v>
      </c>
      <c r="ES27" s="44"/>
      <c r="ET27" s="44"/>
      <c r="EU27" s="44"/>
      <c r="EV27" s="44"/>
      <c r="EW27" s="44"/>
      <c r="EX27" s="44"/>
      <c r="EY27" s="44"/>
      <c r="EZ27" s="44" t="s">
        <v>31</v>
      </c>
      <c r="FA27" s="44"/>
      <c r="FB27" s="44"/>
      <c r="FC27" s="44"/>
      <c r="FD27" s="44"/>
      <c r="FE27" s="44"/>
      <c r="FF27" s="44"/>
      <c r="FG27" s="44"/>
      <c r="FH27" s="44" t="s">
        <v>31</v>
      </c>
      <c r="FI27" s="44"/>
      <c r="FJ27" s="44"/>
      <c r="FK27" s="44"/>
      <c r="FL27" s="44"/>
      <c r="FM27" s="44"/>
      <c r="FN27" s="44"/>
      <c r="FO27" s="45"/>
      <c r="FP27" s="36">
        <v>5000</v>
      </c>
      <c r="FQ27" s="37"/>
      <c r="FR27" s="37"/>
      <c r="FS27" s="37"/>
      <c r="FT27" s="37"/>
    </row>
    <row r="28" spans="1:176" s="3" customFormat="1" ht="109.95" customHeight="1" x14ac:dyDescent="0.35">
      <c r="A28" s="43" t="s">
        <v>25</v>
      </c>
      <c r="B28" s="44"/>
      <c r="C28" s="44"/>
      <c r="D28" s="50" t="s">
        <v>49</v>
      </c>
      <c r="E28" s="44"/>
      <c r="F28" s="44"/>
      <c r="G28" s="44"/>
      <c r="H28" s="44"/>
      <c r="I28" s="44"/>
      <c r="J28" s="44"/>
      <c r="K28" s="44"/>
      <c r="L28" s="47" t="s">
        <v>49</v>
      </c>
      <c r="M28" s="44"/>
      <c r="N28" s="44"/>
      <c r="O28" s="44"/>
      <c r="P28" s="44"/>
      <c r="Q28" s="44"/>
      <c r="R28" s="44"/>
      <c r="S28" s="44"/>
      <c r="T28" s="47" t="s">
        <v>49</v>
      </c>
      <c r="U28" s="44"/>
      <c r="V28" s="44"/>
      <c r="W28" s="44"/>
      <c r="X28" s="44"/>
      <c r="Y28" s="44"/>
      <c r="Z28" s="44"/>
      <c r="AA28" s="45"/>
      <c r="AB28" s="50" t="s">
        <v>49</v>
      </c>
      <c r="AC28" s="44"/>
      <c r="AD28" s="44"/>
      <c r="AE28" s="44"/>
      <c r="AF28" s="44"/>
      <c r="AG28" s="44"/>
      <c r="AH28" s="44"/>
      <c r="AI28" s="44"/>
      <c r="AJ28" s="47" t="s">
        <v>49</v>
      </c>
      <c r="AK28" s="44"/>
      <c r="AL28" s="49" t="s">
        <v>46</v>
      </c>
      <c r="AM28" s="48" t="s">
        <v>52</v>
      </c>
      <c r="AN28" s="44"/>
      <c r="AO28" s="44"/>
      <c r="AP28" s="44"/>
      <c r="AQ28" s="44"/>
      <c r="AR28" s="44" t="s">
        <v>52</v>
      </c>
      <c r="AS28" s="44"/>
      <c r="AT28" s="44"/>
      <c r="AU28" s="44"/>
      <c r="AV28" s="44"/>
      <c r="AW28" s="44"/>
      <c r="AX28" s="47" t="s">
        <v>49</v>
      </c>
      <c r="AY28" s="45"/>
      <c r="AZ28" s="50" t="s">
        <v>49</v>
      </c>
      <c r="BA28" s="44"/>
      <c r="BB28" s="44"/>
      <c r="BC28" s="44"/>
      <c r="BD28" s="44"/>
      <c r="BE28" s="44"/>
      <c r="BF28" s="44"/>
      <c r="BG28" s="44"/>
      <c r="BH28" s="47" t="s">
        <v>49</v>
      </c>
      <c r="BI28" s="44"/>
      <c r="BJ28" s="49" t="s">
        <v>46</v>
      </c>
      <c r="BK28" s="48" t="s">
        <v>52</v>
      </c>
      <c r="BL28" s="44"/>
      <c r="BM28" s="44"/>
      <c r="BN28" s="44"/>
      <c r="BO28" s="44"/>
      <c r="BP28" s="44" t="s">
        <v>52</v>
      </c>
      <c r="BQ28" s="44"/>
      <c r="BR28" s="44"/>
      <c r="BS28" s="44"/>
      <c r="BT28" s="44"/>
      <c r="BU28" s="44"/>
      <c r="BV28" s="47" t="s">
        <v>49</v>
      </c>
      <c r="BW28" s="45"/>
      <c r="BX28" s="50" t="s">
        <v>49</v>
      </c>
      <c r="BY28" s="44"/>
      <c r="BZ28" s="44"/>
      <c r="CA28" s="44"/>
      <c r="CB28" s="44"/>
      <c r="CC28" s="44"/>
      <c r="CD28" s="44"/>
      <c r="CE28" s="44"/>
      <c r="CF28" s="47" t="s">
        <v>49</v>
      </c>
      <c r="CG28" s="44"/>
      <c r="CH28" s="49" t="s">
        <v>46</v>
      </c>
      <c r="CI28" s="48" t="s">
        <v>52</v>
      </c>
      <c r="CJ28" s="44"/>
      <c r="CK28" s="44"/>
      <c r="CL28" s="44"/>
      <c r="CM28" s="44"/>
      <c r="CN28" s="44" t="s">
        <v>52</v>
      </c>
      <c r="CO28" s="44"/>
      <c r="CP28" s="44"/>
      <c r="CQ28" s="44"/>
      <c r="CR28" s="44"/>
      <c r="CS28" s="44"/>
      <c r="CT28" s="44"/>
      <c r="CU28" s="45"/>
      <c r="CV28" s="50" t="s">
        <v>49</v>
      </c>
      <c r="CW28" s="44"/>
      <c r="CX28" s="44"/>
      <c r="CY28" s="44"/>
      <c r="CZ28" s="44"/>
      <c r="DA28" s="44"/>
      <c r="DB28" s="44"/>
      <c r="DC28" s="44"/>
      <c r="DD28" s="47" t="s">
        <v>49</v>
      </c>
      <c r="DE28" s="44"/>
      <c r="DF28" s="44"/>
      <c r="DG28" s="44"/>
      <c r="DH28" s="44"/>
      <c r="DI28" s="44"/>
      <c r="DJ28" s="44"/>
      <c r="DK28" s="44"/>
      <c r="DL28" s="47" t="s">
        <v>49</v>
      </c>
      <c r="DM28" s="44"/>
      <c r="DN28" s="44"/>
      <c r="DO28" s="44"/>
      <c r="DP28" s="44"/>
      <c r="DQ28" s="44"/>
      <c r="DR28" s="44"/>
      <c r="DS28" s="45"/>
      <c r="DT28" s="50" t="s">
        <v>49</v>
      </c>
      <c r="DU28" s="44"/>
      <c r="DV28" s="44"/>
      <c r="DW28" s="44"/>
      <c r="DX28" s="44"/>
      <c r="DY28" s="44"/>
      <c r="DZ28" s="44"/>
      <c r="EA28" s="44"/>
      <c r="EB28" s="47" t="s">
        <v>49</v>
      </c>
      <c r="EC28" s="44"/>
      <c r="ED28" s="44"/>
      <c r="EE28" s="44"/>
      <c r="EF28" s="44"/>
      <c r="EG28" s="44"/>
      <c r="EH28" s="44"/>
      <c r="EI28" s="44"/>
      <c r="EJ28" s="47" t="s">
        <v>49</v>
      </c>
      <c r="EK28" s="44"/>
      <c r="EL28" s="44"/>
      <c r="EM28" s="44"/>
      <c r="EN28" s="44"/>
      <c r="EO28" s="44"/>
      <c r="EP28" s="44"/>
      <c r="EQ28" s="45"/>
      <c r="ER28" s="50" t="s">
        <v>49</v>
      </c>
      <c r="ES28" s="44"/>
      <c r="ET28" s="44"/>
      <c r="EU28" s="44"/>
      <c r="EV28" s="44"/>
      <c r="EW28" s="44"/>
      <c r="EX28" s="44"/>
      <c r="EY28" s="44"/>
      <c r="EZ28" s="47" t="s">
        <v>49</v>
      </c>
      <c r="FA28" s="44"/>
      <c r="FB28" s="44"/>
      <c r="FC28" s="44"/>
      <c r="FD28" s="44"/>
      <c r="FE28" s="44"/>
      <c r="FF28" s="44"/>
      <c r="FG28" s="44"/>
      <c r="FH28" s="47" t="s">
        <v>49</v>
      </c>
      <c r="FI28" s="44"/>
      <c r="FJ28" s="44"/>
      <c r="FK28" s="44"/>
      <c r="FL28" s="44"/>
      <c r="FM28" s="44"/>
      <c r="FN28" s="44"/>
      <c r="FO28" s="45"/>
      <c r="FP28" s="37"/>
      <c r="FQ28" s="37"/>
      <c r="FR28" s="37"/>
      <c r="FS28" s="37"/>
      <c r="FT28" s="37"/>
    </row>
    <row r="29" spans="1:176" s="3" customFormat="1" ht="60" customHeight="1" x14ac:dyDescent="0.35">
      <c r="A29" s="43" t="s">
        <v>27</v>
      </c>
      <c r="B29" s="44"/>
      <c r="C29" s="44"/>
      <c r="D29" s="43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5"/>
      <c r="AB29" s="43"/>
      <c r="AC29" s="44"/>
      <c r="AD29" s="44"/>
      <c r="AE29" s="44"/>
      <c r="AF29" s="44"/>
      <c r="AG29" s="44"/>
      <c r="AH29" s="44"/>
      <c r="AI29" s="44"/>
      <c r="AJ29" s="44"/>
      <c r="AK29" s="44"/>
      <c r="AL29" s="48"/>
      <c r="AM29" s="48">
        <v>697</v>
      </c>
      <c r="AN29" s="44"/>
      <c r="AO29" s="44"/>
      <c r="AP29" s="44"/>
      <c r="AQ29" s="44"/>
      <c r="AR29" s="44">
        <v>903</v>
      </c>
      <c r="AS29" s="44"/>
      <c r="AT29" s="44"/>
      <c r="AU29" s="44"/>
      <c r="AV29" s="44"/>
      <c r="AW29" s="44"/>
      <c r="AX29" s="44"/>
      <c r="AY29" s="45"/>
      <c r="AZ29" s="43"/>
      <c r="BA29" s="44"/>
      <c r="BB29" s="44"/>
      <c r="BC29" s="44"/>
      <c r="BD29" s="44"/>
      <c r="BE29" s="44"/>
      <c r="BF29" s="44"/>
      <c r="BG29" s="44"/>
      <c r="BH29" s="44"/>
      <c r="BI29" s="44"/>
      <c r="BJ29" s="48"/>
      <c r="BK29" s="48">
        <v>697</v>
      </c>
      <c r="BL29" s="44"/>
      <c r="BM29" s="44"/>
      <c r="BN29" s="44"/>
      <c r="BO29" s="44"/>
      <c r="BP29" s="44">
        <v>903</v>
      </c>
      <c r="BQ29" s="44"/>
      <c r="BR29" s="44"/>
      <c r="BS29" s="44"/>
      <c r="BT29" s="44"/>
      <c r="BU29" s="44"/>
      <c r="BV29" s="44"/>
      <c r="BW29" s="45"/>
      <c r="BX29" s="43"/>
      <c r="BY29" s="44"/>
      <c r="BZ29" s="44"/>
      <c r="CA29" s="44"/>
      <c r="CB29" s="44"/>
      <c r="CC29" s="44"/>
      <c r="CD29" s="44"/>
      <c r="CE29" s="44"/>
      <c r="CF29" s="44"/>
      <c r="CG29" s="44"/>
      <c r="CH29" s="48"/>
      <c r="CI29" s="48">
        <v>697</v>
      </c>
      <c r="CJ29" s="44"/>
      <c r="CK29" s="44"/>
      <c r="CL29" s="44"/>
      <c r="CM29" s="44"/>
      <c r="CN29" s="44">
        <v>1103</v>
      </c>
      <c r="CO29" s="44"/>
      <c r="CP29" s="44"/>
      <c r="CQ29" s="44"/>
      <c r="CR29" s="44"/>
      <c r="CS29" s="44"/>
      <c r="CT29" s="44"/>
      <c r="CU29" s="45"/>
      <c r="CV29" s="43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5"/>
      <c r="DT29" s="43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5"/>
      <c r="ER29" s="43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  <c r="FI29" s="44"/>
      <c r="FJ29" s="44"/>
      <c r="FK29" s="44"/>
      <c r="FL29" s="44"/>
      <c r="FM29" s="44"/>
      <c r="FN29" s="44"/>
      <c r="FO29" s="45"/>
      <c r="FP29" s="37"/>
      <c r="FQ29" s="37"/>
      <c r="FR29" s="37"/>
      <c r="FS29" s="37"/>
      <c r="FT29" s="37"/>
    </row>
    <row r="30" spans="1:176" s="3" customFormat="1" ht="60" customHeight="1" x14ac:dyDescent="0.35">
      <c r="A30" s="43" t="s">
        <v>28</v>
      </c>
      <c r="B30" s="44"/>
      <c r="C30" s="44"/>
      <c r="D30" s="33">
        <v>0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5"/>
      <c r="AB30" s="33">
        <v>1600</v>
      </c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5"/>
      <c r="AZ30" s="33">
        <v>1600</v>
      </c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5"/>
      <c r="BX30" s="33">
        <v>1800</v>
      </c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5"/>
      <c r="CV30" s="33">
        <v>0</v>
      </c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5"/>
      <c r="DT30" s="33">
        <v>0</v>
      </c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  <c r="EM30" s="34"/>
      <c r="EN30" s="34"/>
      <c r="EO30" s="34"/>
      <c r="EP30" s="34"/>
      <c r="EQ30" s="35"/>
      <c r="ER30" s="33">
        <v>0</v>
      </c>
      <c r="ES30" s="34"/>
      <c r="ET30" s="34"/>
      <c r="EU30" s="34"/>
      <c r="EV30" s="34"/>
      <c r="EW30" s="34"/>
      <c r="EX30" s="34"/>
      <c r="EY30" s="34"/>
      <c r="EZ30" s="34"/>
      <c r="FA30" s="34"/>
      <c r="FB30" s="34"/>
      <c r="FC30" s="34"/>
      <c r="FD30" s="34"/>
      <c r="FE30" s="34"/>
      <c r="FF30" s="34"/>
      <c r="FG30" s="34"/>
      <c r="FH30" s="34"/>
      <c r="FI30" s="34"/>
      <c r="FJ30" s="34"/>
      <c r="FK30" s="34"/>
      <c r="FL30" s="34"/>
      <c r="FM30" s="34"/>
      <c r="FN30" s="34"/>
      <c r="FO30" s="35"/>
      <c r="FP30" s="37"/>
      <c r="FQ30" s="37"/>
      <c r="FR30" s="37"/>
      <c r="FS30" s="37"/>
      <c r="FT30" s="37"/>
    </row>
    <row r="31" spans="1:176" s="3" customFormat="1" ht="60" customHeight="1" x14ac:dyDescent="0.35">
      <c r="A31" s="43" t="s">
        <v>53</v>
      </c>
      <c r="B31" s="44"/>
      <c r="C31" s="44"/>
      <c r="D31" s="43" t="s">
        <v>31</v>
      </c>
      <c r="E31" s="44"/>
      <c r="F31" s="44"/>
      <c r="G31" s="44"/>
      <c r="H31" s="44"/>
      <c r="I31" s="44" t="s">
        <v>31</v>
      </c>
      <c r="J31" s="52" t="s">
        <v>54</v>
      </c>
      <c r="K31" s="44"/>
      <c r="L31" s="52" t="s">
        <v>54</v>
      </c>
      <c r="M31" s="44"/>
      <c r="N31" s="44"/>
      <c r="O31" s="44"/>
      <c r="P31" s="44"/>
      <c r="Q31" s="44"/>
      <c r="R31" s="44"/>
      <c r="S31" s="44"/>
      <c r="T31" s="52" t="s">
        <v>54</v>
      </c>
      <c r="U31" s="44"/>
      <c r="V31" s="44" t="s">
        <v>31</v>
      </c>
      <c r="W31" s="44"/>
      <c r="X31" s="52" t="s">
        <v>54</v>
      </c>
      <c r="Y31" s="44"/>
      <c r="Z31" s="44"/>
      <c r="AA31" s="45"/>
      <c r="AB31" s="51" t="s">
        <v>54</v>
      </c>
      <c r="AC31" s="44"/>
      <c r="AD31" s="44"/>
      <c r="AE31" s="44"/>
      <c r="AF31" s="44"/>
      <c r="AG31" s="44"/>
      <c r="AH31" s="44"/>
      <c r="AI31" s="44"/>
      <c r="AJ31" s="52" t="s">
        <v>54</v>
      </c>
      <c r="AK31" s="44"/>
      <c r="AL31" s="44"/>
      <c r="AM31" s="44"/>
      <c r="AN31" s="44" t="s">
        <v>31</v>
      </c>
      <c r="AO31" s="89" t="s">
        <v>114</v>
      </c>
      <c r="AP31" s="44"/>
      <c r="AQ31" s="44"/>
      <c r="AR31" s="89" t="s">
        <v>114</v>
      </c>
      <c r="AS31" s="44"/>
      <c r="AT31" s="44"/>
      <c r="AU31" s="44"/>
      <c r="AV31" s="44"/>
      <c r="AW31" s="44"/>
      <c r="AX31" s="44"/>
      <c r="AY31" s="45"/>
      <c r="AZ31" s="90" t="s">
        <v>114</v>
      </c>
      <c r="BA31" s="44"/>
      <c r="BB31" s="44"/>
      <c r="BC31" s="44"/>
      <c r="BD31" s="44"/>
      <c r="BE31" s="44"/>
      <c r="BF31" s="44"/>
      <c r="BG31" s="44"/>
      <c r="BH31" s="89" t="s">
        <v>114</v>
      </c>
      <c r="BI31" s="44"/>
      <c r="BJ31" s="44"/>
      <c r="BK31" s="44"/>
      <c r="BL31" s="44"/>
      <c r="BM31" s="44" t="s">
        <v>31</v>
      </c>
      <c r="BN31" s="44"/>
      <c r="BO31" s="44"/>
      <c r="BP31" s="44" t="s">
        <v>31</v>
      </c>
      <c r="BQ31" s="44"/>
      <c r="BR31" s="89" t="s">
        <v>115</v>
      </c>
      <c r="BS31" s="44"/>
      <c r="BT31" s="44"/>
      <c r="BU31" s="44"/>
      <c r="BV31" s="44"/>
      <c r="BW31" s="45"/>
      <c r="BX31" s="90" t="s">
        <v>115</v>
      </c>
      <c r="BY31" s="44"/>
      <c r="BZ31" s="44"/>
      <c r="CA31" s="44"/>
      <c r="CB31" s="44"/>
      <c r="CC31" s="44"/>
      <c r="CD31" s="44"/>
      <c r="CE31" s="44"/>
      <c r="CF31" s="89" t="s">
        <v>115</v>
      </c>
      <c r="CG31" s="44"/>
      <c r="CH31" s="44"/>
      <c r="CI31" s="44"/>
      <c r="CJ31" s="44"/>
      <c r="CK31" s="44"/>
      <c r="CL31" s="44" t="s">
        <v>31</v>
      </c>
      <c r="CM31" s="89" t="s">
        <v>116</v>
      </c>
      <c r="CN31" s="89" t="s">
        <v>116</v>
      </c>
      <c r="CO31" s="44"/>
      <c r="CP31" s="44"/>
      <c r="CQ31" s="44"/>
      <c r="CR31" s="44"/>
      <c r="CS31" s="44" t="s">
        <v>31</v>
      </c>
      <c r="CT31" s="52" t="s">
        <v>54</v>
      </c>
      <c r="CU31" s="45"/>
      <c r="CV31" s="51" t="s">
        <v>54</v>
      </c>
      <c r="CW31" s="44"/>
      <c r="CX31" s="44"/>
      <c r="CY31" s="44"/>
      <c r="CZ31" s="44"/>
      <c r="DA31" s="44"/>
      <c r="DB31" s="44"/>
      <c r="DC31" s="44"/>
      <c r="DD31" s="52" t="s">
        <v>54</v>
      </c>
      <c r="DE31" s="44"/>
      <c r="DF31" s="44"/>
      <c r="DG31" s="44"/>
      <c r="DH31" s="44"/>
      <c r="DI31" s="44"/>
      <c r="DJ31" s="44"/>
      <c r="DK31" s="44"/>
      <c r="DL31" s="52" t="s">
        <v>54</v>
      </c>
      <c r="DM31" s="44"/>
      <c r="DN31" s="44" t="s">
        <v>31</v>
      </c>
      <c r="DO31" s="44"/>
      <c r="DP31" s="44"/>
      <c r="DQ31" s="44"/>
      <c r="DR31" s="44"/>
      <c r="DS31" s="88" t="s">
        <v>54</v>
      </c>
      <c r="DT31" s="51" t="s">
        <v>54</v>
      </c>
      <c r="DU31" s="44"/>
      <c r="DV31" s="44"/>
      <c r="DW31" s="44"/>
      <c r="DX31" s="44"/>
      <c r="DY31" s="44"/>
      <c r="DZ31" s="44"/>
      <c r="EA31" s="44"/>
      <c r="EB31" s="52" t="s">
        <v>54</v>
      </c>
      <c r="EC31" s="44"/>
      <c r="ED31" s="44"/>
      <c r="EE31" s="44"/>
      <c r="EF31" s="44"/>
      <c r="EG31" s="44"/>
      <c r="EH31" s="44" t="s">
        <v>31</v>
      </c>
      <c r="EI31" s="44"/>
      <c r="EJ31" s="44" t="s">
        <v>31</v>
      </c>
      <c r="EK31" s="44"/>
      <c r="EL31" s="44"/>
      <c r="EM31" s="44"/>
      <c r="EN31" s="44"/>
      <c r="EO31" s="44"/>
      <c r="EP31" s="44"/>
      <c r="EQ31" s="45"/>
      <c r="ER31" s="43" t="s">
        <v>31</v>
      </c>
      <c r="ES31" s="44"/>
      <c r="ET31" s="44"/>
      <c r="EU31" s="44"/>
      <c r="EV31" s="44"/>
      <c r="EW31" s="44"/>
      <c r="EX31" s="44"/>
      <c r="EY31" s="44"/>
      <c r="EZ31" s="44" t="s">
        <v>31</v>
      </c>
      <c r="FA31" s="44"/>
      <c r="FB31" s="44"/>
      <c r="FC31" s="44"/>
      <c r="FD31" s="44"/>
      <c r="FE31" s="44"/>
      <c r="FF31" s="44"/>
      <c r="FG31" s="44"/>
      <c r="FH31" s="44" t="s">
        <v>31</v>
      </c>
      <c r="FI31" s="44"/>
      <c r="FJ31" s="44"/>
      <c r="FK31" s="44"/>
      <c r="FL31" s="44"/>
      <c r="FM31" s="44"/>
      <c r="FN31" s="44"/>
      <c r="FO31" s="45"/>
      <c r="FP31" s="36">
        <v>18000</v>
      </c>
      <c r="FQ31" s="37"/>
      <c r="FR31" s="37"/>
      <c r="FS31" s="37"/>
      <c r="FT31" s="37"/>
    </row>
    <row r="32" spans="1:176" s="3" customFormat="1" ht="109.95" customHeight="1" x14ac:dyDescent="0.35">
      <c r="A32" s="43" t="s">
        <v>25</v>
      </c>
      <c r="B32" s="44"/>
      <c r="C32" s="44"/>
      <c r="D32" s="87" t="s">
        <v>49</v>
      </c>
      <c r="E32" s="44"/>
      <c r="F32" s="44"/>
      <c r="G32" s="44"/>
      <c r="H32" s="44"/>
      <c r="I32" s="49" t="s">
        <v>46</v>
      </c>
      <c r="J32" s="48" t="s">
        <v>117</v>
      </c>
      <c r="K32" s="44"/>
      <c r="L32" s="44" t="s">
        <v>117</v>
      </c>
      <c r="M32" s="44"/>
      <c r="N32" s="44"/>
      <c r="O32" s="44"/>
      <c r="P32" s="44"/>
      <c r="Q32" s="44"/>
      <c r="R32" s="44"/>
      <c r="S32" s="44"/>
      <c r="T32" s="48" t="s">
        <v>117</v>
      </c>
      <c r="U32" s="44"/>
      <c r="V32" s="49" t="s">
        <v>48</v>
      </c>
      <c r="W32" s="44"/>
      <c r="X32" s="48" t="s">
        <v>56</v>
      </c>
      <c r="Y32" s="44"/>
      <c r="Z32" s="44"/>
      <c r="AA32" s="45"/>
      <c r="AB32" s="43" t="s">
        <v>56</v>
      </c>
      <c r="AC32" s="44"/>
      <c r="AD32" s="44"/>
      <c r="AE32" s="44"/>
      <c r="AF32" s="44"/>
      <c r="AG32" s="44"/>
      <c r="AH32" s="44"/>
      <c r="AI32" s="44"/>
      <c r="AJ32" s="48" t="s">
        <v>56</v>
      </c>
      <c r="AK32" s="44"/>
      <c r="AL32" s="44"/>
      <c r="AM32" s="44"/>
      <c r="AN32" s="49" t="s">
        <v>34</v>
      </c>
      <c r="AO32" s="48" t="s">
        <v>56</v>
      </c>
      <c r="AP32" s="44"/>
      <c r="AQ32" s="44"/>
      <c r="AR32" s="44" t="s">
        <v>56</v>
      </c>
      <c r="AS32" s="44"/>
      <c r="AT32" s="44"/>
      <c r="AU32" s="44"/>
      <c r="AV32" s="44"/>
      <c r="AW32" s="44"/>
      <c r="AX32" s="44"/>
      <c r="AY32" s="45"/>
      <c r="AZ32" s="43" t="s">
        <v>56</v>
      </c>
      <c r="BA32" s="44"/>
      <c r="BB32" s="44"/>
      <c r="BC32" s="44"/>
      <c r="BD32" s="44"/>
      <c r="BE32" s="44"/>
      <c r="BF32" s="44"/>
      <c r="BG32" s="44"/>
      <c r="BH32" s="48" t="s">
        <v>56</v>
      </c>
      <c r="BI32" s="44"/>
      <c r="BJ32" s="44"/>
      <c r="BK32" s="44"/>
      <c r="BL32" s="44"/>
      <c r="BM32" s="49" t="s">
        <v>118</v>
      </c>
      <c r="BN32" s="44"/>
      <c r="BO32" s="44"/>
      <c r="BP32" s="56" t="s">
        <v>118</v>
      </c>
      <c r="BQ32" s="44"/>
      <c r="BR32" s="44" t="s">
        <v>119</v>
      </c>
      <c r="BS32" s="44"/>
      <c r="BT32" s="44"/>
      <c r="BU32" s="44"/>
      <c r="BV32" s="44"/>
      <c r="BW32" s="45"/>
      <c r="BX32" s="43" t="s">
        <v>119</v>
      </c>
      <c r="BY32" s="44"/>
      <c r="BZ32" s="44"/>
      <c r="CA32" s="44"/>
      <c r="CB32" s="44"/>
      <c r="CC32" s="44"/>
      <c r="CD32" s="44"/>
      <c r="CE32" s="44"/>
      <c r="CF32" s="44" t="s">
        <v>119</v>
      </c>
      <c r="CG32" s="44"/>
      <c r="CH32" s="44"/>
      <c r="CI32" s="44"/>
      <c r="CJ32" s="44"/>
      <c r="CK32" s="44"/>
      <c r="CL32" s="49" t="s">
        <v>34</v>
      </c>
      <c r="CM32" s="48" t="s">
        <v>55</v>
      </c>
      <c r="CN32" s="48" t="s">
        <v>55</v>
      </c>
      <c r="CO32" s="44"/>
      <c r="CP32" s="44"/>
      <c r="CQ32" s="44"/>
      <c r="CR32" s="44"/>
      <c r="CS32" s="49" t="s">
        <v>120</v>
      </c>
      <c r="CT32" s="48" t="s">
        <v>55</v>
      </c>
      <c r="CU32" s="45"/>
      <c r="CV32" s="43" t="s">
        <v>55</v>
      </c>
      <c r="CW32" s="44"/>
      <c r="CX32" s="44"/>
      <c r="CY32" s="44"/>
      <c r="CZ32" s="44"/>
      <c r="DA32" s="44"/>
      <c r="DB32" s="44"/>
      <c r="DC32" s="44"/>
      <c r="DD32" s="44" t="s">
        <v>55</v>
      </c>
      <c r="DE32" s="44"/>
      <c r="DF32" s="44"/>
      <c r="DG32" s="44"/>
      <c r="DH32" s="44"/>
      <c r="DI32" s="44"/>
      <c r="DJ32" s="44"/>
      <c r="DK32" s="44"/>
      <c r="DL32" s="48" t="s">
        <v>55</v>
      </c>
      <c r="DM32" s="44"/>
      <c r="DN32" s="49" t="s">
        <v>118</v>
      </c>
      <c r="DO32" s="44"/>
      <c r="DP32" s="44"/>
      <c r="DQ32" s="44"/>
      <c r="DR32" s="44"/>
      <c r="DS32" s="86" t="s">
        <v>47</v>
      </c>
      <c r="DT32" s="43" t="s">
        <v>47</v>
      </c>
      <c r="DU32" s="44"/>
      <c r="DV32" s="44"/>
      <c r="DW32" s="44"/>
      <c r="DX32" s="44"/>
      <c r="DY32" s="44"/>
      <c r="DZ32" s="44"/>
      <c r="EA32" s="44"/>
      <c r="EB32" s="44" t="s">
        <v>47</v>
      </c>
      <c r="EC32" s="44"/>
      <c r="ED32" s="44"/>
      <c r="EE32" s="44"/>
      <c r="EF32" s="44"/>
      <c r="EG32" s="44"/>
      <c r="EH32" s="47" t="s">
        <v>49</v>
      </c>
      <c r="EI32" s="44"/>
      <c r="EJ32" s="47" t="s">
        <v>49</v>
      </c>
      <c r="EK32" s="44"/>
      <c r="EL32" s="44"/>
      <c r="EM32" s="44"/>
      <c r="EN32" s="44"/>
      <c r="EO32" s="44"/>
      <c r="EP32" s="44"/>
      <c r="EQ32" s="45"/>
      <c r="ER32" s="50" t="s">
        <v>49</v>
      </c>
      <c r="ES32" s="44"/>
      <c r="ET32" s="44"/>
      <c r="EU32" s="44"/>
      <c r="EV32" s="44"/>
      <c r="EW32" s="44"/>
      <c r="EX32" s="44"/>
      <c r="EY32" s="44"/>
      <c r="EZ32" s="47" t="s">
        <v>49</v>
      </c>
      <c r="FA32" s="44"/>
      <c r="FB32" s="44"/>
      <c r="FC32" s="44"/>
      <c r="FD32" s="44"/>
      <c r="FE32" s="44"/>
      <c r="FF32" s="44"/>
      <c r="FG32" s="44"/>
      <c r="FH32" s="47" t="s">
        <v>49</v>
      </c>
      <c r="FI32" s="44"/>
      <c r="FJ32" s="44"/>
      <c r="FK32" s="44"/>
      <c r="FL32" s="44"/>
      <c r="FM32" s="44"/>
      <c r="FN32" s="48"/>
      <c r="FO32" s="45"/>
      <c r="FP32" s="37"/>
      <c r="FQ32" s="37"/>
      <c r="FR32" s="37"/>
      <c r="FS32" s="37"/>
      <c r="FT32" s="37"/>
    </row>
    <row r="33" spans="1:207" s="3" customFormat="1" ht="60" customHeight="1" x14ac:dyDescent="0.35">
      <c r="A33" s="43" t="s">
        <v>27</v>
      </c>
      <c r="B33" s="44"/>
      <c r="C33" s="44"/>
      <c r="D33" s="46"/>
      <c r="E33" s="44"/>
      <c r="F33" s="44"/>
      <c r="G33" s="44"/>
      <c r="H33" s="44"/>
      <c r="I33" s="48"/>
      <c r="J33" s="48">
        <v>514</v>
      </c>
      <c r="K33" s="44"/>
      <c r="L33" s="44">
        <v>2587</v>
      </c>
      <c r="M33" s="44"/>
      <c r="N33" s="44"/>
      <c r="O33" s="44"/>
      <c r="P33" s="44"/>
      <c r="Q33" s="44"/>
      <c r="R33" s="44"/>
      <c r="S33" s="44"/>
      <c r="T33" s="48">
        <v>499</v>
      </c>
      <c r="U33" s="44"/>
      <c r="V33" s="48"/>
      <c r="W33" s="44"/>
      <c r="X33" s="48">
        <v>961</v>
      </c>
      <c r="Y33" s="44"/>
      <c r="Z33" s="44"/>
      <c r="AA33" s="45"/>
      <c r="AB33" s="43">
        <v>1725</v>
      </c>
      <c r="AC33" s="44"/>
      <c r="AD33" s="44"/>
      <c r="AE33" s="44"/>
      <c r="AF33" s="44"/>
      <c r="AG33" s="44"/>
      <c r="AH33" s="44"/>
      <c r="AI33" s="44"/>
      <c r="AJ33" s="48">
        <v>914</v>
      </c>
      <c r="AK33" s="44"/>
      <c r="AL33" s="44"/>
      <c r="AM33" s="44"/>
      <c r="AN33" s="48"/>
      <c r="AO33" s="48">
        <v>595</v>
      </c>
      <c r="AP33" s="44"/>
      <c r="AQ33" s="44"/>
      <c r="AR33" s="44">
        <v>1725</v>
      </c>
      <c r="AS33" s="44"/>
      <c r="AT33" s="44"/>
      <c r="AU33" s="44"/>
      <c r="AV33" s="44"/>
      <c r="AW33" s="44"/>
      <c r="AX33" s="44"/>
      <c r="AY33" s="45"/>
      <c r="AZ33" s="43">
        <v>1725</v>
      </c>
      <c r="BA33" s="44"/>
      <c r="BB33" s="44"/>
      <c r="BC33" s="44"/>
      <c r="BD33" s="44"/>
      <c r="BE33" s="44"/>
      <c r="BF33" s="44"/>
      <c r="BG33" s="44"/>
      <c r="BH33" s="48">
        <v>1055</v>
      </c>
      <c r="BI33" s="44"/>
      <c r="BJ33" s="44"/>
      <c r="BK33" s="44"/>
      <c r="BL33" s="44"/>
      <c r="BM33" s="48"/>
      <c r="BN33" s="44"/>
      <c r="BO33" s="44"/>
      <c r="BP33" s="44"/>
      <c r="BQ33" s="44"/>
      <c r="BR33" s="44">
        <v>489</v>
      </c>
      <c r="BS33" s="44"/>
      <c r="BT33" s="44"/>
      <c r="BU33" s="44"/>
      <c r="BV33" s="44"/>
      <c r="BW33" s="45"/>
      <c r="BX33" s="43">
        <v>641</v>
      </c>
      <c r="BY33" s="44"/>
      <c r="BZ33" s="44"/>
      <c r="CA33" s="44"/>
      <c r="CB33" s="44"/>
      <c r="CC33" s="44"/>
      <c r="CD33" s="44"/>
      <c r="CE33" s="44"/>
      <c r="CF33" s="44">
        <v>470</v>
      </c>
      <c r="CG33" s="44"/>
      <c r="CH33" s="44"/>
      <c r="CI33" s="44"/>
      <c r="CJ33" s="44"/>
      <c r="CK33" s="44"/>
      <c r="CL33" s="48"/>
      <c r="CM33" s="48">
        <v>90</v>
      </c>
      <c r="CN33" s="48">
        <v>410</v>
      </c>
      <c r="CO33" s="44"/>
      <c r="CP33" s="44"/>
      <c r="CQ33" s="44"/>
      <c r="CR33" s="44"/>
      <c r="CS33" s="48"/>
      <c r="CT33" s="48">
        <v>151</v>
      </c>
      <c r="CU33" s="45"/>
      <c r="CV33" s="43">
        <v>641</v>
      </c>
      <c r="CW33" s="44"/>
      <c r="CX33" s="44"/>
      <c r="CY33" s="44"/>
      <c r="CZ33" s="44"/>
      <c r="DA33" s="44"/>
      <c r="DB33" s="44"/>
      <c r="DC33" s="44"/>
      <c r="DD33" s="44">
        <v>641</v>
      </c>
      <c r="DE33" s="44"/>
      <c r="DF33" s="44"/>
      <c r="DG33" s="44"/>
      <c r="DH33" s="44"/>
      <c r="DI33" s="44"/>
      <c r="DJ33" s="44"/>
      <c r="DK33" s="44"/>
      <c r="DL33" s="48">
        <v>167</v>
      </c>
      <c r="DM33" s="44"/>
      <c r="DN33" s="48"/>
      <c r="DO33" s="44"/>
      <c r="DP33" s="44"/>
      <c r="DQ33" s="44"/>
      <c r="DR33" s="44"/>
      <c r="DS33" s="86">
        <v>119</v>
      </c>
      <c r="DT33" s="43">
        <v>1057</v>
      </c>
      <c r="DU33" s="44"/>
      <c r="DV33" s="44"/>
      <c r="DW33" s="44"/>
      <c r="DX33" s="44"/>
      <c r="DY33" s="44"/>
      <c r="DZ33" s="44"/>
      <c r="EA33" s="44"/>
      <c r="EB33" s="44">
        <v>824</v>
      </c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O33" s="44"/>
      <c r="EP33" s="44"/>
      <c r="EQ33" s="45"/>
      <c r="ER33" s="43"/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44"/>
      <c r="FG33" s="44"/>
      <c r="FH33" s="44"/>
      <c r="FI33" s="44"/>
      <c r="FJ33" s="44"/>
      <c r="FK33" s="44"/>
      <c r="FL33" s="44"/>
      <c r="FM33" s="44"/>
      <c r="FN33" s="48"/>
      <c r="FO33" s="45"/>
      <c r="FP33" s="37"/>
      <c r="FQ33" s="37"/>
      <c r="FR33" s="37"/>
      <c r="FS33" s="37"/>
      <c r="FT33" s="37"/>
    </row>
    <row r="34" spans="1:207" s="3" customFormat="1" ht="60" customHeight="1" x14ac:dyDescent="0.35">
      <c r="A34" s="43" t="s">
        <v>28</v>
      </c>
      <c r="B34" s="44"/>
      <c r="C34" s="44"/>
      <c r="D34" s="33">
        <v>4561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5"/>
      <c r="AB34" s="33">
        <v>4959</v>
      </c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5"/>
      <c r="AZ34" s="33">
        <v>3269</v>
      </c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5"/>
      <c r="BX34" s="33">
        <v>1762</v>
      </c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5"/>
      <c r="CV34" s="33">
        <v>1568</v>
      </c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5"/>
      <c r="DT34" s="33">
        <v>1881</v>
      </c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34"/>
      <c r="EH34" s="34"/>
      <c r="EI34" s="34"/>
      <c r="EJ34" s="34"/>
      <c r="EK34" s="34"/>
      <c r="EL34" s="34"/>
      <c r="EM34" s="34"/>
      <c r="EN34" s="34"/>
      <c r="EO34" s="34"/>
      <c r="EP34" s="34"/>
      <c r="EQ34" s="35"/>
      <c r="ER34" s="33">
        <v>0</v>
      </c>
      <c r="ES34" s="34"/>
      <c r="ET34" s="34"/>
      <c r="EU34" s="34"/>
      <c r="EV34" s="34"/>
      <c r="EW34" s="34"/>
      <c r="EX34" s="34"/>
      <c r="EY34" s="34"/>
      <c r="EZ34" s="34"/>
      <c r="FA34" s="34"/>
      <c r="FB34" s="34"/>
      <c r="FC34" s="34"/>
      <c r="FD34" s="34"/>
      <c r="FE34" s="34"/>
      <c r="FF34" s="34"/>
      <c r="FG34" s="34"/>
      <c r="FH34" s="34"/>
      <c r="FI34" s="34"/>
      <c r="FJ34" s="34"/>
      <c r="FK34" s="34"/>
      <c r="FL34" s="34"/>
      <c r="FM34" s="34"/>
      <c r="FN34" s="34"/>
      <c r="FO34" s="35"/>
      <c r="FP34" s="37"/>
      <c r="FQ34" s="37"/>
      <c r="FR34" s="37"/>
      <c r="FS34" s="37"/>
      <c r="FT34" s="37"/>
    </row>
    <row r="35" spans="1:207" s="3" customFormat="1" ht="60" customHeight="1" x14ac:dyDescent="0.35">
      <c r="A35" s="43" t="s">
        <v>31</v>
      </c>
      <c r="B35" s="44"/>
      <c r="C35" s="44"/>
      <c r="D35" s="43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5"/>
      <c r="AB35" s="43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5"/>
      <c r="AZ35" s="43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5"/>
      <c r="BX35" s="43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5"/>
      <c r="CV35" s="43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5"/>
      <c r="DT35" s="43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O35" s="44"/>
      <c r="EP35" s="44"/>
      <c r="EQ35" s="45"/>
      <c r="ER35" s="43"/>
      <c r="ES35" s="44"/>
      <c r="ET35" s="44"/>
      <c r="EU35" s="44"/>
      <c r="EV35" s="44"/>
      <c r="EW35" s="44"/>
      <c r="EX35" s="44"/>
      <c r="EY35" s="44"/>
      <c r="EZ35" s="44"/>
      <c r="FA35" s="44"/>
      <c r="FB35" s="44"/>
      <c r="FC35" s="44"/>
      <c r="FD35" s="44"/>
      <c r="FE35" s="44"/>
      <c r="FF35" s="44"/>
      <c r="FG35" s="44"/>
      <c r="FH35" s="44"/>
      <c r="FI35" s="44"/>
      <c r="FJ35" s="44"/>
      <c r="FK35" s="44"/>
      <c r="FL35" s="44"/>
      <c r="FM35" s="44"/>
      <c r="FN35" s="44"/>
      <c r="FO35" s="45"/>
      <c r="FP35" s="36">
        <v>0</v>
      </c>
      <c r="FQ35" s="37"/>
      <c r="FR35" s="37"/>
      <c r="FS35" s="37"/>
      <c r="FT35" s="37"/>
    </row>
    <row r="36" spans="1:207" s="3" customFormat="1" ht="109.95" customHeight="1" x14ac:dyDescent="0.35">
      <c r="A36" s="43" t="s">
        <v>25</v>
      </c>
      <c r="B36" s="44"/>
      <c r="C36" s="44"/>
      <c r="D36" s="43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5"/>
      <c r="AB36" s="43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5"/>
      <c r="AZ36" s="43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5"/>
      <c r="BX36" s="43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5"/>
      <c r="CV36" s="43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5"/>
      <c r="DT36" s="43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5"/>
      <c r="ER36" s="43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4"/>
      <c r="FN36" s="44"/>
      <c r="FO36" s="45"/>
      <c r="FP36" s="37"/>
      <c r="FQ36" s="37"/>
      <c r="FR36" s="37"/>
      <c r="FS36" s="37"/>
      <c r="FT36" s="37"/>
    </row>
    <row r="37" spans="1:207" s="3" customFormat="1" ht="60" customHeight="1" x14ac:dyDescent="0.35">
      <c r="A37" s="43" t="s">
        <v>27</v>
      </c>
      <c r="B37" s="44"/>
      <c r="C37" s="44"/>
      <c r="D37" s="43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5"/>
      <c r="AB37" s="43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5"/>
      <c r="AZ37" s="43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5"/>
      <c r="BX37" s="43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5"/>
      <c r="CV37" s="43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5"/>
      <c r="DT37" s="43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  <c r="EL37" s="44"/>
      <c r="EM37" s="44"/>
      <c r="EN37" s="44"/>
      <c r="EO37" s="44"/>
      <c r="EP37" s="44"/>
      <c r="EQ37" s="45"/>
      <c r="ER37" s="43"/>
      <c r="ES37" s="44"/>
      <c r="ET37" s="44"/>
      <c r="EU37" s="44"/>
      <c r="EV37" s="44"/>
      <c r="EW37" s="44"/>
      <c r="EX37" s="44"/>
      <c r="EY37" s="44"/>
      <c r="EZ37" s="44"/>
      <c r="FA37" s="44"/>
      <c r="FB37" s="44"/>
      <c r="FC37" s="44"/>
      <c r="FD37" s="44"/>
      <c r="FE37" s="44"/>
      <c r="FF37" s="44"/>
      <c r="FG37" s="44"/>
      <c r="FH37" s="44"/>
      <c r="FI37" s="44"/>
      <c r="FJ37" s="44"/>
      <c r="FK37" s="44"/>
      <c r="FL37" s="44"/>
      <c r="FM37" s="44"/>
      <c r="FN37" s="44"/>
      <c r="FO37" s="45"/>
      <c r="FP37" s="37"/>
      <c r="FQ37" s="37"/>
      <c r="FR37" s="37"/>
      <c r="FS37" s="37"/>
      <c r="FT37" s="37"/>
    </row>
    <row r="38" spans="1:207" s="3" customFormat="1" ht="60" customHeight="1" x14ac:dyDescent="0.35">
      <c r="A38" s="43" t="s">
        <v>28</v>
      </c>
      <c r="B38" s="44"/>
      <c r="C38" s="44"/>
      <c r="D38" s="33">
        <v>0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5"/>
      <c r="AB38" s="33">
        <v>0</v>
      </c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5"/>
      <c r="AZ38" s="33">
        <v>0</v>
      </c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5"/>
      <c r="BX38" s="33">
        <v>0</v>
      </c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5"/>
      <c r="CV38" s="33">
        <v>0</v>
      </c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5"/>
      <c r="DT38" s="33">
        <v>0</v>
      </c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5"/>
      <c r="ER38" s="33">
        <v>0</v>
      </c>
      <c r="ES38" s="34"/>
      <c r="ET38" s="34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  <c r="FI38" s="34"/>
      <c r="FJ38" s="34"/>
      <c r="FK38" s="34"/>
      <c r="FL38" s="34"/>
      <c r="FM38" s="34"/>
      <c r="FN38" s="34"/>
      <c r="FO38" s="35"/>
      <c r="FP38" s="37"/>
      <c r="FQ38" s="37"/>
      <c r="FR38" s="37"/>
      <c r="FS38" s="37"/>
      <c r="FT38" s="37"/>
    </row>
    <row r="39" spans="1:207" s="3" customFormat="1" ht="64.95" customHeight="1" x14ac:dyDescent="0.35">
      <c r="A39" s="38" t="s">
        <v>57</v>
      </c>
      <c r="B39" s="39"/>
      <c r="C39" s="39"/>
      <c r="D39" s="40">
        <v>14390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2"/>
      <c r="AB39" s="40">
        <v>17493</v>
      </c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2"/>
      <c r="AZ39" s="40">
        <v>16641</v>
      </c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2"/>
      <c r="BX39" s="40">
        <v>11924</v>
      </c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2"/>
      <c r="CV39" s="40">
        <v>12521</v>
      </c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2"/>
      <c r="DT39" s="40">
        <v>12314</v>
      </c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2"/>
      <c r="ER39" s="40">
        <v>5723</v>
      </c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2"/>
      <c r="FP39" s="37">
        <v>91006</v>
      </c>
      <c r="FQ39" s="37"/>
      <c r="FR39" s="37"/>
      <c r="FS39" s="37"/>
      <c r="FT39" s="37"/>
    </row>
    <row r="41" spans="1:207" x14ac:dyDescent="0.35">
      <c r="A41" s="21" t="s">
        <v>58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BB41" s="21" t="s">
        <v>59</v>
      </c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X41" s="21" t="s">
        <v>60</v>
      </c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</row>
    <row r="42" spans="1:207" x14ac:dyDescent="0.35">
      <c r="A42" s="21" t="s">
        <v>61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 t="s">
        <v>62</v>
      </c>
      <c r="M42" s="21"/>
      <c r="N42" s="21"/>
      <c r="O42" s="21"/>
      <c r="P42" s="21"/>
      <c r="Q42" s="21"/>
      <c r="R42" s="21"/>
      <c r="S42" s="21"/>
      <c r="T42" s="21" t="s">
        <v>63</v>
      </c>
      <c r="U42" s="21"/>
      <c r="V42" s="21"/>
      <c r="W42" s="21"/>
      <c r="X42" s="21"/>
      <c r="Y42" s="21"/>
      <c r="Z42" s="21"/>
      <c r="AA42" s="21"/>
      <c r="AB42" s="21" t="s">
        <v>64</v>
      </c>
      <c r="AC42" s="21"/>
      <c r="AD42" s="21"/>
      <c r="AE42" s="21"/>
      <c r="AF42" s="21"/>
      <c r="AG42" s="21"/>
      <c r="AH42" s="21"/>
      <c r="AI42" s="21"/>
      <c r="AJ42" s="21" t="s">
        <v>65</v>
      </c>
      <c r="AK42" s="21"/>
      <c r="AL42" s="21"/>
      <c r="AM42" s="21"/>
      <c r="AN42" s="21"/>
      <c r="AO42" s="21"/>
      <c r="AP42" s="21"/>
      <c r="AQ42" s="21"/>
      <c r="AR42" s="21" t="s">
        <v>66</v>
      </c>
      <c r="AS42" s="21"/>
      <c r="AT42" s="21"/>
      <c r="AU42" s="21"/>
      <c r="AV42" s="21"/>
      <c r="AW42" s="21"/>
      <c r="AX42" s="21"/>
      <c r="AY42" s="21"/>
      <c r="BB42" s="21" t="s">
        <v>67</v>
      </c>
      <c r="BC42" s="21"/>
      <c r="BD42" s="21"/>
      <c r="BE42" s="21"/>
      <c r="BF42" s="21"/>
      <c r="BG42" s="21"/>
      <c r="BH42" s="21"/>
      <c r="BI42" s="21"/>
      <c r="BJ42" s="21" t="s">
        <v>61</v>
      </c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 t="s">
        <v>62</v>
      </c>
      <c r="CA42" s="21"/>
      <c r="CB42" s="21"/>
      <c r="CC42" s="21"/>
      <c r="CD42" s="21"/>
      <c r="CE42" s="21"/>
      <c r="CF42" s="21"/>
      <c r="CG42" s="21"/>
      <c r="CH42" s="21" t="s">
        <v>68</v>
      </c>
      <c r="CI42" s="21"/>
      <c r="CJ42" s="21"/>
      <c r="CK42" s="21"/>
      <c r="CL42" s="21"/>
      <c r="CM42" s="21"/>
      <c r="CN42" s="21"/>
      <c r="CO42" s="21"/>
      <c r="CP42" s="21" t="s">
        <v>63</v>
      </c>
      <c r="CQ42" s="21"/>
      <c r="CR42" s="21"/>
      <c r="CS42" s="21"/>
      <c r="CT42" s="21"/>
      <c r="CU42" s="21"/>
      <c r="CV42" s="21"/>
      <c r="CW42" s="21"/>
      <c r="CX42" s="21" t="s">
        <v>64</v>
      </c>
      <c r="CY42" s="21"/>
      <c r="CZ42" s="21"/>
      <c r="DA42" s="21"/>
      <c r="DB42" s="21"/>
      <c r="DC42" s="21"/>
      <c r="DD42" s="21"/>
      <c r="DE42" s="21"/>
      <c r="DF42" s="21" t="s">
        <v>65</v>
      </c>
      <c r="DG42" s="21"/>
      <c r="DH42" s="21"/>
      <c r="DI42" s="21"/>
      <c r="DJ42" s="21"/>
      <c r="DK42" s="21"/>
      <c r="DL42" s="21"/>
      <c r="DM42" s="21"/>
      <c r="DN42" s="21" t="s">
        <v>66</v>
      </c>
      <c r="DO42" s="21"/>
      <c r="DP42" s="21"/>
      <c r="DQ42" s="21"/>
      <c r="DR42" s="21"/>
      <c r="DS42" s="21"/>
      <c r="DT42" s="21"/>
      <c r="DU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 t="s">
        <v>23</v>
      </c>
      <c r="EO42" s="21"/>
      <c r="EP42" s="21"/>
      <c r="EQ42" s="21"/>
      <c r="ER42" s="21"/>
      <c r="ES42" s="21"/>
      <c r="ET42" s="21"/>
      <c r="EU42" s="21"/>
      <c r="EV42" s="21" t="s">
        <v>29</v>
      </c>
      <c r="EW42" s="21"/>
      <c r="EX42" s="21"/>
      <c r="EY42" s="21"/>
      <c r="EZ42" s="21"/>
      <c r="FA42" s="21"/>
      <c r="FB42" s="21"/>
      <c r="FC42" s="21"/>
      <c r="FD42" s="21" t="s">
        <v>36</v>
      </c>
      <c r="FE42" s="21"/>
      <c r="FF42" s="21"/>
      <c r="FG42" s="21"/>
      <c r="FH42" s="21"/>
      <c r="FI42" s="21"/>
      <c r="FJ42" s="21"/>
      <c r="FK42" s="21"/>
      <c r="FL42" s="21" t="s">
        <v>41</v>
      </c>
      <c r="FM42" s="21"/>
      <c r="FN42" s="21"/>
      <c r="FO42" s="21"/>
      <c r="FP42" s="21"/>
      <c r="FQ42" s="21"/>
      <c r="FR42" s="21"/>
      <c r="FS42" s="21"/>
      <c r="FT42" s="21" t="s">
        <v>50</v>
      </c>
      <c r="FU42" s="21"/>
      <c r="FV42" s="21"/>
      <c r="FW42" s="21"/>
      <c r="FX42" s="21"/>
      <c r="FY42" s="21"/>
      <c r="FZ42" s="21"/>
      <c r="GA42" s="21"/>
      <c r="GB42" s="21" t="s">
        <v>53</v>
      </c>
      <c r="GC42" s="21"/>
      <c r="GD42" s="21"/>
      <c r="GE42" s="21"/>
      <c r="GF42" s="21"/>
      <c r="GG42" s="21"/>
      <c r="GH42" s="21"/>
      <c r="GI42" s="21"/>
      <c r="GJ42" s="21" t="s">
        <v>31</v>
      </c>
      <c r="GK42" s="21"/>
      <c r="GL42" s="21"/>
      <c r="GM42" s="21"/>
      <c r="GN42" s="21"/>
      <c r="GO42" s="21"/>
      <c r="GP42" s="21"/>
      <c r="GQ42" s="21"/>
      <c r="GR42" s="21" t="s">
        <v>69</v>
      </c>
      <c r="GS42" s="21"/>
      <c r="GT42" s="21"/>
      <c r="GU42" s="21"/>
      <c r="GV42" s="21"/>
      <c r="GW42" s="21"/>
      <c r="GX42" s="21"/>
      <c r="GY42" s="21"/>
    </row>
    <row r="43" spans="1:207" ht="25.2" x14ac:dyDescent="0.35">
      <c r="A43" s="21" t="s">
        <v>70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6">
        <v>9494</v>
      </c>
      <c r="M43" s="26"/>
      <c r="N43" s="26"/>
      <c r="O43" s="26"/>
      <c r="P43" s="26"/>
      <c r="Q43" s="26"/>
      <c r="R43" s="26"/>
      <c r="S43" s="26"/>
      <c r="T43" s="26">
        <v>1000</v>
      </c>
      <c r="U43" s="26"/>
      <c r="V43" s="26"/>
      <c r="W43" s="26"/>
      <c r="X43" s="26"/>
      <c r="Y43" s="26"/>
      <c r="Z43" s="26"/>
      <c r="AA43" s="26"/>
      <c r="AB43" s="26">
        <v>13</v>
      </c>
      <c r="AC43" s="26"/>
      <c r="AD43" s="26"/>
      <c r="AE43" s="26"/>
      <c r="AF43" s="26"/>
      <c r="AG43" s="26"/>
      <c r="AH43" s="26"/>
      <c r="AI43" s="26"/>
      <c r="AJ43" s="26">
        <v>3400</v>
      </c>
      <c r="AK43" s="26"/>
      <c r="AL43" s="26"/>
      <c r="AM43" s="26"/>
      <c r="AN43" s="26"/>
      <c r="AO43" s="26"/>
      <c r="AP43" s="26"/>
      <c r="AQ43" s="26"/>
      <c r="AR43" s="26">
        <v>340000</v>
      </c>
      <c r="AS43" s="26"/>
      <c r="AT43" s="26"/>
      <c r="AU43" s="26"/>
      <c r="AV43" s="26"/>
      <c r="AW43" s="26"/>
      <c r="AX43" s="26"/>
      <c r="AY43" s="26"/>
      <c r="BB43" s="21" t="s">
        <v>23</v>
      </c>
      <c r="BC43" s="21"/>
      <c r="BD43" s="21"/>
      <c r="BE43" s="21"/>
      <c r="BF43" s="21"/>
      <c r="BG43" s="21"/>
      <c r="BH43" s="21"/>
      <c r="BI43" s="21"/>
      <c r="BJ43" s="21" t="s">
        <v>71</v>
      </c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6">
        <v>3617</v>
      </c>
      <c r="CA43" s="26"/>
      <c r="CB43" s="26"/>
      <c r="CC43" s="26"/>
      <c r="CD43" s="26"/>
      <c r="CE43" s="26"/>
      <c r="CF43" s="26"/>
      <c r="CG43" s="26"/>
      <c r="CH43" s="26">
        <v>80</v>
      </c>
      <c r="CI43" s="26"/>
      <c r="CJ43" s="26"/>
      <c r="CK43" s="26"/>
      <c r="CL43" s="26"/>
      <c r="CM43" s="26"/>
      <c r="CN43" s="26"/>
      <c r="CO43" s="26"/>
      <c r="CP43" s="26">
        <v>175</v>
      </c>
      <c r="CQ43" s="26"/>
      <c r="CR43" s="26"/>
      <c r="CS43" s="26"/>
      <c r="CT43" s="26"/>
      <c r="CU43" s="26"/>
      <c r="CV43" s="26"/>
      <c r="CW43" s="26"/>
      <c r="CX43" s="26">
        <v>38</v>
      </c>
      <c r="CY43" s="26"/>
      <c r="CZ43" s="26"/>
      <c r="DA43" s="26"/>
      <c r="DB43" s="26"/>
      <c r="DC43" s="26"/>
      <c r="DD43" s="26"/>
      <c r="DE43" s="26"/>
      <c r="DF43" s="26">
        <v>12614</v>
      </c>
      <c r="DG43" s="26"/>
      <c r="DH43" s="26"/>
      <c r="DI43" s="26"/>
      <c r="DJ43" s="26"/>
      <c r="DK43" s="26"/>
      <c r="DL43" s="26"/>
      <c r="DM43" s="26"/>
      <c r="DN43" s="26">
        <v>7207766</v>
      </c>
      <c r="DO43" s="26"/>
      <c r="DP43" s="26"/>
      <c r="DQ43" s="26"/>
      <c r="DR43" s="26"/>
      <c r="DS43" s="26"/>
      <c r="DT43" s="26"/>
      <c r="DU43" s="26"/>
      <c r="DX43" s="21" t="s">
        <v>48</v>
      </c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4">
        <v>0</v>
      </c>
      <c r="EO43" s="21"/>
      <c r="EP43" s="21"/>
      <c r="EQ43" s="21"/>
      <c r="ER43" s="21"/>
      <c r="ES43" s="21"/>
      <c r="ET43" s="21"/>
      <c r="EU43" s="21"/>
      <c r="EV43" s="24">
        <v>0.57722222222222197</v>
      </c>
      <c r="EW43" s="21"/>
      <c r="EX43" s="21"/>
      <c r="EY43" s="21"/>
      <c r="EZ43" s="21"/>
      <c r="FA43" s="21"/>
      <c r="FB43" s="21"/>
      <c r="FC43" s="21"/>
      <c r="FD43" s="24">
        <v>16</v>
      </c>
      <c r="FE43" s="21"/>
      <c r="FF43" s="21"/>
      <c r="FG43" s="21"/>
      <c r="FH43" s="21"/>
      <c r="FI43" s="21"/>
      <c r="FJ43" s="21"/>
      <c r="FK43" s="21"/>
      <c r="FL43" s="24">
        <v>8</v>
      </c>
      <c r="FM43" s="21"/>
      <c r="FN43" s="21"/>
      <c r="FO43" s="21"/>
      <c r="FP43" s="21"/>
      <c r="FQ43" s="21"/>
      <c r="FR43" s="21"/>
      <c r="FS43" s="21"/>
      <c r="FT43" s="24">
        <v>0</v>
      </c>
      <c r="FU43" s="21"/>
      <c r="FV43" s="21"/>
      <c r="FW43" s="21"/>
      <c r="FX43" s="21"/>
      <c r="FY43" s="21"/>
      <c r="FZ43" s="21"/>
      <c r="GA43" s="21"/>
      <c r="GB43" s="24">
        <v>2</v>
      </c>
      <c r="GC43" s="21"/>
      <c r="GD43" s="21"/>
      <c r="GE43" s="21"/>
      <c r="GF43" s="21"/>
      <c r="GG43" s="21"/>
      <c r="GH43" s="21"/>
      <c r="GI43" s="21"/>
      <c r="GJ43" s="24">
        <v>0</v>
      </c>
      <c r="GK43" s="21"/>
      <c r="GL43" s="21"/>
      <c r="GM43" s="21"/>
      <c r="GN43" s="21"/>
      <c r="GO43" s="21"/>
      <c r="GP43" s="21"/>
      <c r="GQ43" s="21"/>
      <c r="GR43" s="24">
        <f t="shared" ref="GR43:GR49" si="0">SUM(EN43:GQ43)</f>
        <v>26.577222222222222</v>
      </c>
      <c r="GS43" s="21"/>
      <c r="GT43" s="21"/>
      <c r="GU43" s="21"/>
      <c r="GV43" s="21"/>
      <c r="GW43" s="21"/>
      <c r="GX43" s="21"/>
      <c r="GY43" s="21"/>
    </row>
    <row r="44" spans="1:207" ht="25.2" x14ac:dyDescent="0.35">
      <c r="A44" s="21" t="s">
        <v>121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6">
        <v>2228</v>
      </c>
      <c r="M44" s="26"/>
      <c r="N44" s="26"/>
      <c r="O44" s="26"/>
      <c r="P44" s="26"/>
      <c r="Q44" s="26"/>
      <c r="R44" s="26"/>
      <c r="S44" s="26"/>
      <c r="T44" s="26">
        <v>330</v>
      </c>
      <c r="U44" s="26"/>
      <c r="V44" s="26"/>
      <c r="W44" s="26"/>
      <c r="X44" s="26"/>
      <c r="Y44" s="26"/>
      <c r="Z44" s="26"/>
      <c r="AA44" s="26"/>
      <c r="AB44" s="26">
        <v>30</v>
      </c>
      <c r="AC44" s="26"/>
      <c r="AD44" s="26"/>
      <c r="AE44" s="26"/>
      <c r="AF44" s="26"/>
      <c r="AG44" s="26"/>
      <c r="AH44" s="26"/>
      <c r="AI44" s="26"/>
      <c r="AJ44" s="26">
        <v>732</v>
      </c>
      <c r="AK44" s="26"/>
      <c r="AL44" s="26"/>
      <c r="AM44" s="26"/>
      <c r="AN44" s="26"/>
      <c r="AO44" s="26"/>
      <c r="AP44" s="26"/>
      <c r="AQ44" s="26"/>
      <c r="AR44" s="26">
        <v>221819</v>
      </c>
      <c r="AS44" s="26"/>
      <c r="AT44" s="26"/>
      <c r="AU44" s="26"/>
      <c r="AV44" s="26"/>
      <c r="AW44" s="26"/>
      <c r="AX44" s="26"/>
      <c r="AY44" s="26"/>
      <c r="BB44" s="21" t="s">
        <v>29</v>
      </c>
      <c r="BC44" s="21"/>
      <c r="BD44" s="21"/>
      <c r="BE44" s="21"/>
      <c r="BF44" s="21"/>
      <c r="BG44" s="21"/>
      <c r="BH44" s="21"/>
      <c r="BI44" s="21"/>
      <c r="BJ44" s="21" t="s">
        <v>121</v>
      </c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6">
        <v>2228</v>
      </c>
      <c r="CA44" s="26"/>
      <c r="CB44" s="26"/>
      <c r="CC44" s="26"/>
      <c r="CD44" s="26"/>
      <c r="CE44" s="26"/>
      <c r="CF44" s="26"/>
      <c r="CG44" s="26"/>
      <c r="CH44" s="26">
        <v>90</v>
      </c>
      <c r="CI44" s="26"/>
      <c r="CJ44" s="26"/>
      <c r="CK44" s="26"/>
      <c r="CL44" s="26"/>
      <c r="CM44" s="26"/>
      <c r="CN44" s="26"/>
      <c r="CO44" s="26"/>
      <c r="CP44" s="26">
        <v>330</v>
      </c>
      <c r="CQ44" s="26"/>
      <c r="CR44" s="26"/>
      <c r="CS44" s="26"/>
      <c r="CT44" s="26"/>
      <c r="CU44" s="26"/>
      <c r="CV44" s="26"/>
      <c r="CW44" s="26"/>
      <c r="CX44" s="26">
        <v>30</v>
      </c>
      <c r="CY44" s="26"/>
      <c r="CZ44" s="26"/>
      <c r="DA44" s="26"/>
      <c r="DB44" s="26"/>
      <c r="DC44" s="26"/>
      <c r="DD44" s="26"/>
      <c r="DE44" s="26"/>
      <c r="DF44" s="26">
        <v>732</v>
      </c>
      <c r="DG44" s="26"/>
      <c r="DH44" s="26"/>
      <c r="DI44" s="26"/>
      <c r="DJ44" s="26"/>
      <c r="DK44" s="26"/>
      <c r="DL44" s="26"/>
      <c r="DM44" s="26"/>
      <c r="DN44" s="26">
        <v>221819</v>
      </c>
      <c r="DO44" s="26"/>
      <c r="DP44" s="26"/>
      <c r="DQ44" s="26"/>
      <c r="DR44" s="26"/>
      <c r="DS44" s="26"/>
      <c r="DT44" s="26"/>
      <c r="DU44" s="26"/>
      <c r="DX44" s="21" t="s">
        <v>34</v>
      </c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4">
        <v>0</v>
      </c>
      <c r="EO44" s="21"/>
      <c r="EP44" s="21"/>
      <c r="EQ44" s="21"/>
      <c r="ER44" s="21"/>
      <c r="ES44" s="21"/>
      <c r="ET44" s="21"/>
      <c r="EU44" s="21"/>
      <c r="EV44" s="24">
        <v>3</v>
      </c>
      <c r="EW44" s="21"/>
      <c r="EX44" s="21"/>
      <c r="EY44" s="21"/>
      <c r="EZ44" s="21"/>
      <c r="FA44" s="21"/>
      <c r="FB44" s="21"/>
      <c r="FC44" s="21"/>
      <c r="FD44" s="24">
        <v>2</v>
      </c>
      <c r="FE44" s="21"/>
      <c r="FF44" s="21"/>
      <c r="FG44" s="21"/>
      <c r="FH44" s="21"/>
      <c r="FI44" s="21"/>
      <c r="FJ44" s="21"/>
      <c r="FK44" s="21"/>
      <c r="FL44" s="24">
        <v>1</v>
      </c>
      <c r="FM44" s="21"/>
      <c r="FN44" s="21"/>
      <c r="FO44" s="21"/>
      <c r="FP44" s="21"/>
      <c r="FQ44" s="21"/>
      <c r="FR44" s="21"/>
      <c r="FS44" s="21"/>
      <c r="FT44" s="24">
        <v>0</v>
      </c>
      <c r="FU44" s="21"/>
      <c r="FV44" s="21"/>
      <c r="FW44" s="21"/>
      <c r="FX44" s="21"/>
      <c r="FY44" s="21"/>
      <c r="FZ44" s="21"/>
      <c r="GA44" s="21"/>
      <c r="GB44" s="24">
        <v>2</v>
      </c>
      <c r="GC44" s="21"/>
      <c r="GD44" s="21"/>
      <c r="GE44" s="21"/>
      <c r="GF44" s="21"/>
      <c r="GG44" s="21"/>
      <c r="GH44" s="21"/>
      <c r="GI44" s="21"/>
      <c r="GJ44" s="24">
        <v>0</v>
      </c>
      <c r="GK44" s="21"/>
      <c r="GL44" s="21"/>
      <c r="GM44" s="21"/>
      <c r="GN44" s="21"/>
      <c r="GO44" s="21"/>
      <c r="GP44" s="21"/>
      <c r="GQ44" s="21"/>
      <c r="GR44" s="24">
        <f t="shared" si="0"/>
        <v>8</v>
      </c>
      <c r="GS44" s="21"/>
      <c r="GT44" s="21"/>
      <c r="GU44" s="21"/>
      <c r="GV44" s="21"/>
      <c r="GW44" s="21"/>
      <c r="GX44" s="21"/>
      <c r="GY44" s="21"/>
    </row>
    <row r="45" spans="1:207" ht="25.2" x14ac:dyDescent="0.35">
      <c r="A45" s="21" t="s">
        <v>122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6">
        <v>7584</v>
      </c>
      <c r="M45" s="26"/>
      <c r="N45" s="26"/>
      <c r="O45" s="26"/>
      <c r="P45" s="26"/>
      <c r="Q45" s="26"/>
      <c r="R45" s="26"/>
      <c r="S45" s="26"/>
      <c r="T45" s="26">
        <v>269</v>
      </c>
      <c r="U45" s="26"/>
      <c r="V45" s="26"/>
      <c r="W45" s="26"/>
      <c r="X45" s="26"/>
      <c r="Y45" s="26"/>
      <c r="Z45" s="26"/>
      <c r="AA45" s="26"/>
      <c r="AB45" s="26">
        <v>6</v>
      </c>
      <c r="AC45" s="26"/>
      <c r="AD45" s="26"/>
      <c r="AE45" s="26"/>
      <c r="AF45" s="26"/>
      <c r="AG45" s="26"/>
      <c r="AH45" s="26"/>
      <c r="AI45" s="26"/>
      <c r="AJ45" s="26">
        <v>6300</v>
      </c>
      <c r="AK45" s="26"/>
      <c r="AL45" s="26"/>
      <c r="AM45" s="26"/>
      <c r="AN45" s="26"/>
      <c r="AO45" s="26"/>
      <c r="AP45" s="26"/>
      <c r="AQ45" s="26"/>
      <c r="AR45" s="26">
        <v>2342008</v>
      </c>
      <c r="AS45" s="26"/>
      <c r="AT45" s="26"/>
      <c r="AU45" s="26"/>
      <c r="AV45" s="26"/>
      <c r="AW45" s="26"/>
      <c r="AX45" s="26"/>
      <c r="AY45" s="26"/>
      <c r="BB45" s="21" t="s">
        <v>29</v>
      </c>
      <c r="BC45" s="21"/>
      <c r="BD45" s="21"/>
      <c r="BE45" s="21"/>
      <c r="BF45" s="21"/>
      <c r="BG45" s="21"/>
      <c r="BH45" s="21"/>
      <c r="BI45" s="21"/>
      <c r="BJ45" s="21" t="s">
        <v>74</v>
      </c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6">
        <v>13451</v>
      </c>
      <c r="CA45" s="26"/>
      <c r="CB45" s="26"/>
      <c r="CC45" s="26"/>
      <c r="CD45" s="26"/>
      <c r="CE45" s="26"/>
      <c r="CF45" s="26"/>
      <c r="CG45" s="26"/>
      <c r="CH45" s="26">
        <v>90</v>
      </c>
      <c r="CI45" s="26"/>
      <c r="CJ45" s="26"/>
      <c r="CK45" s="26"/>
      <c r="CL45" s="26"/>
      <c r="CM45" s="26"/>
      <c r="CN45" s="26"/>
      <c r="CO45" s="26"/>
      <c r="CP45" s="26">
        <v>320</v>
      </c>
      <c r="CQ45" s="26"/>
      <c r="CR45" s="26"/>
      <c r="CS45" s="26"/>
      <c r="CT45" s="26"/>
      <c r="CU45" s="26"/>
      <c r="CV45" s="26"/>
      <c r="CW45" s="26"/>
      <c r="CX45" s="26">
        <v>30</v>
      </c>
      <c r="CY45" s="26"/>
      <c r="CZ45" s="26"/>
      <c r="DA45" s="26"/>
      <c r="DB45" s="26"/>
      <c r="DC45" s="26"/>
      <c r="DD45" s="26"/>
      <c r="DE45" s="26"/>
      <c r="DF45" s="26">
        <v>10000</v>
      </c>
      <c r="DG45" s="26"/>
      <c r="DH45" s="26"/>
      <c r="DI45" s="26"/>
      <c r="DJ45" s="26"/>
      <c r="DK45" s="26"/>
      <c r="DL45" s="26"/>
      <c r="DM45" s="26"/>
      <c r="DN45" s="26">
        <v>3125001</v>
      </c>
      <c r="DO45" s="26"/>
      <c r="DP45" s="26"/>
      <c r="DQ45" s="26"/>
      <c r="DR45" s="26"/>
      <c r="DS45" s="26"/>
      <c r="DT45" s="26"/>
      <c r="DU45" s="26"/>
      <c r="DX45" s="21" t="s">
        <v>75</v>
      </c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4">
        <v>12</v>
      </c>
      <c r="EO45" s="21"/>
      <c r="EP45" s="21"/>
      <c r="EQ45" s="21"/>
      <c r="ER45" s="21"/>
      <c r="ES45" s="21"/>
      <c r="ET45" s="21"/>
      <c r="EU45" s="21"/>
      <c r="EV45" s="24">
        <v>29.861944444444401</v>
      </c>
      <c r="EW45" s="21"/>
      <c r="EX45" s="21"/>
      <c r="EY45" s="21"/>
      <c r="EZ45" s="21"/>
      <c r="FA45" s="21"/>
      <c r="FB45" s="21"/>
      <c r="FC45" s="21"/>
      <c r="FD45" s="24">
        <v>12</v>
      </c>
      <c r="FE45" s="21"/>
      <c r="FF45" s="21"/>
      <c r="FG45" s="21"/>
      <c r="FH45" s="21"/>
      <c r="FI45" s="21"/>
      <c r="FJ45" s="21"/>
      <c r="FK45" s="21"/>
      <c r="FL45" s="24">
        <v>1</v>
      </c>
      <c r="FM45" s="21"/>
      <c r="FN45" s="21"/>
      <c r="FO45" s="21"/>
      <c r="FP45" s="21"/>
      <c r="FQ45" s="21"/>
      <c r="FR45" s="21"/>
      <c r="FS45" s="21"/>
      <c r="FT45" s="24">
        <v>3</v>
      </c>
      <c r="FU45" s="21"/>
      <c r="FV45" s="21"/>
      <c r="FW45" s="21"/>
      <c r="FX45" s="21"/>
      <c r="FY45" s="21"/>
      <c r="FZ45" s="21"/>
      <c r="GA45" s="21"/>
      <c r="GB45" s="24">
        <v>12</v>
      </c>
      <c r="GC45" s="21"/>
      <c r="GD45" s="21"/>
      <c r="GE45" s="21"/>
      <c r="GF45" s="21"/>
      <c r="GG45" s="21"/>
      <c r="GH45" s="21"/>
      <c r="GI45" s="21"/>
      <c r="GJ45" s="24">
        <v>0</v>
      </c>
      <c r="GK45" s="21"/>
      <c r="GL45" s="21"/>
      <c r="GM45" s="21"/>
      <c r="GN45" s="21"/>
      <c r="GO45" s="21"/>
      <c r="GP45" s="21"/>
      <c r="GQ45" s="21"/>
      <c r="GR45" s="24">
        <f t="shared" si="0"/>
        <v>69.861944444444404</v>
      </c>
      <c r="GS45" s="21"/>
      <c r="GT45" s="21"/>
      <c r="GU45" s="21"/>
      <c r="GV45" s="21"/>
      <c r="GW45" s="21"/>
      <c r="GX45" s="21"/>
      <c r="GY45" s="21"/>
    </row>
    <row r="46" spans="1:207" ht="25.2" x14ac:dyDescent="0.35">
      <c r="A46" s="21" t="s">
        <v>123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6">
        <v>9139</v>
      </c>
      <c r="M46" s="26"/>
      <c r="N46" s="26"/>
      <c r="O46" s="26"/>
      <c r="P46" s="26"/>
      <c r="Q46" s="26"/>
      <c r="R46" s="26"/>
      <c r="S46" s="26"/>
      <c r="T46" s="26">
        <v>250</v>
      </c>
      <c r="U46" s="26"/>
      <c r="V46" s="26"/>
      <c r="W46" s="26"/>
      <c r="X46" s="26"/>
      <c r="Y46" s="26"/>
      <c r="Z46" s="26"/>
      <c r="AA46" s="26"/>
      <c r="AB46" s="26">
        <v>38</v>
      </c>
      <c r="AC46" s="26"/>
      <c r="AD46" s="26"/>
      <c r="AE46" s="26"/>
      <c r="AF46" s="26"/>
      <c r="AG46" s="26"/>
      <c r="AH46" s="26"/>
      <c r="AI46" s="26"/>
      <c r="AJ46" s="26">
        <v>5000</v>
      </c>
      <c r="AK46" s="26"/>
      <c r="AL46" s="26"/>
      <c r="AM46" s="26"/>
      <c r="AN46" s="26"/>
      <c r="AO46" s="26"/>
      <c r="AP46" s="26"/>
      <c r="AQ46" s="26"/>
      <c r="AR46" s="26">
        <v>2000000</v>
      </c>
      <c r="AS46" s="26"/>
      <c r="AT46" s="26"/>
      <c r="AU46" s="26"/>
      <c r="AV46" s="26"/>
      <c r="AW46" s="26"/>
      <c r="AX46" s="26"/>
      <c r="AY46" s="26"/>
      <c r="BB46" s="21" t="s">
        <v>29</v>
      </c>
      <c r="BC46" s="21"/>
      <c r="BD46" s="21"/>
      <c r="BE46" s="21"/>
      <c r="BF46" s="21"/>
      <c r="BG46" s="21"/>
      <c r="BH46" s="21"/>
      <c r="BI46" s="21"/>
      <c r="BJ46" s="21" t="s">
        <v>77</v>
      </c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6">
        <v>20867</v>
      </c>
      <c r="CA46" s="26"/>
      <c r="CB46" s="26"/>
      <c r="CC46" s="26"/>
      <c r="CD46" s="26"/>
      <c r="CE46" s="26"/>
      <c r="CF46" s="26"/>
      <c r="CG46" s="26"/>
      <c r="CH46" s="26">
        <v>90</v>
      </c>
      <c r="CI46" s="26"/>
      <c r="CJ46" s="26"/>
      <c r="CK46" s="26"/>
      <c r="CL46" s="26"/>
      <c r="CM46" s="26"/>
      <c r="CN46" s="26"/>
      <c r="CO46" s="26"/>
      <c r="CP46" s="26">
        <v>330</v>
      </c>
      <c r="CQ46" s="26"/>
      <c r="CR46" s="26"/>
      <c r="CS46" s="26"/>
      <c r="CT46" s="26"/>
      <c r="CU46" s="26"/>
      <c r="CV46" s="26"/>
      <c r="CW46" s="26"/>
      <c r="CX46" s="26">
        <v>30</v>
      </c>
      <c r="CY46" s="26"/>
      <c r="CZ46" s="26"/>
      <c r="DA46" s="26"/>
      <c r="DB46" s="26"/>
      <c r="DC46" s="26"/>
      <c r="DD46" s="26"/>
      <c r="DE46" s="26"/>
      <c r="DF46" s="26">
        <v>7000</v>
      </c>
      <c r="DG46" s="26"/>
      <c r="DH46" s="26"/>
      <c r="DI46" s="26"/>
      <c r="DJ46" s="26"/>
      <c r="DK46" s="26"/>
      <c r="DL46" s="26"/>
      <c r="DM46" s="26"/>
      <c r="DN46" s="26">
        <v>2121213</v>
      </c>
      <c r="DO46" s="26"/>
      <c r="DP46" s="26"/>
      <c r="DQ46" s="26"/>
      <c r="DR46" s="26"/>
      <c r="DS46" s="26"/>
      <c r="DT46" s="26"/>
      <c r="DU46" s="26"/>
      <c r="DX46" s="21" t="s">
        <v>76</v>
      </c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4">
        <v>0</v>
      </c>
      <c r="EO46" s="21"/>
      <c r="EP46" s="21"/>
      <c r="EQ46" s="21"/>
      <c r="ER46" s="21"/>
      <c r="ES46" s="21"/>
      <c r="ET46" s="21"/>
      <c r="EU46" s="21"/>
      <c r="EV46" s="24">
        <v>0</v>
      </c>
      <c r="EW46" s="21"/>
      <c r="EX46" s="21"/>
      <c r="EY46" s="21"/>
      <c r="EZ46" s="21"/>
      <c r="FA46" s="21"/>
      <c r="FB46" s="21"/>
      <c r="FC46" s="21"/>
      <c r="FD46" s="24">
        <v>0</v>
      </c>
      <c r="FE46" s="21"/>
      <c r="FF46" s="21"/>
      <c r="FG46" s="21"/>
      <c r="FH46" s="21"/>
      <c r="FI46" s="21"/>
      <c r="FJ46" s="21"/>
      <c r="FK46" s="21"/>
      <c r="FL46" s="24">
        <v>0</v>
      </c>
      <c r="FM46" s="21"/>
      <c r="FN46" s="21"/>
      <c r="FO46" s="21"/>
      <c r="FP46" s="21"/>
      <c r="FQ46" s="21"/>
      <c r="FR46" s="21"/>
      <c r="FS46" s="21"/>
      <c r="FT46" s="24">
        <v>0</v>
      </c>
      <c r="FU46" s="21"/>
      <c r="FV46" s="21"/>
      <c r="FW46" s="21"/>
      <c r="FX46" s="21"/>
      <c r="FY46" s="21"/>
      <c r="FZ46" s="21"/>
      <c r="GA46" s="21"/>
      <c r="GB46" s="24">
        <v>0</v>
      </c>
      <c r="GC46" s="21"/>
      <c r="GD46" s="21"/>
      <c r="GE46" s="21"/>
      <c r="GF46" s="21"/>
      <c r="GG46" s="21"/>
      <c r="GH46" s="21"/>
      <c r="GI46" s="21"/>
      <c r="GJ46" s="24">
        <v>0</v>
      </c>
      <c r="GK46" s="21"/>
      <c r="GL46" s="21"/>
      <c r="GM46" s="21"/>
      <c r="GN46" s="21"/>
      <c r="GO46" s="21"/>
      <c r="GP46" s="21"/>
      <c r="GQ46" s="21"/>
      <c r="GR46" s="24">
        <f t="shared" si="0"/>
        <v>0</v>
      </c>
      <c r="GS46" s="21"/>
      <c r="GT46" s="21"/>
      <c r="GU46" s="21"/>
      <c r="GV46" s="21"/>
      <c r="GW46" s="21"/>
      <c r="GX46" s="21"/>
      <c r="GY46" s="21"/>
    </row>
    <row r="47" spans="1:207" ht="25.2" x14ac:dyDescent="0.35">
      <c r="A47" s="21" t="s">
        <v>124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6">
        <v>9909</v>
      </c>
      <c r="M47" s="26"/>
      <c r="N47" s="26"/>
      <c r="O47" s="26"/>
      <c r="P47" s="26"/>
      <c r="Q47" s="26"/>
      <c r="R47" s="26"/>
      <c r="S47" s="26"/>
      <c r="T47" s="26">
        <v>269</v>
      </c>
      <c r="U47" s="26"/>
      <c r="V47" s="26"/>
      <c r="W47" s="26"/>
      <c r="X47" s="26"/>
      <c r="Y47" s="26"/>
      <c r="Z47" s="26"/>
      <c r="AA47" s="26"/>
      <c r="AB47" s="26">
        <v>6</v>
      </c>
      <c r="AC47" s="26"/>
      <c r="AD47" s="26"/>
      <c r="AE47" s="26"/>
      <c r="AF47" s="26"/>
      <c r="AG47" s="26"/>
      <c r="AH47" s="26"/>
      <c r="AI47" s="26"/>
      <c r="AJ47" s="26">
        <v>1717</v>
      </c>
      <c r="AK47" s="26"/>
      <c r="AL47" s="26"/>
      <c r="AM47" s="26"/>
      <c r="AN47" s="26"/>
      <c r="AO47" s="26"/>
      <c r="AP47" s="26"/>
      <c r="AQ47" s="26"/>
      <c r="AR47" s="26">
        <v>638290</v>
      </c>
      <c r="AS47" s="26"/>
      <c r="AT47" s="26"/>
      <c r="AU47" s="26"/>
      <c r="AV47" s="26"/>
      <c r="AW47" s="26"/>
      <c r="AX47" s="26"/>
      <c r="AY47" s="26"/>
      <c r="BB47" s="21" t="s">
        <v>29</v>
      </c>
      <c r="BC47" s="21"/>
      <c r="BD47" s="21"/>
      <c r="BE47" s="21"/>
      <c r="BF47" s="21"/>
      <c r="BG47" s="21"/>
      <c r="BH47" s="21"/>
      <c r="BI47" s="21"/>
      <c r="BJ47" s="21" t="s">
        <v>79</v>
      </c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6">
        <v>2512</v>
      </c>
      <c r="CA47" s="26"/>
      <c r="CB47" s="26"/>
      <c r="CC47" s="26"/>
      <c r="CD47" s="26"/>
      <c r="CE47" s="26"/>
      <c r="CF47" s="26"/>
      <c r="CG47" s="26"/>
      <c r="CH47" s="26">
        <v>90</v>
      </c>
      <c r="CI47" s="26"/>
      <c r="CJ47" s="26"/>
      <c r="CK47" s="26"/>
      <c r="CL47" s="26"/>
      <c r="CM47" s="26"/>
      <c r="CN47" s="26"/>
      <c r="CO47" s="26"/>
      <c r="CP47" s="26">
        <v>330</v>
      </c>
      <c r="CQ47" s="26"/>
      <c r="CR47" s="26"/>
      <c r="CS47" s="26"/>
      <c r="CT47" s="26"/>
      <c r="CU47" s="26"/>
      <c r="CV47" s="26"/>
      <c r="CW47" s="26"/>
      <c r="CX47" s="26">
        <v>30</v>
      </c>
      <c r="CY47" s="26"/>
      <c r="CZ47" s="26"/>
      <c r="DA47" s="26"/>
      <c r="DB47" s="26"/>
      <c r="DC47" s="26"/>
      <c r="DD47" s="26"/>
      <c r="DE47" s="26"/>
      <c r="DF47" s="26">
        <v>5000</v>
      </c>
      <c r="DG47" s="26"/>
      <c r="DH47" s="26"/>
      <c r="DI47" s="26"/>
      <c r="DJ47" s="26"/>
      <c r="DK47" s="26"/>
      <c r="DL47" s="26"/>
      <c r="DM47" s="26"/>
      <c r="DN47" s="26">
        <v>1515153</v>
      </c>
      <c r="DO47" s="26"/>
      <c r="DP47" s="26"/>
      <c r="DQ47" s="26"/>
      <c r="DR47" s="26"/>
      <c r="DS47" s="26"/>
      <c r="DT47" s="26"/>
      <c r="DU47" s="26"/>
      <c r="DX47" s="21" t="s">
        <v>78</v>
      </c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4">
        <v>120.12</v>
      </c>
      <c r="EO47" s="21"/>
      <c r="EP47" s="21"/>
      <c r="EQ47" s="21"/>
      <c r="ER47" s="21"/>
      <c r="ES47" s="21"/>
      <c r="ET47" s="21"/>
      <c r="EU47" s="21"/>
      <c r="EV47" s="24">
        <v>100.0693138888889</v>
      </c>
      <c r="EW47" s="21"/>
      <c r="EX47" s="21"/>
      <c r="EY47" s="21"/>
      <c r="EZ47" s="21"/>
      <c r="FA47" s="21"/>
      <c r="FB47" s="21"/>
      <c r="FC47" s="21"/>
      <c r="FD47" s="24">
        <v>93.02195833333333</v>
      </c>
      <c r="FE47" s="21"/>
      <c r="FF47" s="21"/>
      <c r="FG47" s="21"/>
      <c r="FH47" s="21"/>
      <c r="FI47" s="21"/>
      <c r="FJ47" s="21"/>
      <c r="FK47" s="21"/>
      <c r="FL47" s="24">
        <v>88.775703888888899</v>
      </c>
      <c r="FM47" s="21"/>
      <c r="FN47" s="21"/>
      <c r="FO47" s="21"/>
      <c r="FP47" s="21"/>
      <c r="FQ47" s="21"/>
      <c r="FR47" s="21"/>
      <c r="FS47" s="21"/>
      <c r="FT47" s="24">
        <v>29.411122222222225</v>
      </c>
      <c r="FU47" s="21"/>
      <c r="FV47" s="21"/>
      <c r="FW47" s="21"/>
      <c r="FX47" s="21"/>
      <c r="FY47" s="21"/>
      <c r="FZ47" s="21"/>
      <c r="GA47" s="21"/>
      <c r="GB47" s="24">
        <v>86.874180555555554</v>
      </c>
      <c r="GC47" s="21"/>
      <c r="GD47" s="21"/>
      <c r="GE47" s="21"/>
      <c r="GF47" s="21"/>
      <c r="GG47" s="21"/>
      <c r="GH47" s="21"/>
      <c r="GI47" s="21"/>
      <c r="GJ47" s="24">
        <v>0</v>
      </c>
      <c r="GK47" s="21"/>
      <c r="GL47" s="21"/>
      <c r="GM47" s="21"/>
      <c r="GN47" s="21"/>
      <c r="GO47" s="21"/>
      <c r="GP47" s="21"/>
      <c r="GQ47" s="21"/>
      <c r="GR47" s="24">
        <f t="shared" si="0"/>
        <v>518.27227888888899</v>
      </c>
      <c r="GS47" s="21"/>
      <c r="GT47" s="21"/>
      <c r="GU47" s="21"/>
      <c r="GV47" s="21"/>
      <c r="GW47" s="21"/>
      <c r="GX47" s="21"/>
      <c r="GY47" s="21"/>
    </row>
    <row r="48" spans="1:207" ht="25.2" x14ac:dyDescent="0.35">
      <c r="A48" s="21" t="s">
        <v>125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6">
        <v>2174</v>
      </c>
      <c r="M48" s="26"/>
      <c r="N48" s="26"/>
      <c r="O48" s="26"/>
      <c r="P48" s="26"/>
      <c r="Q48" s="26"/>
      <c r="R48" s="26"/>
      <c r="S48" s="26"/>
      <c r="T48" s="26">
        <v>330</v>
      </c>
      <c r="U48" s="26"/>
      <c r="V48" s="26"/>
      <c r="W48" s="26"/>
      <c r="X48" s="26"/>
      <c r="Y48" s="26"/>
      <c r="Z48" s="26"/>
      <c r="AA48" s="26"/>
      <c r="AB48" s="26">
        <v>6</v>
      </c>
      <c r="AC48" s="26"/>
      <c r="AD48" s="26"/>
      <c r="AE48" s="26"/>
      <c r="AF48" s="26"/>
      <c r="AG48" s="26"/>
      <c r="AH48" s="26"/>
      <c r="AI48" s="26"/>
      <c r="AJ48" s="26">
        <v>2100</v>
      </c>
      <c r="AK48" s="26"/>
      <c r="AL48" s="26"/>
      <c r="AM48" s="26"/>
      <c r="AN48" s="26"/>
      <c r="AO48" s="26"/>
      <c r="AP48" s="26"/>
      <c r="AQ48" s="26"/>
      <c r="AR48" s="26">
        <v>636364</v>
      </c>
      <c r="AS48" s="26"/>
      <c r="AT48" s="26"/>
      <c r="AU48" s="26"/>
      <c r="AV48" s="26"/>
      <c r="AW48" s="26"/>
      <c r="AX48" s="26"/>
      <c r="AY48" s="26"/>
      <c r="BB48" s="21" t="s">
        <v>36</v>
      </c>
      <c r="BC48" s="21"/>
      <c r="BD48" s="21"/>
      <c r="BE48" s="21"/>
      <c r="BF48" s="21"/>
      <c r="BG48" s="21"/>
      <c r="BH48" s="21"/>
      <c r="BI48" s="21"/>
      <c r="BJ48" s="21" t="s">
        <v>123</v>
      </c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6">
        <v>9139</v>
      </c>
      <c r="CA48" s="26"/>
      <c r="CB48" s="26"/>
      <c r="CC48" s="26"/>
      <c r="CD48" s="26"/>
      <c r="CE48" s="26"/>
      <c r="CF48" s="26"/>
      <c r="CG48" s="26"/>
      <c r="CH48" s="26">
        <v>90</v>
      </c>
      <c r="CI48" s="26"/>
      <c r="CJ48" s="26"/>
      <c r="CK48" s="26"/>
      <c r="CL48" s="26"/>
      <c r="CM48" s="26"/>
      <c r="CN48" s="26"/>
      <c r="CO48" s="26"/>
      <c r="CP48" s="26">
        <v>250</v>
      </c>
      <c r="CQ48" s="26"/>
      <c r="CR48" s="26"/>
      <c r="CS48" s="26"/>
      <c r="CT48" s="26"/>
      <c r="CU48" s="26"/>
      <c r="CV48" s="26"/>
      <c r="CW48" s="26"/>
      <c r="CX48" s="26">
        <v>38</v>
      </c>
      <c r="CY48" s="26"/>
      <c r="CZ48" s="26"/>
      <c r="DA48" s="26"/>
      <c r="DB48" s="26"/>
      <c r="DC48" s="26"/>
      <c r="DD48" s="26"/>
      <c r="DE48" s="26"/>
      <c r="DF48" s="26">
        <v>5000</v>
      </c>
      <c r="DG48" s="26"/>
      <c r="DH48" s="26"/>
      <c r="DI48" s="26"/>
      <c r="DJ48" s="26"/>
      <c r="DK48" s="26"/>
      <c r="DL48" s="26"/>
      <c r="DM48" s="26"/>
      <c r="DN48" s="26">
        <v>2000000</v>
      </c>
      <c r="DO48" s="26"/>
      <c r="DP48" s="26"/>
      <c r="DQ48" s="26"/>
      <c r="DR48" s="26"/>
      <c r="DS48" s="26"/>
      <c r="DT48" s="26"/>
      <c r="DU48" s="26"/>
      <c r="DX48" s="21" t="s">
        <v>80</v>
      </c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4">
        <v>35.880000000000003</v>
      </c>
      <c r="EO48" s="21"/>
      <c r="EP48" s="21"/>
      <c r="EQ48" s="21"/>
      <c r="ER48" s="21"/>
      <c r="ES48" s="21"/>
      <c r="ET48" s="21"/>
      <c r="EU48" s="21"/>
      <c r="EV48" s="24">
        <v>34.491519444444442</v>
      </c>
      <c r="EW48" s="21"/>
      <c r="EX48" s="21"/>
      <c r="EY48" s="21"/>
      <c r="EZ48" s="21"/>
      <c r="FA48" s="21"/>
      <c r="FB48" s="21"/>
      <c r="FC48" s="21"/>
      <c r="FD48" s="24">
        <v>44.978041666666662</v>
      </c>
      <c r="FE48" s="21"/>
      <c r="FF48" s="21"/>
      <c r="FG48" s="21"/>
      <c r="FH48" s="21"/>
      <c r="FI48" s="21"/>
      <c r="FJ48" s="21"/>
      <c r="FK48" s="21"/>
      <c r="FL48" s="24">
        <v>34.883462777777773</v>
      </c>
      <c r="FM48" s="21"/>
      <c r="FN48" s="21"/>
      <c r="FO48" s="21"/>
      <c r="FP48" s="21"/>
      <c r="FQ48" s="21"/>
      <c r="FR48" s="21"/>
      <c r="FS48" s="21"/>
      <c r="FT48" s="24">
        <v>6.4561000000000002</v>
      </c>
      <c r="FU48" s="21"/>
      <c r="FV48" s="21"/>
      <c r="FW48" s="21"/>
      <c r="FX48" s="21"/>
      <c r="FY48" s="21"/>
      <c r="FZ48" s="21"/>
      <c r="GA48" s="21"/>
      <c r="GB48" s="24">
        <v>25.949430555555555</v>
      </c>
      <c r="GC48" s="21"/>
      <c r="GD48" s="21"/>
      <c r="GE48" s="21"/>
      <c r="GF48" s="21"/>
      <c r="GG48" s="21"/>
      <c r="GH48" s="21"/>
      <c r="GI48" s="21"/>
      <c r="GJ48" s="24">
        <v>0</v>
      </c>
      <c r="GK48" s="21"/>
      <c r="GL48" s="21"/>
      <c r="GM48" s="21"/>
      <c r="GN48" s="21"/>
      <c r="GO48" s="21"/>
      <c r="GP48" s="21"/>
      <c r="GQ48" s="21"/>
      <c r="GR48" s="24">
        <f t="shared" si="0"/>
        <v>182.63855444444442</v>
      </c>
      <c r="GS48" s="21"/>
      <c r="GT48" s="21"/>
      <c r="GU48" s="21"/>
      <c r="GV48" s="21"/>
      <c r="GW48" s="21"/>
      <c r="GX48" s="21"/>
      <c r="GY48" s="21"/>
    </row>
    <row r="49" spans="1:207" ht="25.2" x14ac:dyDescent="0.35">
      <c r="A49" s="21" t="s">
        <v>126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6">
        <v>20546</v>
      </c>
      <c r="M49" s="26"/>
      <c r="N49" s="26"/>
      <c r="O49" s="26"/>
      <c r="P49" s="26"/>
      <c r="Q49" s="26"/>
      <c r="R49" s="26"/>
      <c r="S49" s="26"/>
      <c r="T49" s="26">
        <v>250</v>
      </c>
      <c r="U49" s="26"/>
      <c r="V49" s="26"/>
      <c r="W49" s="26"/>
      <c r="X49" s="26"/>
      <c r="Y49" s="26"/>
      <c r="Z49" s="26"/>
      <c r="AA49" s="26"/>
      <c r="AB49" s="26">
        <v>38</v>
      </c>
      <c r="AC49" s="26"/>
      <c r="AD49" s="26"/>
      <c r="AE49" s="26"/>
      <c r="AF49" s="26"/>
      <c r="AG49" s="26"/>
      <c r="AH49" s="26"/>
      <c r="AI49" s="26"/>
      <c r="AJ49" s="26">
        <v>5000</v>
      </c>
      <c r="AK49" s="26"/>
      <c r="AL49" s="26"/>
      <c r="AM49" s="26"/>
      <c r="AN49" s="26"/>
      <c r="AO49" s="26"/>
      <c r="AP49" s="26"/>
      <c r="AQ49" s="26"/>
      <c r="AR49" s="26">
        <v>2000000</v>
      </c>
      <c r="AS49" s="26"/>
      <c r="AT49" s="26"/>
      <c r="AU49" s="26"/>
      <c r="AV49" s="26"/>
      <c r="AW49" s="26"/>
      <c r="AX49" s="26"/>
      <c r="AY49" s="26"/>
      <c r="BB49" s="21" t="s">
        <v>36</v>
      </c>
      <c r="BC49" s="21"/>
      <c r="BD49" s="21"/>
      <c r="BE49" s="21"/>
      <c r="BF49" s="21"/>
      <c r="BG49" s="21"/>
      <c r="BH49" s="21"/>
      <c r="BI49" s="21"/>
      <c r="BJ49" s="21" t="s">
        <v>126</v>
      </c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6">
        <v>20546</v>
      </c>
      <c r="CA49" s="26"/>
      <c r="CB49" s="26"/>
      <c r="CC49" s="26"/>
      <c r="CD49" s="26"/>
      <c r="CE49" s="26"/>
      <c r="CF49" s="26"/>
      <c r="CG49" s="26"/>
      <c r="CH49" s="26">
        <v>90</v>
      </c>
      <c r="CI49" s="26"/>
      <c r="CJ49" s="26"/>
      <c r="CK49" s="26"/>
      <c r="CL49" s="26"/>
      <c r="CM49" s="26"/>
      <c r="CN49" s="26"/>
      <c r="CO49" s="26"/>
      <c r="CP49" s="26">
        <v>250</v>
      </c>
      <c r="CQ49" s="26"/>
      <c r="CR49" s="26"/>
      <c r="CS49" s="26"/>
      <c r="CT49" s="26"/>
      <c r="CU49" s="26"/>
      <c r="CV49" s="26"/>
      <c r="CW49" s="26"/>
      <c r="CX49" s="26">
        <v>38</v>
      </c>
      <c r="CY49" s="26"/>
      <c r="CZ49" s="26"/>
      <c r="DA49" s="26"/>
      <c r="DB49" s="26"/>
      <c r="DC49" s="26"/>
      <c r="DD49" s="26"/>
      <c r="DE49" s="26"/>
      <c r="DF49" s="26">
        <v>5000</v>
      </c>
      <c r="DG49" s="26"/>
      <c r="DH49" s="26"/>
      <c r="DI49" s="26"/>
      <c r="DJ49" s="26"/>
      <c r="DK49" s="26"/>
      <c r="DL49" s="26"/>
      <c r="DM49" s="26"/>
      <c r="DN49" s="26">
        <v>2000000</v>
      </c>
      <c r="DO49" s="26"/>
      <c r="DP49" s="26"/>
      <c r="DQ49" s="26"/>
      <c r="DR49" s="26"/>
      <c r="DS49" s="26"/>
      <c r="DT49" s="26"/>
      <c r="DU49" s="26"/>
      <c r="DX49" s="21" t="s">
        <v>82</v>
      </c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4">
        <f>SUM(EN43:EU48)</f>
        <v>168</v>
      </c>
      <c r="EO49" s="21"/>
      <c r="EP49" s="21"/>
      <c r="EQ49" s="21"/>
      <c r="ER49" s="21"/>
      <c r="ES49" s="21"/>
      <c r="ET49" s="21"/>
      <c r="EU49" s="21"/>
      <c r="EV49" s="24">
        <f>SUM(EV43:FC48)</f>
        <v>167.99999999999997</v>
      </c>
      <c r="EW49" s="21"/>
      <c r="EX49" s="21"/>
      <c r="EY49" s="21"/>
      <c r="EZ49" s="21"/>
      <c r="FA49" s="21"/>
      <c r="FB49" s="21"/>
      <c r="FC49" s="21"/>
      <c r="FD49" s="24">
        <f>SUM(FD43:FK48)</f>
        <v>168</v>
      </c>
      <c r="FE49" s="21"/>
      <c r="FF49" s="21"/>
      <c r="FG49" s="21"/>
      <c r="FH49" s="21"/>
      <c r="FI49" s="21"/>
      <c r="FJ49" s="21"/>
      <c r="FK49" s="21"/>
      <c r="FL49" s="24">
        <f>SUM(FL43:FS48)</f>
        <v>133.65916666666666</v>
      </c>
      <c r="FM49" s="21"/>
      <c r="FN49" s="21"/>
      <c r="FO49" s="21"/>
      <c r="FP49" s="21"/>
      <c r="FQ49" s="21"/>
      <c r="FR49" s="21"/>
      <c r="FS49" s="21"/>
      <c r="FT49" s="24">
        <f>SUM(FT43:GA48)</f>
        <v>38.867222222222225</v>
      </c>
      <c r="FU49" s="21"/>
      <c r="FV49" s="21"/>
      <c r="FW49" s="21"/>
      <c r="FX49" s="21"/>
      <c r="FY49" s="21"/>
      <c r="FZ49" s="21"/>
      <c r="GA49" s="21"/>
      <c r="GB49" s="24">
        <f>SUM(GB43:GI48)</f>
        <v>128.82361111111112</v>
      </c>
      <c r="GC49" s="21"/>
      <c r="GD49" s="21"/>
      <c r="GE49" s="21"/>
      <c r="GF49" s="21"/>
      <c r="GG49" s="21"/>
      <c r="GH49" s="21"/>
      <c r="GI49" s="21"/>
      <c r="GJ49" s="24">
        <f>SUM(GJ43:GQ48)</f>
        <v>0</v>
      </c>
      <c r="GK49" s="21"/>
      <c r="GL49" s="21"/>
      <c r="GM49" s="21"/>
      <c r="GN49" s="21"/>
      <c r="GO49" s="21"/>
      <c r="GP49" s="21"/>
      <c r="GQ49" s="21"/>
      <c r="GR49" s="24">
        <f t="shared" si="0"/>
        <v>805.35000000000014</v>
      </c>
      <c r="GS49" s="21"/>
      <c r="GT49" s="21"/>
      <c r="GU49" s="21"/>
      <c r="GV49" s="21"/>
      <c r="GW49" s="21"/>
      <c r="GX49" s="21"/>
      <c r="GY49" s="21"/>
    </row>
    <row r="50" spans="1:207" ht="25.2" x14ac:dyDescent="0.35">
      <c r="A50" s="21" t="s">
        <v>72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6">
        <v>3128</v>
      </c>
      <c r="M50" s="26"/>
      <c r="N50" s="26"/>
      <c r="O50" s="26"/>
      <c r="P50" s="26"/>
      <c r="Q50" s="26"/>
      <c r="R50" s="26"/>
      <c r="S50" s="26"/>
      <c r="T50" s="26">
        <v>330</v>
      </c>
      <c r="U50" s="26"/>
      <c r="V50" s="26"/>
      <c r="W50" s="26"/>
      <c r="X50" s="26"/>
      <c r="Y50" s="26"/>
      <c r="Z50" s="26"/>
      <c r="AA50" s="26"/>
      <c r="AB50" s="26">
        <v>30</v>
      </c>
      <c r="AC50" s="26"/>
      <c r="AD50" s="26"/>
      <c r="AE50" s="26"/>
      <c r="AF50" s="26"/>
      <c r="AG50" s="26"/>
      <c r="AH50" s="26"/>
      <c r="AI50" s="26"/>
      <c r="AJ50" s="26">
        <v>265</v>
      </c>
      <c r="AK50" s="26"/>
      <c r="AL50" s="26"/>
      <c r="AM50" s="26"/>
      <c r="AN50" s="26"/>
      <c r="AO50" s="26"/>
      <c r="AP50" s="26"/>
      <c r="AQ50" s="26"/>
      <c r="AR50" s="26">
        <v>80303</v>
      </c>
      <c r="AS50" s="26"/>
      <c r="AT50" s="26"/>
      <c r="AU50" s="26"/>
      <c r="AV50" s="26"/>
      <c r="AW50" s="26"/>
      <c r="AX50" s="26"/>
      <c r="AY50" s="26"/>
      <c r="BB50" s="21" t="s">
        <v>36</v>
      </c>
      <c r="BC50" s="21"/>
      <c r="BD50" s="21"/>
      <c r="BE50" s="21"/>
      <c r="BF50" s="21"/>
      <c r="BG50" s="21"/>
      <c r="BH50" s="21"/>
      <c r="BI50" s="21"/>
      <c r="BJ50" s="21" t="s">
        <v>72</v>
      </c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6">
        <v>3128</v>
      </c>
      <c r="CA50" s="26"/>
      <c r="CB50" s="26"/>
      <c r="CC50" s="26"/>
      <c r="CD50" s="26"/>
      <c r="CE50" s="26"/>
      <c r="CF50" s="26"/>
      <c r="CG50" s="26"/>
      <c r="CH50" s="26">
        <v>74</v>
      </c>
      <c r="CI50" s="26"/>
      <c r="CJ50" s="26"/>
      <c r="CK50" s="26"/>
      <c r="CL50" s="26"/>
      <c r="CM50" s="26"/>
      <c r="CN50" s="26"/>
      <c r="CO50" s="26"/>
      <c r="CP50" s="26">
        <v>330</v>
      </c>
      <c r="CQ50" s="26"/>
      <c r="CR50" s="26"/>
      <c r="CS50" s="26"/>
      <c r="CT50" s="26"/>
      <c r="CU50" s="26"/>
      <c r="CV50" s="26"/>
      <c r="CW50" s="26"/>
      <c r="CX50" s="26">
        <v>30</v>
      </c>
      <c r="CY50" s="26"/>
      <c r="CZ50" s="26"/>
      <c r="DA50" s="26"/>
      <c r="DB50" s="26"/>
      <c r="DC50" s="26"/>
      <c r="DD50" s="26"/>
      <c r="DE50" s="26"/>
      <c r="DF50" s="26">
        <v>265</v>
      </c>
      <c r="DG50" s="26"/>
      <c r="DH50" s="26"/>
      <c r="DI50" s="26"/>
      <c r="DJ50" s="26"/>
      <c r="DK50" s="26"/>
      <c r="DL50" s="26"/>
      <c r="DM50" s="26"/>
      <c r="DN50" s="26">
        <v>80303</v>
      </c>
      <c r="DO50" s="26"/>
      <c r="DP50" s="26"/>
      <c r="DQ50" s="26"/>
      <c r="DR50" s="26"/>
      <c r="DS50" s="26"/>
      <c r="DT50" s="26"/>
      <c r="DU50" s="26"/>
      <c r="DX50" s="21" t="s">
        <v>84</v>
      </c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5">
        <f>IF(EN49=0,0,EN47/EN49)</f>
        <v>0.71500000000000008</v>
      </c>
      <c r="EO50" s="25"/>
      <c r="EP50" s="25"/>
      <c r="EQ50" s="25"/>
      <c r="ER50" s="25"/>
      <c r="ES50" s="25"/>
      <c r="ET50" s="25"/>
      <c r="EU50" s="25"/>
      <c r="EV50" s="25">
        <f>IF(EV49=0,0,EV47/EV49)</f>
        <v>0.59565067791005311</v>
      </c>
      <c r="EW50" s="25"/>
      <c r="EX50" s="25"/>
      <c r="EY50" s="25"/>
      <c r="EZ50" s="25"/>
      <c r="FA50" s="25"/>
      <c r="FB50" s="25"/>
      <c r="FC50" s="25"/>
      <c r="FD50" s="25">
        <f>IF(FD49=0,0,FD47/FD49)</f>
        <v>0.55370213293650794</v>
      </c>
      <c r="FE50" s="25"/>
      <c r="FF50" s="25"/>
      <c r="FG50" s="25"/>
      <c r="FH50" s="25"/>
      <c r="FI50" s="25"/>
      <c r="FJ50" s="25"/>
      <c r="FK50" s="25"/>
      <c r="FL50" s="25">
        <f>IF(FL49=0,0,FL47/FL49)</f>
        <v>0.66419465348221962</v>
      </c>
      <c r="FM50" s="25"/>
      <c r="FN50" s="25"/>
      <c r="FO50" s="25"/>
      <c r="FP50" s="25"/>
      <c r="FQ50" s="25"/>
      <c r="FR50" s="25"/>
      <c r="FS50" s="25"/>
      <c r="FT50" s="25">
        <f>IF(FT49=0,0,FT47/FT49)</f>
        <v>0.75670759423107159</v>
      </c>
      <c r="FU50" s="25"/>
      <c r="FV50" s="25"/>
      <c r="FW50" s="25"/>
      <c r="FX50" s="25"/>
      <c r="FY50" s="25"/>
      <c r="FZ50" s="25"/>
      <c r="GA50" s="25"/>
      <c r="GB50" s="25">
        <f>IF(GB49=0,0,GB47/GB49)</f>
        <v>0.67436535745474535</v>
      </c>
      <c r="GC50" s="25"/>
      <c r="GD50" s="25"/>
      <c r="GE50" s="25"/>
      <c r="GF50" s="25"/>
      <c r="GG50" s="25"/>
      <c r="GH50" s="25"/>
      <c r="GI50" s="25"/>
      <c r="GJ50" s="25">
        <f>IF(GJ49=0,0,GJ47/GJ49)</f>
        <v>0</v>
      </c>
      <c r="GK50" s="25"/>
      <c r="GL50" s="25"/>
      <c r="GM50" s="25"/>
      <c r="GN50" s="25"/>
      <c r="GO50" s="25"/>
      <c r="GP50" s="25"/>
      <c r="GQ50" s="25"/>
      <c r="GR50" s="25">
        <f>IF(GR49=0,0,GR47/GR49)</f>
        <v>0.64353669695025628</v>
      </c>
      <c r="GS50" s="25"/>
      <c r="GT50" s="25"/>
      <c r="GU50" s="25"/>
      <c r="GV50" s="25"/>
      <c r="GW50" s="25"/>
      <c r="GX50" s="25"/>
      <c r="GY50" s="25"/>
    </row>
    <row r="51" spans="1:207" ht="25.2" x14ac:dyDescent="0.35">
      <c r="A51" s="21" t="s">
        <v>73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6">
        <v>3751</v>
      </c>
      <c r="M51" s="26"/>
      <c r="N51" s="26"/>
      <c r="O51" s="26"/>
      <c r="P51" s="26"/>
      <c r="Q51" s="26"/>
      <c r="R51" s="26"/>
      <c r="S51" s="26"/>
      <c r="T51" s="26">
        <v>330</v>
      </c>
      <c r="U51" s="26"/>
      <c r="V51" s="26"/>
      <c r="W51" s="26"/>
      <c r="X51" s="26"/>
      <c r="Y51" s="26"/>
      <c r="Z51" s="26"/>
      <c r="AA51" s="26"/>
      <c r="AB51" s="26">
        <v>30</v>
      </c>
      <c r="AC51" s="26"/>
      <c r="AD51" s="26"/>
      <c r="AE51" s="26"/>
      <c r="AF51" s="26"/>
      <c r="AG51" s="26"/>
      <c r="AH51" s="26"/>
      <c r="AI51" s="26"/>
      <c r="AJ51" s="26">
        <v>4678</v>
      </c>
      <c r="AK51" s="26"/>
      <c r="AL51" s="26"/>
      <c r="AM51" s="26"/>
      <c r="AN51" s="26"/>
      <c r="AO51" s="26"/>
      <c r="AP51" s="26"/>
      <c r="AQ51" s="26"/>
      <c r="AR51" s="26">
        <v>1417574</v>
      </c>
      <c r="AS51" s="26"/>
      <c r="AT51" s="26"/>
      <c r="AU51" s="26"/>
      <c r="AV51" s="26"/>
      <c r="AW51" s="26"/>
      <c r="AX51" s="26"/>
      <c r="AY51" s="26"/>
      <c r="BB51" s="21" t="s">
        <v>36</v>
      </c>
      <c r="BC51" s="21"/>
      <c r="BD51" s="21"/>
      <c r="BE51" s="21"/>
      <c r="BF51" s="21"/>
      <c r="BG51" s="21"/>
      <c r="BH51" s="21"/>
      <c r="BI51" s="21"/>
      <c r="BJ51" s="21" t="s">
        <v>73</v>
      </c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6">
        <v>3751</v>
      </c>
      <c r="CA51" s="26"/>
      <c r="CB51" s="26"/>
      <c r="CC51" s="26"/>
      <c r="CD51" s="26"/>
      <c r="CE51" s="26"/>
      <c r="CF51" s="26"/>
      <c r="CG51" s="26"/>
      <c r="CH51" s="26">
        <v>75</v>
      </c>
      <c r="CI51" s="26"/>
      <c r="CJ51" s="26"/>
      <c r="CK51" s="26"/>
      <c r="CL51" s="26"/>
      <c r="CM51" s="26"/>
      <c r="CN51" s="26"/>
      <c r="CO51" s="26"/>
      <c r="CP51" s="26">
        <v>330</v>
      </c>
      <c r="CQ51" s="26"/>
      <c r="CR51" s="26"/>
      <c r="CS51" s="26"/>
      <c r="CT51" s="26"/>
      <c r="CU51" s="26"/>
      <c r="CV51" s="26"/>
      <c r="CW51" s="26"/>
      <c r="CX51" s="26">
        <v>30</v>
      </c>
      <c r="CY51" s="26"/>
      <c r="CZ51" s="26"/>
      <c r="DA51" s="26"/>
      <c r="DB51" s="26"/>
      <c r="DC51" s="26"/>
      <c r="DD51" s="26"/>
      <c r="DE51" s="26"/>
      <c r="DF51" s="26">
        <v>4678</v>
      </c>
      <c r="DG51" s="26"/>
      <c r="DH51" s="26"/>
      <c r="DI51" s="26"/>
      <c r="DJ51" s="26"/>
      <c r="DK51" s="26"/>
      <c r="DL51" s="26"/>
      <c r="DM51" s="26"/>
      <c r="DN51" s="26">
        <v>1417574</v>
      </c>
      <c r="DO51" s="26"/>
      <c r="DP51" s="26"/>
      <c r="DQ51" s="26"/>
      <c r="DR51" s="26"/>
      <c r="DS51" s="26"/>
      <c r="DT51" s="26"/>
      <c r="DU51" s="26"/>
    </row>
    <row r="52" spans="1:207" ht="25.2" x14ac:dyDescent="0.35">
      <c r="A52" s="21" t="s">
        <v>74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6">
        <v>13451</v>
      </c>
      <c r="M52" s="26"/>
      <c r="N52" s="26"/>
      <c r="O52" s="26"/>
      <c r="P52" s="26"/>
      <c r="Q52" s="26"/>
      <c r="R52" s="26"/>
      <c r="S52" s="26"/>
      <c r="T52" s="26">
        <v>320</v>
      </c>
      <c r="U52" s="26"/>
      <c r="V52" s="26"/>
      <c r="W52" s="26"/>
      <c r="X52" s="26"/>
      <c r="Y52" s="26"/>
      <c r="Z52" s="26"/>
      <c r="AA52" s="26"/>
      <c r="AB52" s="26">
        <v>30</v>
      </c>
      <c r="AC52" s="26"/>
      <c r="AD52" s="26"/>
      <c r="AE52" s="26"/>
      <c r="AF52" s="26"/>
      <c r="AG52" s="26"/>
      <c r="AH52" s="26"/>
      <c r="AI52" s="26"/>
      <c r="AJ52" s="26">
        <v>10000</v>
      </c>
      <c r="AK52" s="26"/>
      <c r="AL52" s="26"/>
      <c r="AM52" s="26"/>
      <c r="AN52" s="26"/>
      <c r="AO52" s="26"/>
      <c r="AP52" s="26"/>
      <c r="AQ52" s="26"/>
      <c r="AR52" s="26">
        <v>3125001</v>
      </c>
      <c r="AS52" s="26"/>
      <c r="AT52" s="26"/>
      <c r="AU52" s="26"/>
      <c r="AV52" s="26"/>
      <c r="AW52" s="26"/>
      <c r="AX52" s="26"/>
      <c r="AY52" s="26"/>
      <c r="BB52" s="21" t="s">
        <v>36</v>
      </c>
      <c r="BC52" s="21"/>
      <c r="BD52" s="21"/>
      <c r="BE52" s="21"/>
      <c r="BF52" s="21"/>
      <c r="BG52" s="21"/>
      <c r="BH52" s="21"/>
      <c r="BI52" s="21"/>
      <c r="BJ52" s="21" t="s">
        <v>127</v>
      </c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6">
        <v>9150</v>
      </c>
      <c r="CA52" s="26"/>
      <c r="CB52" s="26"/>
      <c r="CC52" s="26"/>
      <c r="CD52" s="26"/>
      <c r="CE52" s="26"/>
      <c r="CF52" s="26"/>
      <c r="CG52" s="26"/>
      <c r="CH52" s="26">
        <v>90</v>
      </c>
      <c r="CI52" s="26"/>
      <c r="CJ52" s="26"/>
      <c r="CK52" s="26"/>
      <c r="CL52" s="26"/>
      <c r="CM52" s="26"/>
      <c r="CN52" s="26"/>
      <c r="CO52" s="26"/>
      <c r="CP52" s="26">
        <v>250</v>
      </c>
      <c r="CQ52" s="26"/>
      <c r="CR52" s="26"/>
      <c r="CS52" s="26"/>
      <c r="CT52" s="26"/>
      <c r="CU52" s="26"/>
      <c r="CV52" s="26"/>
      <c r="CW52" s="26"/>
      <c r="CX52" s="26">
        <v>38</v>
      </c>
      <c r="CY52" s="26"/>
      <c r="CZ52" s="26"/>
      <c r="DA52" s="26"/>
      <c r="DB52" s="26"/>
      <c r="DC52" s="26"/>
      <c r="DD52" s="26"/>
      <c r="DE52" s="26"/>
      <c r="DF52" s="26">
        <v>3000</v>
      </c>
      <c r="DG52" s="26"/>
      <c r="DH52" s="26"/>
      <c r="DI52" s="26"/>
      <c r="DJ52" s="26"/>
      <c r="DK52" s="26"/>
      <c r="DL52" s="26"/>
      <c r="DM52" s="26"/>
      <c r="DN52" s="26">
        <v>1200000</v>
      </c>
      <c r="DO52" s="26"/>
      <c r="DP52" s="26"/>
      <c r="DQ52" s="26"/>
      <c r="DR52" s="26"/>
      <c r="DS52" s="26"/>
      <c r="DT52" s="26"/>
      <c r="DU52" s="26"/>
      <c r="DX52" s="21" t="s">
        <v>86</v>
      </c>
      <c r="DY52" s="21" t="s">
        <v>86</v>
      </c>
      <c r="DZ52" s="21" t="s">
        <v>86</v>
      </c>
      <c r="EA52" s="21" t="s">
        <v>86</v>
      </c>
      <c r="EB52" s="21" t="s">
        <v>86</v>
      </c>
      <c r="EC52" s="21" t="s">
        <v>86</v>
      </c>
      <c r="ED52" s="21" t="s">
        <v>86</v>
      </c>
      <c r="EE52" s="21" t="s">
        <v>86</v>
      </c>
      <c r="EF52" s="21" t="s">
        <v>86</v>
      </c>
      <c r="EG52" s="21" t="s">
        <v>86</v>
      </c>
      <c r="EH52" s="21" t="s">
        <v>86</v>
      </c>
      <c r="EI52" s="21" t="s">
        <v>86</v>
      </c>
      <c r="EJ52" s="21" t="s">
        <v>86</v>
      </c>
      <c r="EK52" s="21" t="s">
        <v>86</v>
      </c>
      <c r="EL52" s="21" t="s">
        <v>86</v>
      </c>
      <c r="EM52" s="21" t="s">
        <v>86</v>
      </c>
      <c r="EN52" s="21" t="s">
        <v>23</v>
      </c>
      <c r="EO52" s="21"/>
      <c r="EP52" s="21"/>
      <c r="EQ52" s="21"/>
      <c r="ER52" s="21"/>
      <c r="ES52" s="21"/>
      <c r="ET52" s="21"/>
      <c r="EU52" s="21"/>
      <c r="EV52" s="21" t="s">
        <v>29</v>
      </c>
      <c r="EW52" s="21"/>
      <c r="EX52" s="21"/>
      <c r="EY52" s="21"/>
      <c r="EZ52" s="21"/>
      <c r="FA52" s="21"/>
      <c r="FB52" s="21"/>
      <c r="FC52" s="21"/>
      <c r="FD52" s="21" t="s">
        <v>36</v>
      </c>
      <c r="FE52" s="21"/>
      <c r="FF52" s="21"/>
      <c r="FG52" s="21"/>
      <c r="FH52" s="21"/>
      <c r="FI52" s="21"/>
      <c r="FJ52" s="21"/>
      <c r="FK52" s="21"/>
      <c r="FL52" s="21" t="s">
        <v>41</v>
      </c>
      <c r="FM52" s="21"/>
      <c r="FN52" s="21"/>
      <c r="FO52" s="21"/>
      <c r="FP52" s="21"/>
      <c r="FQ52" s="21"/>
      <c r="FR52" s="21"/>
      <c r="FS52" s="21"/>
      <c r="FT52" s="21" t="s">
        <v>50</v>
      </c>
      <c r="FU52" s="21"/>
      <c r="FV52" s="21"/>
      <c r="FW52" s="21"/>
      <c r="FX52" s="21"/>
      <c r="FY52" s="21"/>
      <c r="FZ52" s="21"/>
      <c r="GA52" s="21"/>
      <c r="GB52" s="21" t="s">
        <v>53</v>
      </c>
      <c r="GC52" s="21"/>
      <c r="GD52" s="21"/>
      <c r="GE52" s="21"/>
      <c r="GF52" s="21"/>
      <c r="GG52" s="21"/>
      <c r="GH52" s="21"/>
      <c r="GI52" s="21"/>
      <c r="GJ52" s="21" t="s">
        <v>31</v>
      </c>
      <c r="GK52" s="21"/>
      <c r="GL52" s="21"/>
      <c r="GM52" s="21"/>
      <c r="GN52" s="21"/>
      <c r="GO52" s="21"/>
      <c r="GP52" s="21"/>
      <c r="GQ52" s="21"/>
      <c r="GR52" s="21" t="s">
        <v>69</v>
      </c>
      <c r="GS52" s="21"/>
      <c r="GT52" s="21"/>
      <c r="GU52" s="21"/>
      <c r="GV52" s="21"/>
      <c r="GW52" s="21"/>
      <c r="GX52" s="21"/>
      <c r="GY52" s="21"/>
    </row>
    <row r="53" spans="1:207" ht="25.2" x14ac:dyDescent="0.35">
      <c r="A53" s="21" t="s">
        <v>128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6">
        <v>22102</v>
      </c>
      <c r="M53" s="26"/>
      <c r="N53" s="26"/>
      <c r="O53" s="26"/>
      <c r="P53" s="26"/>
      <c r="Q53" s="26"/>
      <c r="R53" s="26"/>
      <c r="S53" s="26"/>
      <c r="T53" s="26">
        <v>269</v>
      </c>
      <c r="U53" s="26"/>
      <c r="V53" s="26"/>
      <c r="W53" s="26"/>
      <c r="X53" s="26"/>
      <c r="Y53" s="26"/>
      <c r="Z53" s="26"/>
      <c r="AA53" s="26"/>
      <c r="AB53" s="26">
        <v>24</v>
      </c>
      <c r="AC53" s="26"/>
      <c r="AD53" s="26"/>
      <c r="AE53" s="26"/>
      <c r="AF53" s="26"/>
      <c r="AG53" s="26"/>
      <c r="AH53" s="26"/>
      <c r="AI53" s="26"/>
      <c r="AJ53" s="26">
        <v>4600</v>
      </c>
      <c r="AK53" s="26"/>
      <c r="AL53" s="26"/>
      <c r="AM53" s="26"/>
      <c r="AN53" s="26"/>
      <c r="AO53" s="26"/>
      <c r="AP53" s="26"/>
      <c r="AQ53" s="26"/>
      <c r="AR53" s="26">
        <v>1710038</v>
      </c>
      <c r="AS53" s="26"/>
      <c r="AT53" s="26"/>
      <c r="AU53" s="26"/>
      <c r="AV53" s="26"/>
      <c r="AW53" s="26"/>
      <c r="AX53" s="26"/>
      <c r="AY53" s="26"/>
      <c r="BB53" s="21" t="s">
        <v>41</v>
      </c>
      <c r="BC53" s="21"/>
      <c r="BD53" s="21"/>
      <c r="BE53" s="21"/>
      <c r="BF53" s="21"/>
      <c r="BG53" s="21"/>
      <c r="BH53" s="21"/>
      <c r="BI53" s="21"/>
      <c r="BJ53" s="21" t="s">
        <v>122</v>
      </c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6">
        <v>7584</v>
      </c>
      <c r="CA53" s="26"/>
      <c r="CB53" s="26"/>
      <c r="CC53" s="26"/>
      <c r="CD53" s="26"/>
      <c r="CE53" s="26"/>
      <c r="CF53" s="26"/>
      <c r="CG53" s="26"/>
      <c r="CH53" s="26">
        <v>90</v>
      </c>
      <c r="CI53" s="26"/>
      <c r="CJ53" s="26"/>
      <c r="CK53" s="26"/>
      <c r="CL53" s="26"/>
      <c r="CM53" s="26"/>
      <c r="CN53" s="26"/>
      <c r="CO53" s="26"/>
      <c r="CP53" s="26">
        <v>269</v>
      </c>
      <c r="CQ53" s="26"/>
      <c r="CR53" s="26"/>
      <c r="CS53" s="26"/>
      <c r="CT53" s="26"/>
      <c r="CU53" s="26"/>
      <c r="CV53" s="26"/>
      <c r="CW53" s="26"/>
      <c r="CX53" s="26">
        <v>6</v>
      </c>
      <c r="CY53" s="26"/>
      <c r="CZ53" s="26"/>
      <c r="DA53" s="26"/>
      <c r="DB53" s="26"/>
      <c r="DC53" s="26"/>
      <c r="DD53" s="26"/>
      <c r="DE53" s="26"/>
      <c r="DF53" s="26">
        <v>6300</v>
      </c>
      <c r="DG53" s="26"/>
      <c r="DH53" s="26"/>
      <c r="DI53" s="26"/>
      <c r="DJ53" s="26"/>
      <c r="DK53" s="26"/>
      <c r="DL53" s="26"/>
      <c r="DM53" s="26"/>
      <c r="DN53" s="26">
        <v>2342008</v>
      </c>
      <c r="DO53" s="26"/>
      <c r="DP53" s="26"/>
      <c r="DQ53" s="26"/>
      <c r="DR53" s="26"/>
      <c r="DS53" s="26"/>
      <c r="DT53" s="26"/>
      <c r="DU53" s="26"/>
      <c r="DX53" s="21" t="s">
        <v>86</v>
      </c>
      <c r="DY53" s="21" t="s">
        <v>86</v>
      </c>
      <c r="DZ53" s="21" t="s">
        <v>86</v>
      </c>
      <c r="EA53" s="21" t="s">
        <v>86</v>
      </c>
      <c r="EB53" s="21" t="s">
        <v>86</v>
      </c>
      <c r="EC53" s="21" t="s">
        <v>86</v>
      </c>
      <c r="ED53" s="21" t="s">
        <v>86</v>
      </c>
      <c r="EE53" s="21" t="s">
        <v>86</v>
      </c>
      <c r="EF53" s="21" t="s">
        <v>86</v>
      </c>
      <c r="EG53" s="21" t="s">
        <v>86</v>
      </c>
      <c r="EH53" s="21" t="s">
        <v>86</v>
      </c>
      <c r="EI53" s="21" t="s">
        <v>86</v>
      </c>
      <c r="EJ53" s="21" t="s">
        <v>86</v>
      </c>
      <c r="EK53" s="21" t="s">
        <v>86</v>
      </c>
      <c r="EL53" s="21" t="s">
        <v>86</v>
      </c>
      <c r="EM53" s="21" t="s">
        <v>86</v>
      </c>
      <c r="EN53" s="21" t="s">
        <v>88</v>
      </c>
      <c r="EO53" s="21"/>
      <c r="EP53" s="21"/>
      <c r="EQ53" s="21" t="s">
        <v>89</v>
      </c>
      <c r="ER53" s="21"/>
      <c r="ES53" s="21" t="s">
        <v>84</v>
      </c>
      <c r="ET53" s="21"/>
      <c r="EU53" s="21"/>
      <c r="EV53" s="21" t="s">
        <v>88</v>
      </c>
      <c r="EW53" s="21"/>
      <c r="EX53" s="21"/>
      <c r="EY53" s="21" t="s">
        <v>89</v>
      </c>
      <c r="EZ53" s="21"/>
      <c r="FA53" s="21" t="s">
        <v>84</v>
      </c>
      <c r="FB53" s="21"/>
      <c r="FC53" s="21"/>
      <c r="FD53" s="21" t="s">
        <v>88</v>
      </c>
      <c r="FE53" s="21"/>
      <c r="FF53" s="21"/>
      <c r="FG53" s="21" t="s">
        <v>89</v>
      </c>
      <c r="FH53" s="21"/>
      <c r="FI53" s="21" t="s">
        <v>84</v>
      </c>
      <c r="FJ53" s="21"/>
      <c r="FK53" s="21"/>
      <c r="FL53" s="21" t="s">
        <v>88</v>
      </c>
      <c r="FM53" s="21"/>
      <c r="FN53" s="21"/>
      <c r="FO53" s="21" t="s">
        <v>89</v>
      </c>
      <c r="FP53" s="21"/>
      <c r="FQ53" s="21" t="s">
        <v>84</v>
      </c>
      <c r="FR53" s="21"/>
      <c r="FS53" s="21"/>
      <c r="FT53" s="21" t="s">
        <v>88</v>
      </c>
      <c r="FU53" s="21"/>
      <c r="FV53" s="21"/>
      <c r="FW53" s="21" t="s">
        <v>89</v>
      </c>
      <c r="FX53" s="21"/>
      <c r="FY53" s="21" t="s">
        <v>84</v>
      </c>
      <c r="FZ53" s="21"/>
      <c r="GA53" s="21"/>
      <c r="GB53" s="21" t="s">
        <v>88</v>
      </c>
      <c r="GC53" s="21"/>
      <c r="GD53" s="21"/>
      <c r="GE53" s="21" t="s">
        <v>89</v>
      </c>
      <c r="GF53" s="21"/>
      <c r="GG53" s="21" t="s">
        <v>84</v>
      </c>
      <c r="GH53" s="21"/>
      <c r="GI53" s="21"/>
      <c r="GJ53" s="21" t="s">
        <v>88</v>
      </c>
      <c r="GK53" s="21"/>
      <c r="GL53" s="21"/>
      <c r="GM53" s="21" t="s">
        <v>89</v>
      </c>
      <c r="GN53" s="21"/>
      <c r="GO53" s="21" t="s">
        <v>84</v>
      </c>
      <c r="GP53" s="21"/>
      <c r="GQ53" s="21"/>
      <c r="GR53" s="21" t="s">
        <v>88</v>
      </c>
      <c r="GS53" s="21"/>
      <c r="GT53" s="21"/>
      <c r="GU53" s="21" t="s">
        <v>89</v>
      </c>
      <c r="GV53" s="21"/>
      <c r="GW53" s="21" t="s">
        <v>84</v>
      </c>
      <c r="GX53" s="21"/>
      <c r="GY53" s="21"/>
    </row>
    <row r="54" spans="1:207" ht="25.2" x14ac:dyDescent="0.35">
      <c r="A54" s="21" t="s">
        <v>77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6">
        <v>20867</v>
      </c>
      <c r="M54" s="26"/>
      <c r="N54" s="26"/>
      <c r="O54" s="26"/>
      <c r="P54" s="26"/>
      <c r="Q54" s="26"/>
      <c r="R54" s="26"/>
      <c r="S54" s="26"/>
      <c r="T54" s="26">
        <v>330</v>
      </c>
      <c r="U54" s="26"/>
      <c r="V54" s="26"/>
      <c r="W54" s="26"/>
      <c r="X54" s="26"/>
      <c r="Y54" s="26"/>
      <c r="Z54" s="26"/>
      <c r="AA54" s="26"/>
      <c r="AB54" s="26">
        <v>30</v>
      </c>
      <c r="AC54" s="26"/>
      <c r="AD54" s="26"/>
      <c r="AE54" s="26"/>
      <c r="AF54" s="26"/>
      <c r="AG54" s="26"/>
      <c r="AH54" s="26"/>
      <c r="AI54" s="26"/>
      <c r="AJ54" s="26">
        <v>7000</v>
      </c>
      <c r="AK54" s="26"/>
      <c r="AL54" s="26"/>
      <c r="AM54" s="26"/>
      <c r="AN54" s="26"/>
      <c r="AO54" s="26"/>
      <c r="AP54" s="26"/>
      <c r="AQ54" s="26"/>
      <c r="AR54" s="26">
        <v>2121213</v>
      </c>
      <c r="AS54" s="26"/>
      <c r="AT54" s="26"/>
      <c r="AU54" s="26"/>
      <c r="AV54" s="26"/>
      <c r="AW54" s="26"/>
      <c r="AX54" s="26"/>
      <c r="AY54" s="26"/>
      <c r="BB54" s="21" t="s">
        <v>41</v>
      </c>
      <c r="BC54" s="21"/>
      <c r="BD54" s="21"/>
      <c r="BE54" s="21"/>
      <c r="BF54" s="21"/>
      <c r="BG54" s="21"/>
      <c r="BH54" s="21"/>
      <c r="BI54" s="21"/>
      <c r="BJ54" s="21" t="s">
        <v>124</v>
      </c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6">
        <v>9909</v>
      </c>
      <c r="CA54" s="26"/>
      <c r="CB54" s="26"/>
      <c r="CC54" s="26"/>
      <c r="CD54" s="26"/>
      <c r="CE54" s="26"/>
      <c r="CF54" s="26"/>
      <c r="CG54" s="26"/>
      <c r="CH54" s="26">
        <v>90</v>
      </c>
      <c r="CI54" s="26"/>
      <c r="CJ54" s="26"/>
      <c r="CK54" s="26"/>
      <c r="CL54" s="26"/>
      <c r="CM54" s="26"/>
      <c r="CN54" s="26"/>
      <c r="CO54" s="26"/>
      <c r="CP54" s="26">
        <v>269</v>
      </c>
      <c r="CQ54" s="26"/>
      <c r="CR54" s="26"/>
      <c r="CS54" s="26"/>
      <c r="CT54" s="26"/>
      <c r="CU54" s="26"/>
      <c r="CV54" s="26"/>
      <c r="CW54" s="26"/>
      <c r="CX54" s="26">
        <v>6</v>
      </c>
      <c r="CY54" s="26"/>
      <c r="CZ54" s="26"/>
      <c r="DA54" s="26"/>
      <c r="DB54" s="26"/>
      <c r="DC54" s="26"/>
      <c r="DD54" s="26"/>
      <c r="DE54" s="26"/>
      <c r="DF54" s="26">
        <v>1717</v>
      </c>
      <c r="DG54" s="26"/>
      <c r="DH54" s="26"/>
      <c r="DI54" s="26"/>
      <c r="DJ54" s="26"/>
      <c r="DK54" s="26"/>
      <c r="DL54" s="26"/>
      <c r="DM54" s="26"/>
      <c r="DN54" s="26">
        <v>638290</v>
      </c>
      <c r="DO54" s="26"/>
      <c r="DP54" s="26"/>
      <c r="DQ54" s="26"/>
      <c r="DR54" s="26"/>
      <c r="DS54" s="26"/>
      <c r="DT54" s="26"/>
      <c r="DU54" s="26"/>
      <c r="DX54" s="20">
        <v>46258</v>
      </c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19">
        <v>18.48</v>
      </c>
      <c r="EO54" s="18"/>
      <c r="EP54" s="18"/>
      <c r="EQ54" s="19">
        <v>24</v>
      </c>
      <c r="ER54" s="18"/>
      <c r="ES54" s="17">
        <f t="shared" ref="ES54:ES61" si="1">IF(EQ54=0,0,EN54/EQ54)</f>
        <v>0.77</v>
      </c>
      <c r="ET54" s="18"/>
      <c r="EU54" s="18"/>
      <c r="EV54" s="19">
        <v>15.76845</v>
      </c>
      <c r="EW54" s="18"/>
      <c r="EX54" s="18"/>
      <c r="EY54" s="19">
        <v>23.422777777777778</v>
      </c>
      <c r="EZ54" s="18"/>
      <c r="FA54" s="17">
        <f t="shared" ref="FA54:FA61" si="2">IF(EY54=0,0,EV54/EY54)</f>
        <v>0.67321007566234192</v>
      </c>
      <c r="FB54" s="18"/>
      <c r="FC54" s="18"/>
      <c r="FD54" s="19">
        <v>15.6</v>
      </c>
      <c r="FE54" s="18"/>
      <c r="FF54" s="18"/>
      <c r="FG54" s="19">
        <v>24</v>
      </c>
      <c r="FH54" s="18"/>
      <c r="FI54" s="17">
        <f t="shared" ref="FI54:FI61" si="3">IF(FG54=0,0,FD54/FG54)</f>
        <v>0.65</v>
      </c>
      <c r="FJ54" s="18"/>
      <c r="FK54" s="18"/>
      <c r="FL54" s="19">
        <v>7.2186000000000003</v>
      </c>
      <c r="FM54" s="18"/>
      <c r="FN54" s="18"/>
      <c r="FO54" s="19">
        <v>11.025833333333333</v>
      </c>
      <c r="FP54" s="18"/>
      <c r="FQ54" s="17">
        <f t="shared" ref="FQ54:FQ61" si="4">IF(FO54=0,0,FL54/FO54)</f>
        <v>0.65469881339278968</v>
      </c>
      <c r="FR54" s="18"/>
      <c r="FS54" s="18"/>
      <c r="FT54" s="19">
        <v>0</v>
      </c>
      <c r="FU54" s="18"/>
      <c r="FV54" s="18"/>
      <c r="FW54" s="19">
        <v>0</v>
      </c>
      <c r="FX54" s="18"/>
      <c r="FY54" s="17">
        <f t="shared" ref="FY54:FY61" si="5">IF(FW54=0,0,FT54/FW54)</f>
        <v>0</v>
      </c>
      <c r="FZ54" s="18"/>
      <c r="GA54" s="18"/>
      <c r="GB54" s="19">
        <v>12.004513888888887</v>
      </c>
      <c r="GC54" s="18"/>
      <c r="GD54" s="18"/>
      <c r="GE54" s="19">
        <v>18.590277777777775</v>
      </c>
      <c r="GF54" s="18"/>
      <c r="GG54" s="17">
        <f t="shared" ref="GG54:GG61" si="6">IF(GE54=0,0,GB54/GE54)</f>
        <v>0.64574150168098621</v>
      </c>
      <c r="GH54" s="18"/>
      <c r="GI54" s="18"/>
      <c r="GJ54" s="19">
        <v>0</v>
      </c>
      <c r="GK54" s="18"/>
      <c r="GL54" s="18"/>
      <c r="GM54" s="19">
        <v>0</v>
      </c>
      <c r="GN54" s="18"/>
      <c r="GO54" s="17">
        <f t="shared" ref="GO54:GO61" si="7">IF(GM54=0,0,GJ54/GM54)</f>
        <v>0</v>
      </c>
      <c r="GP54" s="18"/>
      <c r="GQ54" s="18"/>
      <c r="GR54" s="19">
        <v>69.071563720703125</v>
      </c>
      <c r="GS54" s="18"/>
      <c r="GT54" s="18"/>
      <c r="GU54" s="19">
        <v>101.03888702392578</v>
      </c>
      <c r="GV54" s="18"/>
      <c r="GW54" s="17">
        <f t="shared" ref="GW54:GW61" si="8">IF(GU54=0,0,GR54/GU54)</f>
        <v>0.68361366356249686</v>
      </c>
      <c r="GX54" s="18"/>
      <c r="GY54" s="18"/>
    </row>
    <row r="55" spans="1:207" ht="25.2" x14ac:dyDescent="0.35">
      <c r="A55" s="21" t="s">
        <v>71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6">
        <v>3617</v>
      </c>
      <c r="M55" s="26"/>
      <c r="N55" s="26"/>
      <c r="O55" s="26"/>
      <c r="P55" s="26"/>
      <c r="Q55" s="26"/>
      <c r="R55" s="26"/>
      <c r="S55" s="26"/>
      <c r="T55" s="26">
        <v>175</v>
      </c>
      <c r="U55" s="26"/>
      <c r="V55" s="26"/>
      <c r="W55" s="26"/>
      <c r="X55" s="26"/>
      <c r="Y55" s="26"/>
      <c r="Z55" s="26"/>
      <c r="AA55" s="26"/>
      <c r="AB55" s="26">
        <v>38</v>
      </c>
      <c r="AC55" s="26"/>
      <c r="AD55" s="26"/>
      <c r="AE55" s="26"/>
      <c r="AF55" s="26"/>
      <c r="AG55" s="26"/>
      <c r="AH55" s="26"/>
      <c r="AI55" s="26"/>
      <c r="AJ55" s="26">
        <v>12614</v>
      </c>
      <c r="AK55" s="26"/>
      <c r="AL55" s="26"/>
      <c r="AM55" s="26"/>
      <c r="AN55" s="26"/>
      <c r="AO55" s="26"/>
      <c r="AP55" s="26"/>
      <c r="AQ55" s="26"/>
      <c r="AR55" s="26">
        <v>7207766</v>
      </c>
      <c r="AS55" s="26"/>
      <c r="AT55" s="26"/>
      <c r="AU55" s="26"/>
      <c r="AV55" s="26"/>
      <c r="AW55" s="26"/>
      <c r="AX55" s="26"/>
      <c r="AY55" s="26"/>
      <c r="BB55" s="21" t="s">
        <v>41</v>
      </c>
      <c r="BC55" s="21"/>
      <c r="BD55" s="21"/>
      <c r="BE55" s="21"/>
      <c r="BF55" s="21"/>
      <c r="BG55" s="21"/>
      <c r="BH55" s="21"/>
      <c r="BI55" s="21"/>
      <c r="BJ55" s="21" t="s">
        <v>125</v>
      </c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6">
        <v>2174</v>
      </c>
      <c r="CA55" s="26"/>
      <c r="CB55" s="26"/>
      <c r="CC55" s="26"/>
      <c r="CD55" s="26"/>
      <c r="CE55" s="26"/>
      <c r="CF55" s="26"/>
      <c r="CG55" s="26"/>
      <c r="CH55" s="26">
        <v>90</v>
      </c>
      <c r="CI55" s="26"/>
      <c r="CJ55" s="26"/>
      <c r="CK55" s="26"/>
      <c r="CL55" s="26"/>
      <c r="CM55" s="26"/>
      <c r="CN55" s="26"/>
      <c r="CO55" s="26"/>
      <c r="CP55" s="26">
        <v>330</v>
      </c>
      <c r="CQ55" s="26"/>
      <c r="CR55" s="26"/>
      <c r="CS55" s="26"/>
      <c r="CT55" s="26"/>
      <c r="CU55" s="26"/>
      <c r="CV55" s="26"/>
      <c r="CW55" s="26"/>
      <c r="CX55" s="26">
        <v>6</v>
      </c>
      <c r="CY55" s="26"/>
      <c r="CZ55" s="26"/>
      <c r="DA55" s="26"/>
      <c r="DB55" s="26"/>
      <c r="DC55" s="26"/>
      <c r="DD55" s="26"/>
      <c r="DE55" s="26"/>
      <c r="DF55" s="26">
        <v>2100</v>
      </c>
      <c r="DG55" s="26"/>
      <c r="DH55" s="26"/>
      <c r="DI55" s="26"/>
      <c r="DJ55" s="26"/>
      <c r="DK55" s="26"/>
      <c r="DL55" s="26"/>
      <c r="DM55" s="26"/>
      <c r="DN55" s="26">
        <v>636364</v>
      </c>
      <c r="DO55" s="26"/>
      <c r="DP55" s="26"/>
      <c r="DQ55" s="26"/>
      <c r="DR55" s="26"/>
      <c r="DS55" s="26"/>
      <c r="DT55" s="26"/>
      <c r="DU55" s="26"/>
      <c r="DX55" s="20">
        <v>46259</v>
      </c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19">
        <v>18.48</v>
      </c>
      <c r="EO55" s="18"/>
      <c r="EP55" s="18"/>
      <c r="EQ55" s="19">
        <v>24</v>
      </c>
      <c r="ER55" s="18"/>
      <c r="ES55" s="17">
        <f t="shared" si="1"/>
        <v>0.77</v>
      </c>
      <c r="ET55" s="18"/>
      <c r="EU55" s="18"/>
      <c r="EV55" s="19">
        <v>17.02</v>
      </c>
      <c r="EW55" s="18"/>
      <c r="EX55" s="18"/>
      <c r="EY55" s="19">
        <v>24</v>
      </c>
      <c r="EZ55" s="18"/>
      <c r="FA55" s="17">
        <f t="shared" si="2"/>
        <v>0.70916666666666661</v>
      </c>
      <c r="FB55" s="18"/>
      <c r="FC55" s="18"/>
      <c r="FD55" s="19">
        <v>10.691491666666666</v>
      </c>
      <c r="FE55" s="18"/>
      <c r="FF55" s="18"/>
      <c r="FG55" s="19">
        <v>24</v>
      </c>
      <c r="FH55" s="18"/>
      <c r="FI55" s="17">
        <f t="shared" si="3"/>
        <v>0.4454788194444444</v>
      </c>
      <c r="FJ55" s="18"/>
      <c r="FK55" s="18"/>
      <c r="FL55" s="19">
        <v>17.28</v>
      </c>
      <c r="FM55" s="18"/>
      <c r="FN55" s="18"/>
      <c r="FO55" s="19">
        <v>24</v>
      </c>
      <c r="FP55" s="18"/>
      <c r="FQ55" s="17">
        <f t="shared" si="4"/>
        <v>0.72000000000000008</v>
      </c>
      <c r="FR55" s="18"/>
      <c r="FS55" s="18"/>
      <c r="FT55" s="19">
        <v>9.4115500000000001</v>
      </c>
      <c r="FU55" s="18"/>
      <c r="FV55" s="18"/>
      <c r="FW55" s="19">
        <v>12.477499999999999</v>
      </c>
      <c r="FX55" s="18"/>
      <c r="FY55" s="17">
        <f t="shared" si="5"/>
        <v>0.75428170707273101</v>
      </c>
      <c r="FZ55" s="18"/>
      <c r="GA55" s="18"/>
      <c r="GB55" s="19">
        <v>17.71</v>
      </c>
      <c r="GC55" s="18"/>
      <c r="GD55" s="18"/>
      <c r="GE55" s="19">
        <v>24</v>
      </c>
      <c r="GF55" s="18"/>
      <c r="GG55" s="17">
        <f t="shared" si="6"/>
        <v>0.73791666666666667</v>
      </c>
      <c r="GH55" s="18"/>
      <c r="GI55" s="18"/>
      <c r="GJ55" s="19">
        <v>0</v>
      </c>
      <c r="GK55" s="18"/>
      <c r="GL55" s="18"/>
      <c r="GM55" s="19">
        <v>0</v>
      </c>
      <c r="GN55" s="18"/>
      <c r="GO55" s="17">
        <f t="shared" si="7"/>
        <v>0</v>
      </c>
      <c r="GP55" s="18"/>
      <c r="GQ55" s="18"/>
      <c r="GR55" s="19">
        <v>90.593040466308594</v>
      </c>
      <c r="GS55" s="18"/>
      <c r="GT55" s="18"/>
      <c r="GU55" s="19">
        <v>132.47749328613281</v>
      </c>
      <c r="GV55" s="18"/>
      <c r="GW55" s="17">
        <f t="shared" si="8"/>
        <v>0.68383721807477382</v>
      </c>
      <c r="GX55" s="18"/>
      <c r="GY55" s="18"/>
    </row>
    <row r="56" spans="1:207" ht="25.2" x14ac:dyDescent="0.35">
      <c r="A56" s="21" t="s">
        <v>127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6">
        <v>9150</v>
      </c>
      <c r="M56" s="26"/>
      <c r="N56" s="26"/>
      <c r="O56" s="26"/>
      <c r="P56" s="26"/>
      <c r="Q56" s="26"/>
      <c r="R56" s="26"/>
      <c r="S56" s="26"/>
      <c r="T56" s="26">
        <v>250</v>
      </c>
      <c r="U56" s="26"/>
      <c r="V56" s="26"/>
      <c r="W56" s="26"/>
      <c r="X56" s="26"/>
      <c r="Y56" s="26"/>
      <c r="Z56" s="26"/>
      <c r="AA56" s="26"/>
      <c r="AB56" s="26">
        <v>38</v>
      </c>
      <c r="AC56" s="26"/>
      <c r="AD56" s="26"/>
      <c r="AE56" s="26"/>
      <c r="AF56" s="26"/>
      <c r="AG56" s="26"/>
      <c r="AH56" s="26"/>
      <c r="AI56" s="26"/>
      <c r="AJ56" s="26">
        <v>3000</v>
      </c>
      <c r="AK56" s="26"/>
      <c r="AL56" s="26"/>
      <c r="AM56" s="26"/>
      <c r="AN56" s="26"/>
      <c r="AO56" s="26"/>
      <c r="AP56" s="26"/>
      <c r="AQ56" s="26"/>
      <c r="AR56" s="26">
        <v>1200000</v>
      </c>
      <c r="AS56" s="26"/>
      <c r="AT56" s="26"/>
      <c r="AU56" s="26"/>
      <c r="AV56" s="26"/>
      <c r="AW56" s="26"/>
      <c r="AX56" s="26"/>
      <c r="AY56" s="26"/>
      <c r="BB56" s="21" t="s">
        <v>41</v>
      </c>
      <c r="BC56" s="21"/>
      <c r="BD56" s="21"/>
      <c r="BE56" s="21"/>
      <c r="BF56" s="21"/>
      <c r="BG56" s="21"/>
      <c r="BH56" s="21"/>
      <c r="BI56" s="21"/>
      <c r="BJ56" s="21" t="s">
        <v>128</v>
      </c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6">
        <v>22102</v>
      </c>
      <c r="CA56" s="26"/>
      <c r="CB56" s="26"/>
      <c r="CC56" s="26"/>
      <c r="CD56" s="26"/>
      <c r="CE56" s="26"/>
      <c r="CF56" s="26"/>
      <c r="CG56" s="26"/>
      <c r="CH56" s="26">
        <v>90</v>
      </c>
      <c r="CI56" s="26"/>
      <c r="CJ56" s="26"/>
      <c r="CK56" s="26"/>
      <c r="CL56" s="26"/>
      <c r="CM56" s="26"/>
      <c r="CN56" s="26"/>
      <c r="CO56" s="26"/>
      <c r="CP56" s="26">
        <v>269</v>
      </c>
      <c r="CQ56" s="26"/>
      <c r="CR56" s="26"/>
      <c r="CS56" s="26"/>
      <c r="CT56" s="26"/>
      <c r="CU56" s="26"/>
      <c r="CV56" s="26"/>
      <c r="CW56" s="26"/>
      <c r="CX56" s="26">
        <v>24</v>
      </c>
      <c r="CY56" s="26"/>
      <c r="CZ56" s="26"/>
      <c r="DA56" s="26"/>
      <c r="DB56" s="26"/>
      <c r="DC56" s="26"/>
      <c r="DD56" s="26"/>
      <c r="DE56" s="26"/>
      <c r="DF56" s="26">
        <v>4600</v>
      </c>
      <c r="DG56" s="26"/>
      <c r="DH56" s="26"/>
      <c r="DI56" s="26"/>
      <c r="DJ56" s="26"/>
      <c r="DK56" s="26"/>
      <c r="DL56" s="26"/>
      <c r="DM56" s="26"/>
      <c r="DN56" s="26">
        <v>1710038</v>
      </c>
      <c r="DO56" s="26"/>
      <c r="DP56" s="26"/>
      <c r="DQ56" s="26"/>
      <c r="DR56" s="26"/>
      <c r="DS56" s="26"/>
      <c r="DT56" s="26"/>
      <c r="DU56" s="26"/>
      <c r="DX56" s="20">
        <v>46260</v>
      </c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19">
        <v>18.48</v>
      </c>
      <c r="EO56" s="18"/>
      <c r="EP56" s="18"/>
      <c r="EQ56" s="19">
        <v>24</v>
      </c>
      <c r="ER56" s="18"/>
      <c r="ES56" s="17">
        <f t="shared" si="1"/>
        <v>0.77</v>
      </c>
      <c r="ET56" s="18"/>
      <c r="EU56" s="18"/>
      <c r="EV56" s="19">
        <v>17.760000000000002</v>
      </c>
      <c r="EW56" s="18"/>
      <c r="EX56" s="18"/>
      <c r="EY56" s="19">
        <v>24</v>
      </c>
      <c r="EZ56" s="18"/>
      <c r="FA56" s="17">
        <f t="shared" si="2"/>
        <v>0.7400000000000001</v>
      </c>
      <c r="FB56" s="18"/>
      <c r="FC56" s="18"/>
      <c r="FD56" s="19">
        <v>16.32</v>
      </c>
      <c r="FE56" s="18"/>
      <c r="FF56" s="18"/>
      <c r="FG56" s="19">
        <v>24</v>
      </c>
      <c r="FH56" s="18"/>
      <c r="FI56" s="17">
        <f t="shared" si="3"/>
        <v>0.68</v>
      </c>
      <c r="FJ56" s="18"/>
      <c r="FK56" s="18"/>
      <c r="FL56" s="19">
        <v>16.559999999999999</v>
      </c>
      <c r="FM56" s="18"/>
      <c r="FN56" s="18"/>
      <c r="FO56" s="19">
        <v>24</v>
      </c>
      <c r="FP56" s="18"/>
      <c r="FQ56" s="17">
        <f t="shared" si="4"/>
        <v>0.69</v>
      </c>
      <c r="FR56" s="18"/>
      <c r="FS56" s="18"/>
      <c r="FT56" s="19">
        <v>9.4115500000000001</v>
      </c>
      <c r="FU56" s="18"/>
      <c r="FV56" s="18"/>
      <c r="FW56" s="19">
        <v>12.477499999999999</v>
      </c>
      <c r="FX56" s="18"/>
      <c r="FY56" s="17">
        <f t="shared" si="5"/>
        <v>0.75428170707273101</v>
      </c>
      <c r="FZ56" s="18"/>
      <c r="GA56" s="18"/>
      <c r="GB56" s="19">
        <v>14.63</v>
      </c>
      <c r="GC56" s="18"/>
      <c r="GD56" s="18"/>
      <c r="GE56" s="19">
        <v>24</v>
      </c>
      <c r="GF56" s="18"/>
      <c r="GG56" s="17">
        <f t="shared" si="6"/>
        <v>0.60958333333333337</v>
      </c>
      <c r="GH56" s="18"/>
      <c r="GI56" s="18"/>
      <c r="GJ56" s="19">
        <v>0</v>
      </c>
      <c r="GK56" s="18"/>
      <c r="GL56" s="18"/>
      <c r="GM56" s="19">
        <v>0</v>
      </c>
      <c r="GN56" s="18"/>
      <c r="GO56" s="17">
        <f t="shared" si="7"/>
        <v>0</v>
      </c>
      <c r="GP56" s="18"/>
      <c r="GQ56" s="18"/>
      <c r="GR56" s="19">
        <v>93.161552429199219</v>
      </c>
      <c r="GS56" s="18"/>
      <c r="GT56" s="18"/>
      <c r="GU56" s="19">
        <v>132.47749328613281</v>
      </c>
      <c r="GV56" s="18"/>
      <c r="GW56" s="17">
        <f t="shared" si="8"/>
        <v>0.70322550735454603</v>
      </c>
      <c r="GX56" s="18"/>
      <c r="GY56" s="18"/>
    </row>
    <row r="57" spans="1:207" ht="25.2" x14ac:dyDescent="0.35">
      <c r="A57" s="21" t="s">
        <v>129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6">
        <v>9480</v>
      </c>
      <c r="M57" s="26"/>
      <c r="N57" s="26"/>
      <c r="O57" s="26"/>
      <c r="P57" s="26"/>
      <c r="Q57" s="26"/>
      <c r="R57" s="26"/>
      <c r="S57" s="26"/>
      <c r="T57" s="26">
        <v>1000</v>
      </c>
      <c r="U57" s="26"/>
      <c r="V57" s="26"/>
      <c r="W57" s="26"/>
      <c r="X57" s="26"/>
      <c r="Y57" s="26"/>
      <c r="Z57" s="26"/>
      <c r="AA57" s="26"/>
      <c r="AB57" s="26">
        <v>13</v>
      </c>
      <c r="AC57" s="26"/>
      <c r="AD57" s="26"/>
      <c r="AE57" s="26"/>
      <c r="AF57" s="26"/>
      <c r="AG57" s="26"/>
      <c r="AH57" s="26"/>
      <c r="AI57" s="26"/>
      <c r="AJ57" s="26">
        <v>1600</v>
      </c>
      <c r="AK57" s="26"/>
      <c r="AL57" s="26"/>
      <c r="AM57" s="26"/>
      <c r="AN57" s="26"/>
      <c r="AO57" s="26"/>
      <c r="AP57" s="26"/>
      <c r="AQ57" s="26"/>
      <c r="AR57" s="26">
        <v>160000</v>
      </c>
      <c r="AS57" s="26"/>
      <c r="AT57" s="26"/>
      <c r="AU57" s="26"/>
      <c r="AV57" s="26"/>
      <c r="AW57" s="26"/>
      <c r="AX57" s="26"/>
      <c r="AY57" s="26"/>
      <c r="BB57" s="21" t="s">
        <v>50</v>
      </c>
      <c r="BC57" s="21"/>
      <c r="BD57" s="21"/>
      <c r="BE57" s="21"/>
      <c r="BF57" s="21"/>
      <c r="BG57" s="21"/>
      <c r="BH57" s="21"/>
      <c r="BI57" s="21"/>
      <c r="BJ57" s="21" t="s">
        <v>70</v>
      </c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6">
        <v>9494</v>
      </c>
      <c r="CA57" s="26"/>
      <c r="CB57" s="26"/>
      <c r="CC57" s="26"/>
      <c r="CD57" s="26"/>
      <c r="CE57" s="26"/>
      <c r="CF57" s="26"/>
      <c r="CG57" s="26"/>
      <c r="CH57" s="26">
        <v>90</v>
      </c>
      <c r="CI57" s="26"/>
      <c r="CJ57" s="26"/>
      <c r="CK57" s="26"/>
      <c r="CL57" s="26"/>
      <c r="CM57" s="26"/>
      <c r="CN57" s="26"/>
      <c r="CO57" s="26"/>
      <c r="CP57" s="26">
        <v>1000</v>
      </c>
      <c r="CQ57" s="26"/>
      <c r="CR57" s="26"/>
      <c r="CS57" s="26"/>
      <c r="CT57" s="26"/>
      <c r="CU57" s="26"/>
      <c r="CV57" s="26"/>
      <c r="CW57" s="26"/>
      <c r="CX57" s="26">
        <v>13</v>
      </c>
      <c r="CY57" s="26"/>
      <c r="CZ57" s="26"/>
      <c r="DA57" s="26"/>
      <c r="DB57" s="26"/>
      <c r="DC57" s="26"/>
      <c r="DD57" s="26"/>
      <c r="DE57" s="26"/>
      <c r="DF57" s="26">
        <v>3400</v>
      </c>
      <c r="DG57" s="26"/>
      <c r="DH57" s="26"/>
      <c r="DI57" s="26"/>
      <c r="DJ57" s="26"/>
      <c r="DK57" s="26"/>
      <c r="DL57" s="26"/>
      <c r="DM57" s="26"/>
      <c r="DN57" s="26">
        <v>340000</v>
      </c>
      <c r="DO57" s="26"/>
      <c r="DP57" s="26"/>
      <c r="DQ57" s="26"/>
      <c r="DR57" s="26"/>
      <c r="DS57" s="26"/>
      <c r="DT57" s="26"/>
      <c r="DU57" s="26"/>
      <c r="DX57" s="20">
        <v>46261</v>
      </c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19">
        <v>9.24</v>
      </c>
      <c r="EO57" s="18"/>
      <c r="EP57" s="18"/>
      <c r="EQ57" s="19">
        <v>24</v>
      </c>
      <c r="ER57" s="18"/>
      <c r="ES57" s="17">
        <f t="shared" si="1"/>
        <v>0.38500000000000001</v>
      </c>
      <c r="ET57" s="18"/>
      <c r="EU57" s="18"/>
      <c r="EV57" s="19">
        <v>13.417322222222221</v>
      </c>
      <c r="EW57" s="18"/>
      <c r="EX57" s="18"/>
      <c r="EY57" s="19">
        <v>24</v>
      </c>
      <c r="EZ57" s="18"/>
      <c r="FA57" s="17">
        <f t="shared" si="2"/>
        <v>0.55905509259259256</v>
      </c>
      <c r="FB57" s="18"/>
      <c r="FC57" s="18"/>
      <c r="FD57" s="19">
        <v>8.16</v>
      </c>
      <c r="FE57" s="18"/>
      <c r="FF57" s="18"/>
      <c r="FG57" s="19">
        <v>24</v>
      </c>
      <c r="FH57" s="18"/>
      <c r="FI57" s="17">
        <f t="shared" si="3"/>
        <v>0.34</v>
      </c>
      <c r="FJ57" s="18"/>
      <c r="FK57" s="18"/>
      <c r="FL57" s="19">
        <v>17.28</v>
      </c>
      <c r="FM57" s="18"/>
      <c r="FN57" s="18"/>
      <c r="FO57" s="19">
        <v>24</v>
      </c>
      <c r="FP57" s="18"/>
      <c r="FQ57" s="17">
        <f t="shared" si="4"/>
        <v>0.72000000000000008</v>
      </c>
      <c r="FR57" s="18"/>
      <c r="FS57" s="18"/>
      <c r="FT57" s="19">
        <v>10.588022222222222</v>
      </c>
      <c r="FU57" s="18"/>
      <c r="FV57" s="18"/>
      <c r="FW57" s="19">
        <v>13.912222222222223</v>
      </c>
      <c r="FX57" s="18"/>
      <c r="FY57" s="17">
        <f t="shared" si="5"/>
        <v>0.76105902084498034</v>
      </c>
      <c r="FZ57" s="18"/>
      <c r="GA57" s="18"/>
      <c r="GB57" s="19">
        <v>16.940000000000001</v>
      </c>
      <c r="GC57" s="18"/>
      <c r="GD57" s="18"/>
      <c r="GE57" s="19">
        <v>24</v>
      </c>
      <c r="GF57" s="18"/>
      <c r="GG57" s="17">
        <f t="shared" si="6"/>
        <v>0.70583333333333342</v>
      </c>
      <c r="GH57" s="18"/>
      <c r="GI57" s="18"/>
      <c r="GJ57" s="19">
        <v>0</v>
      </c>
      <c r="GK57" s="18"/>
      <c r="GL57" s="18"/>
      <c r="GM57" s="19">
        <v>0</v>
      </c>
      <c r="GN57" s="18"/>
      <c r="GO57" s="17">
        <f t="shared" si="7"/>
        <v>0</v>
      </c>
      <c r="GP57" s="18"/>
      <c r="GQ57" s="18"/>
      <c r="GR57" s="19">
        <v>75.625343322753906</v>
      </c>
      <c r="GS57" s="18"/>
      <c r="GT57" s="18"/>
      <c r="GU57" s="19">
        <v>133.91221618652344</v>
      </c>
      <c r="GV57" s="18"/>
      <c r="GW57" s="17">
        <f t="shared" si="8"/>
        <v>0.56473819548634008</v>
      </c>
      <c r="GX57" s="18"/>
      <c r="GY57" s="18"/>
    </row>
    <row r="58" spans="1:207" ht="25.2" x14ac:dyDescent="0.35">
      <c r="A58" s="21" t="s">
        <v>79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6">
        <v>2512</v>
      </c>
      <c r="M58" s="26"/>
      <c r="N58" s="26"/>
      <c r="O58" s="26"/>
      <c r="P58" s="26"/>
      <c r="Q58" s="26"/>
      <c r="R58" s="26"/>
      <c r="S58" s="26"/>
      <c r="T58" s="26">
        <v>330</v>
      </c>
      <c r="U58" s="26"/>
      <c r="V58" s="26"/>
      <c r="W58" s="26"/>
      <c r="X58" s="26"/>
      <c r="Y58" s="26"/>
      <c r="Z58" s="26"/>
      <c r="AA58" s="26"/>
      <c r="AB58" s="26">
        <v>30</v>
      </c>
      <c r="AC58" s="26"/>
      <c r="AD58" s="26"/>
      <c r="AE58" s="26"/>
      <c r="AF58" s="26"/>
      <c r="AG58" s="26"/>
      <c r="AH58" s="26"/>
      <c r="AI58" s="26"/>
      <c r="AJ58" s="26">
        <v>5000</v>
      </c>
      <c r="AK58" s="26"/>
      <c r="AL58" s="26"/>
      <c r="AM58" s="26"/>
      <c r="AN58" s="26"/>
      <c r="AO58" s="26"/>
      <c r="AP58" s="26"/>
      <c r="AQ58" s="26"/>
      <c r="AR58" s="26">
        <v>1515153</v>
      </c>
      <c r="AS58" s="26"/>
      <c r="AT58" s="26"/>
      <c r="AU58" s="26"/>
      <c r="AV58" s="26"/>
      <c r="AW58" s="26"/>
      <c r="AX58" s="26"/>
      <c r="AY58" s="26"/>
      <c r="BB58" s="21" t="s">
        <v>50</v>
      </c>
      <c r="BC58" s="21"/>
      <c r="BD58" s="21"/>
      <c r="BE58" s="21"/>
      <c r="BF58" s="21"/>
      <c r="BG58" s="21"/>
      <c r="BH58" s="21"/>
      <c r="BI58" s="21"/>
      <c r="BJ58" s="21" t="s">
        <v>129</v>
      </c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6">
        <v>9480</v>
      </c>
      <c r="CA58" s="26"/>
      <c r="CB58" s="26"/>
      <c r="CC58" s="26"/>
      <c r="CD58" s="26"/>
      <c r="CE58" s="26"/>
      <c r="CF58" s="26"/>
      <c r="CG58" s="26"/>
      <c r="CH58" s="26">
        <v>85</v>
      </c>
      <c r="CI58" s="26"/>
      <c r="CJ58" s="26"/>
      <c r="CK58" s="26"/>
      <c r="CL58" s="26"/>
      <c r="CM58" s="26"/>
      <c r="CN58" s="26"/>
      <c r="CO58" s="26"/>
      <c r="CP58" s="26">
        <v>1000</v>
      </c>
      <c r="CQ58" s="26"/>
      <c r="CR58" s="26"/>
      <c r="CS58" s="26"/>
      <c r="CT58" s="26"/>
      <c r="CU58" s="26"/>
      <c r="CV58" s="26"/>
      <c r="CW58" s="26"/>
      <c r="CX58" s="26">
        <v>13</v>
      </c>
      <c r="CY58" s="26"/>
      <c r="CZ58" s="26"/>
      <c r="DA58" s="26"/>
      <c r="DB58" s="26"/>
      <c r="DC58" s="26"/>
      <c r="DD58" s="26"/>
      <c r="DE58" s="26"/>
      <c r="DF58" s="26">
        <v>1600</v>
      </c>
      <c r="DG58" s="26"/>
      <c r="DH58" s="26"/>
      <c r="DI58" s="26"/>
      <c r="DJ58" s="26"/>
      <c r="DK58" s="26"/>
      <c r="DL58" s="26"/>
      <c r="DM58" s="26"/>
      <c r="DN58" s="26">
        <v>160000</v>
      </c>
      <c r="DO58" s="26"/>
      <c r="DP58" s="26"/>
      <c r="DQ58" s="26"/>
      <c r="DR58" s="26"/>
      <c r="DS58" s="26"/>
      <c r="DT58" s="26"/>
      <c r="DU58" s="26"/>
      <c r="DX58" s="20">
        <v>46262</v>
      </c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19">
        <v>18.48</v>
      </c>
      <c r="EO58" s="18"/>
      <c r="EP58" s="18"/>
      <c r="EQ58" s="19">
        <v>24</v>
      </c>
      <c r="ER58" s="18"/>
      <c r="ES58" s="17">
        <f t="shared" si="1"/>
        <v>0.77</v>
      </c>
      <c r="ET58" s="18"/>
      <c r="EU58" s="18"/>
      <c r="EV58" s="19">
        <v>18</v>
      </c>
      <c r="EW58" s="18"/>
      <c r="EX58" s="18"/>
      <c r="EY58" s="19">
        <v>24</v>
      </c>
      <c r="EZ58" s="18"/>
      <c r="FA58" s="17">
        <f t="shared" si="2"/>
        <v>0.75</v>
      </c>
      <c r="FB58" s="18"/>
      <c r="FC58" s="18"/>
      <c r="FD58" s="19">
        <v>16.32</v>
      </c>
      <c r="FE58" s="18"/>
      <c r="FF58" s="18"/>
      <c r="FG58" s="19">
        <v>24</v>
      </c>
      <c r="FH58" s="18"/>
      <c r="FI58" s="17">
        <f t="shared" si="3"/>
        <v>0.68</v>
      </c>
      <c r="FJ58" s="18"/>
      <c r="FK58" s="18"/>
      <c r="FL58" s="19">
        <v>11.455427777777777</v>
      </c>
      <c r="FM58" s="18"/>
      <c r="FN58" s="18"/>
      <c r="FO58" s="19">
        <v>24</v>
      </c>
      <c r="FP58" s="18"/>
      <c r="FQ58" s="17">
        <f t="shared" si="4"/>
        <v>0.47730949074074069</v>
      </c>
      <c r="FR58" s="18"/>
      <c r="FS58" s="18"/>
      <c r="FT58" s="19">
        <v>0</v>
      </c>
      <c r="FU58" s="18"/>
      <c r="FV58" s="18"/>
      <c r="FW58" s="19">
        <v>0</v>
      </c>
      <c r="FX58" s="18"/>
      <c r="FY58" s="17">
        <f t="shared" si="5"/>
        <v>0</v>
      </c>
      <c r="FZ58" s="18"/>
      <c r="GA58" s="18"/>
      <c r="GB58" s="19">
        <v>14.63</v>
      </c>
      <c r="GC58" s="18"/>
      <c r="GD58" s="18"/>
      <c r="GE58" s="19">
        <v>24</v>
      </c>
      <c r="GF58" s="18"/>
      <c r="GG58" s="17">
        <f t="shared" si="6"/>
        <v>0.60958333333333337</v>
      </c>
      <c r="GH58" s="18"/>
      <c r="GI58" s="18"/>
      <c r="GJ58" s="19">
        <v>0</v>
      </c>
      <c r="GK58" s="18"/>
      <c r="GL58" s="18"/>
      <c r="GM58" s="19">
        <v>0</v>
      </c>
      <c r="GN58" s="18"/>
      <c r="GO58" s="17">
        <f t="shared" si="7"/>
        <v>0</v>
      </c>
      <c r="GP58" s="18"/>
      <c r="GQ58" s="18"/>
      <c r="GR58" s="19">
        <v>78.885429382324219</v>
      </c>
      <c r="GS58" s="18"/>
      <c r="GT58" s="18"/>
      <c r="GU58" s="19">
        <v>120</v>
      </c>
      <c r="GV58" s="18"/>
      <c r="GW58" s="17">
        <f t="shared" si="8"/>
        <v>0.65737857818603518</v>
      </c>
      <c r="GX58" s="18"/>
      <c r="GY58" s="18"/>
    </row>
    <row r="59" spans="1:207" ht="25.2" x14ac:dyDescent="0.35">
      <c r="A59" s="21" t="s">
        <v>130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6">
        <v>23211</v>
      </c>
      <c r="M59" s="26"/>
      <c r="N59" s="26"/>
      <c r="O59" s="26"/>
      <c r="P59" s="26"/>
      <c r="Q59" s="26"/>
      <c r="R59" s="26"/>
      <c r="S59" s="26"/>
      <c r="T59" s="26">
        <v>200</v>
      </c>
      <c r="U59" s="26"/>
      <c r="V59" s="26"/>
      <c r="W59" s="26"/>
      <c r="X59" s="26"/>
      <c r="Y59" s="26"/>
      <c r="Z59" s="26"/>
      <c r="AA59" s="26"/>
      <c r="AB59" s="26">
        <v>30</v>
      </c>
      <c r="AC59" s="26"/>
      <c r="AD59" s="26"/>
      <c r="AE59" s="26"/>
      <c r="AF59" s="26"/>
      <c r="AG59" s="26"/>
      <c r="AH59" s="26"/>
      <c r="AI59" s="26"/>
      <c r="AJ59" s="26">
        <v>500</v>
      </c>
      <c r="AK59" s="26"/>
      <c r="AL59" s="26"/>
      <c r="AM59" s="26"/>
      <c r="AN59" s="26"/>
      <c r="AO59" s="26"/>
      <c r="AP59" s="26"/>
      <c r="AQ59" s="26"/>
      <c r="AR59" s="26">
        <v>250000</v>
      </c>
      <c r="AS59" s="26"/>
      <c r="AT59" s="26"/>
      <c r="AU59" s="26"/>
      <c r="AV59" s="26"/>
      <c r="AW59" s="26"/>
      <c r="AX59" s="26"/>
      <c r="AY59" s="26"/>
      <c r="BB59" s="21" t="s">
        <v>53</v>
      </c>
      <c r="BC59" s="21"/>
      <c r="BD59" s="21"/>
      <c r="BE59" s="21"/>
      <c r="BF59" s="21"/>
      <c r="BG59" s="21"/>
      <c r="BH59" s="21"/>
      <c r="BI59" s="21"/>
      <c r="BJ59" s="21" t="s">
        <v>130</v>
      </c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6">
        <v>23211</v>
      </c>
      <c r="CA59" s="26"/>
      <c r="CB59" s="26"/>
      <c r="CC59" s="26"/>
      <c r="CD59" s="26"/>
      <c r="CE59" s="26"/>
      <c r="CF59" s="26"/>
      <c r="CG59" s="26"/>
      <c r="CH59" s="26">
        <v>90</v>
      </c>
      <c r="CI59" s="26"/>
      <c r="CJ59" s="26"/>
      <c r="CK59" s="26"/>
      <c r="CL59" s="26"/>
      <c r="CM59" s="26"/>
      <c r="CN59" s="26"/>
      <c r="CO59" s="26"/>
      <c r="CP59" s="26">
        <v>200</v>
      </c>
      <c r="CQ59" s="26"/>
      <c r="CR59" s="26"/>
      <c r="CS59" s="26"/>
      <c r="CT59" s="26"/>
      <c r="CU59" s="26"/>
      <c r="CV59" s="26"/>
      <c r="CW59" s="26"/>
      <c r="CX59" s="26">
        <v>30</v>
      </c>
      <c r="CY59" s="26"/>
      <c r="CZ59" s="26"/>
      <c r="DA59" s="26"/>
      <c r="DB59" s="26"/>
      <c r="DC59" s="26"/>
      <c r="DD59" s="26"/>
      <c r="DE59" s="26"/>
      <c r="DF59" s="26">
        <v>500</v>
      </c>
      <c r="DG59" s="26"/>
      <c r="DH59" s="26"/>
      <c r="DI59" s="26"/>
      <c r="DJ59" s="26"/>
      <c r="DK59" s="26"/>
      <c r="DL59" s="26"/>
      <c r="DM59" s="26"/>
      <c r="DN59" s="26">
        <v>250000</v>
      </c>
      <c r="DO59" s="26"/>
      <c r="DP59" s="26"/>
      <c r="DQ59" s="26"/>
      <c r="DR59" s="26"/>
      <c r="DS59" s="26"/>
      <c r="DT59" s="26"/>
      <c r="DU59" s="26"/>
      <c r="DX59" s="20">
        <v>46263</v>
      </c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19">
        <v>18.48</v>
      </c>
      <c r="EO59" s="18"/>
      <c r="EP59" s="18"/>
      <c r="EQ59" s="19">
        <v>24</v>
      </c>
      <c r="ER59" s="18"/>
      <c r="ES59" s="17">
        <f t="shared" si="1"/>
        <v>0.77</v>
      </c>
      <c r="ET59" s="18"/>
      <c r="EU59" s="18"/>
      <c r="EV59" s="19">
        <v>18</v>
      </c>
      <c r="EW59" s="18"/>
      <c r="EX59" s="18"/>
      <c r="EY59" s="19">
        <v>24</v>
      </c>
      <c r="EZ59" s="18"/>
      <c r="FA59" s="17">
        <f t="shared" si="2"/>
        <v>0.75</v>
      </c>
      <c r="FB59" s="18"/>
      <c r="FC59" s="18"/>
      <c r="FD59" s="19">
        <v>14.96</v>
      </c>
      <c r="FE59" s="18"/>
      <c r="FF59" s="18"/>
      <c r="FG59" s="19">
        <v>24</v>
      </c>
      <c r="FH59" s="18"/>
      <c r="FI59" s="17">
        <f t="shared" si="3"/>
        <v>0.62333333333333341</v>
      </c>
      <c r="FJ59" s="18"/>
      <c r="FK59" s="18"/>
      <c r="FL59" s="19">
        <v>8.3459444444444433</v>
      </c>
      <c r="FM59" s="18"/>
      <c r="FN59" s="18"/>
      <c r="FO59" s="19">
        <v>11.922777777777776</v>
      </c>
      <c r="FP59" s="18"/>
      <c r="FQ59" s="17">
        <f t="shared" si="4"/>
        <v>0.7</v>
      </c>
      <c r="FR59" s="18"/>
      <c r="FS59" s="18"/>
      <c r="FT59" s="19">
        <v>0</v>
      </c>
      <c r="FU59" s="18"/>
      <c r="FV59" s="18"/>
      <c r="FW59" s="19">
        <v>0</v>
      </c>
      <c r="FX59" s="18"/>
      <c r="FY59" s="17">
        <f t="shared" si="5"/>
        <v>0</v>
      </c>
      <c r="FZ59" s="18"/>
      <c r="GA59" s="18"/>
      <c r="GB59" s="19">
        <v>10.959666666666665</v>
      </c>
      <c r="GC59" s="18"/>
      <c r="GD59" s="18"/>
      <c r="GE59" s="19">
        <v>14.233333333333333</v>
      </c>
      <c r="GF59" s="18"/>
      <c r="GG59" s="17">
        <f t="shared" si="6"/>
        <v>0.76999999999999991</v>
      </c>
      <c r="GH59" s="18"/>
      <c r="GI59" s="18"/>
      <c r="GJ59" s="19">
        <v>0</v>
      </c>
      <c r="GK59" s="18"/>
      <c r="GL59" s="18"/>
      <c r="GM59" s="19">
        <v>0</v>
      </c>
      <c r="GN59" s="18"/>
      <c r="GO59" s="17">
        <f t="shared" si="7"/>
        <v>0</v>
      </c>
      <c r="GP59" s="18"/>
      <c r="GQ59" s="18"/>
      <c r="GR59" s="19">
        <v>70.745613098144531</v>
      </c>
      <c r="GS59" s="18"/>
      <c r="GT59" s="18"/>
      <c r="GU59" s="19">
        <v>98.156112670898438</v>
      </c>
      <c r="GV59" s="18"/>
      <c r="GW59" s="17">
        <f t="shared" si="8"/>
        <v>0.72074587280512137</v>
      </c>
      <c r="GX59" s="18"/>
      <c r="GY59" s="18"/>
    </row>
    <row r="60" spans="1:207" ht="25.2" x14ac:dyDescent="0.35">
      <c r="A60" s="21" t="s">
        <v>131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6">
        <v>21173</v>
      </c>
      <c r="M60" s="26"/>
      <c r="N60" s="26"/>
      <c r="O60" s="26"/>
      <c r="P60" s="26"/>
      <c r="Q60" s="26"/>
      <c r="R60" s="26"/>
      <c r="S60" s="26"/>
      <c r="T60" s="26">
        <v>1000</v>
      </c>
      <c r="U60" s="26"/>
      <c r="V60" s="26"/>
      <c r="W60" s="26"/>
      <c r="X60" s="26"/>
      <c r="Y60" s="26"/>
      <c r="Z60" s="26"/>
      <c r="AA60" s="26"/>
      <c r="AB60" s="26">
        <v>15</v>
      </c>
      <c r="AC60" s="26"/>
      <c r="AD60" s="26"/>
      <c r="AE60" s="26"/>
      <c r="AF60" s="26"/>
      <c r="AG60" s="26"/>
      <c r="AH60" s="26"/>
      <c r="AI60" s="26"/>
      <c r="AJ60" s="26">
        <v>5100</v>
      </c>
      <c r="AK60" s="26"/>
      <c r="AL60" s="26"/>
      <c r="AM60" s="26"/>
      <c r="AN60" s="26"/>
      <c r="AO60" s="26"/>
      <c r="AP60" s="26"/>
      <c r="AQ60" s="26"/>
      <c r="AR60" s="26">
        <v>510000</v>
      </c>
      <c r="AS60" s="26"/>
      <c r="AT60" s="26"/>
      <c r="AU60" s="26"/>
      <c r="AV60" s="26"/>
      <c r="AW60" s="26"/>
      <c r="AX60" s="26"/>
      <c r="AY60" s="26"/>
      <c r="BB60" s="21" t="s">
        <v>53</v>
      </c>
      <c r="BC60" s="21"/>
      <c r="BD60" s="21"/>
      <c r="BE60" s="21"/>
      <c r="BF60" s="21"/>
      <c r="BG60" s="21"/>
      <c r="BH60" s="21"/>
      <c r="BI60" s="21"/>
      <c r="BJ60" s="21" t="s">
        <v>131</v>
      </c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6">
        <v>21173</v>
      </c>
      <c r="CA60" s="26"/>
      <c r="CB60" s="26"/>
      <c r="CC60" s="26"/>
      <c r="CD60" s="26"/>
      <c r="CE60" s="26"/>
      <c r="CF60" s="26"/>
      <c r="CG60" s="26"/>
      <c r="CH60" s="26">
        <v>90</v>
      </c>
      <c r="CI60" s="26"/>
      <c r="CJ60" s="26"/>
      <c r="CK60" s="26"/>
      <c r="CL60" s="26"/>
      <c r="CM60" s="26"/>
      <c r="CN60" s="26"/>
      <c r="CO60" s="26"/>
      <c r="CP60" s="26">
        <v>1000</v>
      </c>
      <c r="CQ60" s="26"/>
      <c r="CR60" s="26"/>
      <c r="CS60" s="26"/>
      <c r="CT60" s="26"/>
      <c r="CU60" s="26"/>
      <c r="CV60" s="26"/>
      <c r="CW60" s="26"/>
      <c r="CX60" s="26">
        <v>15</v>
      </c>
      <c r="CY60" s="26"/>
      <c r="CZ60" s="26"/>
      <c r="DA60" s="26"/>
      <c r="DB60" s="26"/>
      <c r="DC60" s="26"/>
      <c r="DD60" s="26"/>
      <c r="DE60" s="26"/>
      <c r="DF60" s="26">
        <v>5100</v>
      </c>
      <c r="DG60" s="26"/>
      <c r="DH60" s="26"/>
      <c r="DI60" s="26"/>
      <c r="DJ60" s="26"/>
      <c r="DK60" s="26"/>
      <c r="DL60" s="26"/>
      <c r="DM60" s="26"/>
      <c r="DN60" s="26">
        <v>510000</v>
      </c>
      <c r="DO60" s="26"/>
      <c r="DP60" s="26"/>
      <c r="DQ60" s="26"/>
      <c r="DR60" s="26"/>
      <c r="DS60" s="26"/>
      <c r="DT60" s="26"/>
      <c r="DU60" s="26"/>
      <c r="DX60" s="20">
        <v>46264</v>
      </c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19">
        <v>18.48</v>
      </c>
      <c r="EO60" s="18"/>
      <c r="EP60" s="18"/>
      <c r="EQ60" s="19">
        <v>24</v>
      </c>
      <c r="ER60" s="18"/>
      <c r="ES60" s="17">
        <f t="shared" si="1"/>
        <v>0.77</v>
      </c>
      <c r="ET60" s="18"/>
      <c r="EU60" s="18"/>
      <c r="EV60" s="19">
        <v>0.103541666666666</v>
      </c>
      <c r="EW60" s="18"/>
      <c r="EX60" s="18"/>
      <c r="EY60" s="19">
        <v>23.138055555555553</v>
      </c>
      <c r="EZ60" s="18"/>
      <c r="FA60" s="17">
        <f t="shared" si="2"/>
        <v>4.4749510786702721E-3</v>
      </c>
      <c r="FB60" s="18"/>
      <c r="FC60" s="18"/>
      <c r="FD60" s="19">
        <v>10.970466666666667</v>
      </c>
      <c r="FE60" s="18"/>
      <c r="FF60" s="18"/>
      <c r="FG60" s="19">
        <v>24</v>
      </c>
      <c r="FH60" s="18"/>
      <c r="FI60" s="17">
        <f t="shared" si="3"/>
        <v>0.4571027777777778</v>
      </c>
      <c r="FJ60" s="18"/>
      <c r="FK60" s="18"/>
      <c r="FL60" s="19">
        <v>10.635731666666667</v>
      </c>
      <c r="FM60" s="18"/>
      <c r="FN60" s="18"/>
      <c r="FO60" s="19">
        <v>14.710555555555555</v>
      </c>
      <c r="FP60" s="18"/>
      <c r="FQ60" s="17">
        <f t="shared" si="4"/>
        <v>0.72300000000000009</v>
      </c>
      <c r="FR60" s="18"/>
      <c r="FS60" s="18"/>
      <c r="FT60" s="19">
        <v>0</v>
      </c>
      <c r="FU60" s="18"/>
      <c r="FV60" s="18"/>
      <c r="FW60" s="19">
        <v>0</v>
      </c>
      <c r="FX60" s="18"/>
      <c r="FY60" s="17">
        <f t="shared" si="5"/>
        <v>0</v>
      </c>
      <c r="FZ60" s="18"/>
      <c r="GA60" s="18"/>
      <c r="GB60" s="19">
        <v>0</v>
      </c>
      <c r="GC60" s="18"/>
      <c r="GD60" s="18"/>
      <c r="GE60" s="19">
        <v>0</v>
      </c>
      <c r="GF60" s="18"/>
      <c r="GG60" s="17">
        <f t="shared" si="6"/>
        <v>0</v>
      </c>
      <c r="GH60" s="18"/>
      <c r="GI60" s="18"/>
      <c r="GJ60" s="19">
        <v>0</v>
      </c>
      <c r="GK60" s="18"/>
      <c r="GL60" s="18"/>
      <c r="GM60" s="19">
        <v>0</v>
      </c>
      <c r="GN60" s="18"/>
      <c r="GO60" s="17">
        <f t="shared" si="7"/>
        <v>0</v>
      </c>
      <c r="GP60" s="18"/>
      <c r="GQ60" s="18"/>
      <c r="GR60" s="19">
        <v>40.189739227294922</v>
      </c>
      <c r="GS60" s="18"/>
      <c r="GT60" s="18"/>
      <c r="GU60" s="19">
        <v>85.848609924316406</v>
      </c>
      <c r="GV60" s="18"/>
      <c r="GW60" s="17">
        <f t="shared" si="8"/>
        <v>0.46814665097927555</v>
      </c>
      <c r="GX60" s="18"/>
      <c r="GY60" s="18"/>
    </row>
    <row r="61" spans="1:207" ht="25.2" x14ac:dyDescent="0.35">
      <c r="A61" s="21" t="s">
        <v>132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6">
        <v>21447</v>
      </c>
      <c r="M61" s="26"/>
      <c r="N61" s="26"/>
      <c r="O61" s="26"/>
      <c r="P61" s="26"/>
      <c r="Q61" s="26"/>
      <c r="R61" s="26"/>
      <c r="S61" s="26"/>
      <c r="T61" s="26">
        <v>200</v>
      </c>
      <c r="U61" s="26"/>
      <c r="V61" s="26"/>
      <c r="W61" s="26"/>
      <c r="X61" s="26"/>
      <c r="Y61" s="26"/>
      <c r="Z61" s="26"/>
      <c r="AA61" s="26"/>
      <c r="AB61" s="26">
        <v>6</v>
      </c>
      <c r="AC61" s="26"/>
      <c r="AD61" s="26"/>
      <c r="AE61" s="26"/>
      <c r="AF61" s="26"/>
      <c r="AG61" s="26"/>
      <c r="AH61" s="26"/>
      <c r="AI61" s="26"/>
      <c r="AJ61" s="26">
        <v>1600</v>
      </c>
      <c r="AK61" s="26"/>
      <c r="AL61" s="26"/>
      <c r="AM61" s="26"/>
      <c r="AN61" s="26"/>
      <c r="AO61" s="26"/>
      <c r="AP61" s="26"/>
      <c r="AQ61" s="26"/>
      <c r="AR61" s="26">
        <v>800000</v>
      </c>
      <c r="AS61" s="26"/>
      <c r="AT61" s="26"/>
      <c r="AU61" s="26"/>
      <c r="AV61" s="26"/>
      <c r="AW61" s="26"/>
      <c r="AX61" s="26"/>
      <c r="AY61" s="26"/>
      <c r="BB61" s="21" t="s">
        <v>53</v>
      </c>
      <c r="BC61" s="21"/>
      <c r="BD61" s="21"/>
      <c r="BE61" s="21"/>
      <c r="BF61" s="21"/>
      <c r="BG61" s="21"/>
      <c r="BH61" s="21"/>
      <c r="BI61" s="21"/>
      <c r="BJ61" s="21" t="s">
        <v>132</v>
      </c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6">
        <v>21447</v>
      </c>
      <c r="CA61" s="26"/>
      <c r="CB61" s="26"/>
      <c r="CC61" s="26"/>
      <c r="CD61" s="26"/>
      <c r="CE61" s="26"/>
      <c r="CF61" s="26"/>
      <c r="CG61" s="26"/>
      <c r="CH61" s="26">
        <v>90</v>
      </c>
      <c r="CI61" s="26"/>
      <c r="CJ61" s="26"/>
      <c r="CK61" s="26"/>
      <c r="CL61" s="26"/>
      <c r="CM61" s="26"/>
      <c r="CN61" s="26"/>
      <c r="CO61" s="26"/>
      <c r="CP61" s="26">
        <v>200</v>
      </c>
      <c r="CQ61" s="26"/>
      <c r="CR61" s="26"/>
      <c r="CS61" s="26"/>
      <c r="CT61" s="26"/>
      <c r="CU61" s="26"/>
      <c r="CV61" s="26"/>
      <c r="CW61" s="26"/>
      <c r="CX61" s="26">
        <v>6</v>
      </c>
      <c r="CY61" s="26"/>
      <c r="CZ61" s="26"/>
      <c r="DA61" s="26"/>
      <c r="DB61" s="26"/>
      <c r="DC61" s="26"/>
      <c r="DD61" s="26"/>
      <c r="DE61" s="26"/>
      <c r="DF61" s="26">
        <v>1600</v>
      </c>
      <c r="DG61" s="26"/>
      <c r="DH61" s="26"/>
      <c r="DI61" s="26"/>
      <c r="DJ61" s="26"/>
      <c r="DK61" s="26"/>
      <c r="DL61" s="26"/>
      <c r="DM61" s="26"/>
      <c r="DN61" s="26">
        <v>800000</v>
      </c>
      <c r="DO61" s="26"/>
      <c r="DP61" s="26"/>
      <c r="DQ61" s="26"/>
      <c r="DR61" s="26"/>
      <c r="DS61" s="26"/>
      <c r="DT61" s="26"/>
      <c r="DU61" s="26"/>
      <c r="DX61" s="21" t="s">
        <v>69</v>
      </c>
      <c r="DY61" s="21" t="s">
        <v>69</v>
      </c>
      <c r="DZ61" s="21" t="s">
        <v>69</v>
      </c>
      <c r="EA61" s="21" t="s">
        <v>69</v>
      </c>
      <c r="EB61" s="21" t="s">
        <v>69</v>
      </c>
      <c r="EC61" s="21" t="s">
        <v>69</v>
      </c>
      <c r="ED61" s="21" t="s">
        <v>69</v>
      </c>
      <c r="EE61" s="21" t="s">
        <v>69</v>
      </c>
      <c r="EF61" s="21" t="s">
        <v>69</v>
      </c>
      <c r="EG61" s="21" t="s">
        <v>69</v>
      </c>
      <c r="EH61" s="21" t="s">
        <v>69</v>
      </c>
      <c r="EI61" s="21" t="s">
        <v>69</v>
      </c>
      <c r="EJ61" s="21" t="s">
        <v>69</v>
      </c>
      <c r="EK61" s="21" t="s">
        <v>69</v>
      </c>
      <c r="EL61" s="21" t="s">
        <v>69</v>
      </c>
      <c r="EM61" s="21" t="s">
        <v>69</v>
      </c>
      <c r="EN61" s="22">
        <f>SUM(EN54:EP60)</f>
        <v>120.12</v>
      </c>
      <c r="EO61" s="18"/>
      <c r="EP61" s="18"/>
      <c r="EQ61" s="22">
        <f>SUM(EQ54:ER60)</f>
        <v>168</v>
      </c>
      <c r="ER61" s="18"/>
      <c r="ES61" s="23">
        <f t="shared" si="1"/>
        <v>0.71500000000000008</v>
      </c>
      <c r="ET61" s="18"/>
      <c r="EU61" s="18"/>
      <c r="EV61" s="22">
        <f>SUM(EV54:EX60)</f>
        <v>100.0693138888889</v>
      </c>
      <c r="EW61" s="18"/>
      <c r="EX61" s="18"/>
      <c r="EY61" s="22">
        <f>SUM(EY54:EZ60)</f>
        <v>166.56083333333333</v>
      </c>
      <c r="EZ61" s="18"/>
      <c r="FA61" s="23">
        <f t="shared" si="2"/>
        <v>0.60079738967577756</v>
      </c>
      <c r="FB61" s="18"/>
      <c r="FC61" s="18"/>
      <c r="FD61" s="22">
        <f>SUM(FD54:FF60)</f>
        <v>93.02195833333333</v>
      </c>
      <c r="FE61" s="18"/>
      <c r="FF61" s="18"/>
      <c r="FG61" s="22">
        <f>SUM(FG54:FH60)</f>
        <v>168</v>
      </c>
      <c r="FH61" s="18"/>
      <c r="FI61" s="23">
        <f t="shared" si="3"/>
        <v>0.55370213293650794</v>
      </c>
      <c r="FJ61" s="18"/>
      <c r="FK61" s="18"/>
      <c r="FL61" s="22">
        <f>SUM(FL54:FN60)</f>
        <v>88.775703888888884</v>
      </c>
      <c r="FM61" s="18"/>
      <c r="FN61" s="18"/>
      <c r="FO61" s="22">
        <f>SUM(FO54:FP60)</f>
        <v>133.65916666666666</v>
      </c>
      <c r="FP61" s="18"/>
      <c r="FQ61" s="23">
        <f t="shared" si="4"/>
        <v>0.66419465348221951</v>
      </c>
      <c r="FR61" s="18"/>
      <c r="FS61" s="18"/>
      <c r="FT61" s="22">
        <f>SUM(FT54:FV60)</f>
        <v>29.411122222222222</v>
      </c>
      <c r="FU61" s="18"/>
      <c r="FV61" s="18"/>
      <c r="FW61" s="22">
        <f>SUM(FW54:FX60)</f>
        <v>38.867222222222225</v>
      </c>
      <c r="FX61" s="18"/>
      <c r="FY61" s="23">
        <f t="shared" si="5"/>
        <v>0.75670759423107159</v>
      </c>
      <c r="FZ61" s="18"/>
      <c r="GA61" s="18"/>
      <c r="GB61" s="22">
        <f>SUM(GB54:GD60)</f>
        <v>86.874180555555554</v>
      </c>
      <c r="GC61" s="18"/>
      <c r="GD61" s="18"/>
      <c r="GE61" s="22">
        <f>SUM(GE54:GF60)</f>
        <v>128.82361111111109</v>
      </c>
      <c r="GF61" s="18"/>
      <c r="GG61" s="23">
        <f t="shared" si="6"/>
        <v>0.67436535745474546</v>
      </c>
      <c r="GH61" s="18"/>
      <c r="GI61" s="18"/>
      <c r="GJ61" s="22">
        <f>SUM(GJ54:GL60)</f>
        <v>0</v>
      </c>
      <c r="GK61" s="18"/>
      <c r="GL61" s="18"/>
      <c r="GM61" s="22">
        <f>SUM(GM54:GN60)</f>
        <v>0</v>
      </c>
      <c r="GN61" s="18"/>
      <c r="GO61" s="23">
        <f t="shared" si="7"/>
        <v>0</v>
      </c>
      <c r="GP61" s="18"/>
      <c r="GQ61" s="18"/>
      <c r="GR61" s="22">
        <f>SUM(GR54:GT60)</f>
        <v>518.27228164672852</v>
      </c>
      <c r="GS61" s="18"/>
      <c r="GT61" s="18"/>
      <c r="GU61" s="22">
        <f>SUM(GU54:GV60)</f>
        <v>803.91081237792969</v>
      </c>
      <c r="GV61" s="18"/>
      <c r="GW61" s="23">
        <f t="shared" si="8"/>
        <v>0.64468878097771065</v>
      </c>
      <c r="GX61" s="18"/>
      <c r="GY61" s="18"/>
    </row>
    <row r="62" spans="1:207" ht="25.2" x14ac:dyDescent="0.35">
      <c r="A62" s="21" t="s">
        <v>87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6">
        <v>7078</v>
      </c>
      <c r="M62" s="26"/>
      <c r="N62" s="26"/>
      <c r="O62" s="26"/>
      <c r="P62" s="26"/>
      <c r="Q62" s="26"/>
      <c r="R62" s="26"/>
      <c r="S62" s="26"/>
      <c r="T62" s="26">
        <v>1000</v>
      </c>
      <c r="U62" s="26"/>
      <c r="V62" s="26"/>
      <c r="W62" s="26"/>
      <c r="X62" s="26"/>
      <c r="Y62" s="26"/>
      <c r="Z62" s="26"/>
      <c r="AA62" s="26"/>
      <c r="AB62" s="26">
        <v>15</v>
      </c>
      <c r="AC62" s="26"/>
      <c r="AD62" s="26"/>
      <c r="AE62" s="26"/>
      <c r="AF62" s="26"/>
      <c r="AG62" s="26"/>
      <c r="AH62" s="26"/>
      <c r="AI62" s="26"/>
      <c r="AJ62" s="26">
        <v>3600</v>
      </c>
      <c r="AK62" s="26"/>
      <c r="AL62" s="26"/>
      <c r="AM62" s="26"/>
      <c r="AN62" s="26"/>
      <c r="AO62" s="26"/>
      <c r="AP62" s="26"/>
      <c r="AQ62" s="26"/>
      <c r="AR62" s="26">
        <v>360000</v>
      </c>
      <c r="AS62" s="26"/>
      <c r="AT62" s="26"/>
      <c r="AU62" s="26"/>
      <c r="AV62" s="26"/>
      <c r="AW62" s="26"/>
      <c r="AX62" s="26"/>
      <c r="AY62" s="26"/>
      <c r="BB62" s="21" t="s">
        <v>53</v>
      </c>
      <c r="BC62" s="21"/>
      <c r="BD62" s="21"/>
      <c r="BE62" s="21"/>
      <c r="BF62" s="21"/>
      <c r="BG62" s="21"/>
      <c r="BH62" s="21"/>
      <c r="BI62" s="21"/>
      <c r="BJ62" s="21" t="s">
        <v>87</v>
      </c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6">
        <v>7078</v>
      </c>
      <c r="CA62" s="26"/>
      <c r="CB62" s="26"/>
      <c r="CC62" s="26"/>
      <c r="CD62" s="26"/>
      <c r="CE62" s="26"/>
      <c r="CF62" s="26"/>
      <c r="CG62" s="26"/>
      <c r="CH62" s="26">
        <v>90</v>
      </c>
      <c r="CI62" s="26"/>
      <c r="CJ62" s="26"/>
      <c r="CK62" s="26"/>
      <c r="CL62" s="26"/>
      <c r="CM62" s="26"/>
      <c r="CN62" s="26"/>
      <c r="CO62" s="26"/>
      <c r="CP62" s="26">
        <v>1000</v>
      </c>
      <c r="CQ62" s="26"/>
      <c r="CR62" s="26"/>
      <c r="CS62" s="26"/>
      <c r="CT62" s="26"/>
      <c r="CU62" s="26"/>
      <c r="CV62" s="26"/>
      <c r="CW62" s="26"/>
      <c r="CX62" s="26">
        <v>15</v>
      </c>
      <c r="CY62" s="26"/>
      <c r="CZ62" s="26"/>
      <c r="DA62" s="26"/>
      <c r="DB62" s="26"/>
      <c r="DC62" s="26"/>
      <c r="DD62" s="26"/>
      <c r="DE62" s="26"/>
      <c r="DF62" s="26">
        <v>3600</v>
      </c>
      <c r="DG62" s="26"/>
      <c r="DH62" s="26"/>
      <c r="DI62" s="26"/>
      <c r="DJ62" s="26"/>
      <c r="DK62" s="26"/>
      <c r="DL62" s="26"/>
      <c r="DM62" s="26"/>
      <c r="DN62" s="26">
        <v>360000</v>
      </c>
      <c r="DO62" s="26"/>
      <c r="DP62" s="26"/>
      <c r="DQ62" s="26"/>
      <c r="DR62" s="26"/>
      <c r="DS62" s="26"/>
      <c r="DT62" s="26"/>
      <c r="DU62" s="26"/>
    </row>
    <row r="63" spans="1:207" ht="25.2" x14ac:dyDescent="0.35">
      <c r="A63" s="21" t="s">
        <v>90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6">
        <v>3810</v>
      </c>
      <c r="M63" s="26"/>
      <c r="N63" s="26"/>
      <c r="O63" s="26"/>
      <c r="P63" s="26"/>
      <c r="Q63" s="26"/>
      <c r="R63" s="26"/>
      <c r="S63" s="26"/>
      <c r="T63" s="26">
        <v>200</v>
      </c>
      <c r="U63" s="26"/>
      <c r="V63" s="26"/>
      <c r="W63" s="26"/>
      <c r="X63" s="26"/>
      <c r="Y63" s="26"/>
      <c r="Z63" s="26"/>
      <c r="AA63" s="26"/>
      <c r="AB63" s="26">
        <v>30</v>
      </c>
      <c r="AC63" s="26"/>
      <c r="AD63" s="26"/>
      <c r="AE63" s="26"/>
      <c r="AF63" s="26"/>
      <c r="AG63" s="26"/>
      <c r="AH63" s="26"/>
      <c r="AI63" s="26"/>
      <c r="AJ63" s="26">
        <v>1600</v>
      </c>
      <c r="AK63" s="26"/>
      <c r="AL63" s="26"/>
      <c r="AM63" s="26"/>
      <c r="AN63" s="26"/>
      <c r="AO63" s="26"/>
      <c r="AP63" s="26"/>
      <c r="AQ63" s="26"/>
      <c r="AR63" s="26">
        <v>800000</v>
      </c>
      <c r="AS63" s="26"/>
      <c r="AT63" s="26"/>
      <c r="AU63" s="26"/>
      <c r="AV63" s="26"/>
      <c r="AW63" s="26"/>
      <c r="AX63" s="26"/>
      <c r="AY63" s="26"/>
      <c r="BB63" s="21" t="s">
        <v>53</v>
      </c>
      <c r="BC63" s="21"/>
      <c r="BD63" s="21"/>
      <c r="BE63" s="21"/>
      <c r="BF63" s="21"/>
      <c r="BG63" s="21"/>
      <c r="BH63" s="21"/>
      <c r="BI63" s="21"/>
      <c r="BJ63" s="21" t="s">
        <v>90</v>
      </c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6">
        <v>3810</v>
      </c>
      <c r="CA63" s="26"/>
      <c r="CB63" s="26"/>
      <c r="CC63" s="26"/>
      <c r="CD63" s="26"/>
      <c r="CE63" s="26"/>
      <c r="CF63" s="26"/>
      <c r="CG63" s="26"/>
      <c r="CH63" s="26">
        <v>90</v>
      </c>
      <c r="CI63" s="26"/>
      <c r="CJ63" s="26"/>
      <c r="CK63" s="26"/>
      <c r="CL63" s="26"/>
      <c r="CM63" s="26"/>
      <c r="CN63" s="26"/>
      <c r="CO63" s="26"/>
      <c r="CP63" s="26">
        <v>200</v>
      </c>
      <c r="CQ63" s="26"/>
      <c r="CR63" s="26"/>
      <c r="CS63" s="26"/>
      <c r="CT63" s="26"/>
      <c r="CU63" s="26"/>
      <c r="CV63" s="26"/>
      <c r="CW63" s="26"/>
      <c r="CX63" s="26">
        <v>30</v>
      </c>
      <c r="CY63" s="26"/>
      <c r="CZ63" s="26"/>
      <c r="DA63" s="26"/>
      <c r="DB63" s="26"/>
      <c r="DC63" s="26"/>
      <c r="DD63" s="26"/>
      <c r="DE63" s="26"/>
      <c r="DF63" s="26">
        <v>1600</v>
      </c>
      <c r="DG63" s="26"/>
      <c r="DH63" s="26"/>
      <c r="DI63" s="26"/>
      <c r="DJ63" s="26"/>
      <c r="DK63" s="26"/>
      <c r="DL63" s="26"/>
      <c r="DM63" s="26"/>
      <c r="DN63" s="26">
        <v>800000</v>
      </c>
      <c r="DO63" s="26"/>
      <c r="DP63" s="26"/>
      <c r="DQ63" s="26"/>
      <c r="DR63" s="26"/>
      <c r="DS63" s="26"/>
      <c r="DT63" s="26"/>
      <c r="DU63" s="26"/>
    </row>
    <row r="64" spans="1:207" ht="25.2" x14ac:dyDescent="0.35">
      <c r="A64" s="21" t="s">
        <v>133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6">
        <v>2224</v>
      </c>
      <c r="M64" s="26"/>
      <c r="N64" s="26"/>
      <c r="O64" s="26"/>
      <c r="P64" s="26"/>
      <c r="Q64" s="26"/>
      <c r="R64" s="26"/>
      <c r="S64" s="26"/>
      <c r="T64" s="26">
        <v>1500</v>
      </c>
      <c r="U64" s="26"/>
      <c r="V64" s="26"/>
      <c r="W64" s="26"/>
      <c r="X64" s="26"/>
      <c r="Y64" s="26"/>
      <c r="Z64" s="26"/>
      <c r="AA64" s="26"/>
      <c r="AB64" s="26">
        <v>6</v>
      </c>
      <c r="AC64" s="26"/>
      <c r="AD64" s="26"/>
      <c r="AE64" s="26"/>
      <c r="AF64" s="26"/>
      <c r="AG64" s="26"/>
      <c r="AH64" s="26"/>
      <c r="AI64" s="26"/>
      <c r="AJ64" s="26">
        <v>3600</v>
      </c>
      <c r="AK64" s="26"/>
      <c r="AL64" s="26"/>
      <c r="AM64" s="26"/>
      <c r="AN64" s="26"/>
      <c r="AO64" s="26"/>
      <c r="AP64" s="26"/>
      <c r="AQ64" s="26"/>
      <c r="AR64" s="26">
        <v>240001</v>
      </c>
      <c r="AS64" s="26"/>
      <c r="AT64" s="26"/>
      <c r="AU64" s="26"/>
      <c r="AV64" s="26"/>
      <c r="AW64" s="26"/>
      <c r="AX64" s="26"/>
      <c r="AY64" s="26"/>
      <c r="BB64" s="21" t="s">
        <v>53</v>
      </c>
      <c r="BC64" s="21"/>
      <c r="BD64" s="21"/>
      <c r="BE64" s="21"/>
      <c r="BF64" s="21"/>
      <c r="BG64" s="21"/>
      <c r="BH64" s="21"/>
      <c r="BI64" s="21"/>
      <c r="BJ64" s="21" t="s">
        <v>133</v>
      </c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6">
        <v>2224</v>
      </c>
      <c r="CA64" s="26"/>
      <c r="CB64" s="26"/>
      <c r="CC64" s="26"/>
      <c r="CD64" s="26"/>
      <c r="CE64" s="26"/>
      <c r="CF64" s="26"/>
      <c r="CG64" s="26"/>
      <c r="CH64" s="26">
        <v>90</v>
      </c>
      <c r="CI64" s="26"/>
      <c r="CJ64" s="26"/>
      <c r="CK64" s="26"/>
      <c r="CL64" s="26"/>
      <c r="CM64" s="26"/>
      <c r="CN64" s="26"/>
      <c r="CO64" s="26"/>
      <c r="CP64" s="26">
        <v>1500</v>
      </c>
      <c r="CQ64" s="26"/>
      <c r="CR64" s="26"/>
      <c r="CS64" s="26"/>
      <c r="CT64" s="26"/>
      <c r="CU64" s="26"/>
      <c r="CV64" s="26"/>
      <c r="CW64" s="26"/>
      <c r="CX64" s="26">
        <v>6</v>
      </c>
      <c r="CY64" s="26"/>
      <c r="CZ64" s="26"/>
      <c r="DA64" s="26"/>
      <c r="DB64" s="26"/>
      <c r="DC64" s="26"/>
      <c r="DD64" s="26"/>
      <c r="DE64" s="26"/>
      <c r="DF64" s="26">
        <v>3600</v>
      </c>
      <c r="DG64" s="26"/>
      <c r="DH64" s="26"/>
      <c r="DI64" s="26"/>
      <c r="DJ64" s="26"/>
      <c r="DK64" s="26"/>
      <c r="DL64" s="26"/>
      <c r="DM64" s="26"/>
      <c r="DN64" s="26">
        <v>240001</v>
      </c>
      <c r="DO64" s="26"/>
      <c r="DP64" s="26"/>
      <c r="DQ64" s="26"/>
      <c r="DR64" s="26"/>
      <c r="DS64" s="26"/>
      <c r="DT64" s="26"/>
      <c r="DU64" s="26"/>
    </row>
    <row r="65" spans="1:125" ht="25.2" x14ac:dyDescent="0.35">
      <c r="A65" s="21" t="s">
        <v>134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6">
        <v>2222</v>
      </c>
      <c r="M65" s="26"/>
      <c r="N65" s="26"/>
      <c r="O65" s="26"/>
      <c r="P65" s="26"/>
      <c r="Q65" s="26"/>
      <c r="R65" s="26"/>
      <c r="S65" s="26"/>
      <c r="T65" s="26">
        <v>330</v>
      </c>
      <c r="U65" s="26"/>
      <c r="V65" s="26"/>
      <c r="W65" s="26"/>
      <c r="X65" s="26"/>
      <c r="Y65" s="26"/>
      <c r="Z65" s="26"/>
      <c r="AA65" s="26"/>
      <c r="AB65" s="26">
        <v>24</v>
      </c>
      <c r="AC65" s="26"/>
      <c r="AD65" s="26"/>
      <c r="AE65" s="26"/>
      <c r="AF65" s="26"/>
      <c r="AG65" s="26"/>
      <c r="AH65" s="26"/>
      <c r="AI65" s="26"/>
      <c r="AJ65" s="26">
        <v>2000</v>
      </c>
      <c r="AK65" s="26"/>
      <c r="AL65" s="26"/>
      <c r="AM65" s="26"/>
      <c r="AN65" s="26"/>
      <c r="AO65" s="26"/>
      <c r="AP65" s="26"/>
      <c r="AQ65" s="26"/>
      <c r="AR65" s="26">
        <v>606061</v>
      </c>
      <c r="AS65" s="26"/>
      <c r="AT65" s="26"/>
      <c r="AU65" s="26"/>
      <c r="AV65" s="26"/>
      <c r="AW65" s="26"/>
      <c r="AX65" s="26"/>
      <c r="AY65" s="26"/>
      <c r="BB65" s="21" t="s">
        <v>53</v>
      </c>
      <c r="BC65" s="21"/>
      <c r="BD65" s="21"/>
      <c r="BE65" s="21"/>
      <c r="BF65" s="21"/>
      <c r="BG65" s="21"/>
      <c r="BH65" s="21"/>
      <c r="BI65" s="21"/>
      <c r="BJ65" s="21" t="s">
        <v>134</v>
      </c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6">
        <v>2222</v>
      </c>
      <c r="CA65" s="26"/>
      <c r="CB65" s="26"/>
      <c r="CC65" s="26"/>
      <c r="CD65" s="26"/>
      <c r="CE65" s="26"/>
      <c r="CF65" s="26"/>
      <c r="CG65" s="26"/>
      <c r="CH65" s="26">
        <v>90</v>
      </c>
      <c r="CI65" s="26"/>
      <c r="CJ65" s="26"/>
      <c r="CK65" s="26"/>
      <c r="CL65" s="26"/>
      <c r="CM65" s="26"/>
      <c r="CN65" s="26"/>
      <c r="CO65" s="26"/>
      <c r="CP65" s="26">
        <v>330</v>
      </c>
      <c r="CQ65" s="26"/>
      <c r="CR65" s="26"/>
      <c r="CS65" s="26"/>
      <c r="CT65" s="26"/>
      <c r="CU65" s="26"/>
      <c r="CV65" s="26"/>
      <c r="CW65" s="26"/>
      <c r="CX65" s="26">
        <v>24</v>
      </c>
      <c r="CY65" s="26"/>
      <c r="CZ65" s="26"/>
      <c r="DA65" s="26"/>
      <c r="DB65" s="26"/>
      <c r="DC65" s="26"/>
      <c r="DD65" s="26"/>
      <c r="DE65" s="26"/>
      <c r="DF65" s="26">
        <v>2000</v>
      </c>
      <c r="DG65" s="26"/>
      <c r="DH65" s="26"/>
      <c r="DI65" s="26"/>
      <c r="DJ65" s="26"/>
      <c r="DK65" s="26"/>
      <c r="DL65" s="26"/>
      <c r="DM65" s="26"/>
      <c r="DN65" s="26">
        <v>606061</v>
      </c>
      <c r="DO65" s="26"/>
      <c r="DP65" s="26"/>
      <c r="DQ65" s="26"/>
      <c r="DR65" s="26"/>
      <c r="DS65" s="26"/>
      <c r="DT65" s="26"/>
      <c r="DU65" s="26"/>
    </row>
    <row r="66" spans="1:125" ht="25.2" x14ac:dyDescent="0.35">
      <c r="A66" s="21" t="s">
        <v>91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>
        <f>SUM(AJ43:AQ65)</f>
        <v>91006</v>
      </c>
      <c r="AK66" s="26"/>
      <c r="AL66" s="26"/>
      <c r="AM66" s="26"/>
      <c r="AN66" s="26"/>
      <c r="AO66" s="26"/>
      <c r="AP66" s="26"/>
      <c r="AQ66" s="26"/>
      <c r="AR66" s="26">
        <f>SUM(AR43:AY65)</f>
        <v>30281591</v>
      </c>
      <c r="AS66" s="26"/>
      <c r="AT66" s="26"/>
      <c r="AU66" s="26"/>
      <c r="AV66" s="26"/>
      <c r="AW66" s="26"/>
      <c r="AX66" s="26"/>
      <c r="AY66" s="26"/>
      <c r="BB66" s="21" t="s">
        <v>91</v>
      </c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>
        <f>SUM(DF43:DM65)</f>
        <v>91006</v>
      </c>
      <c r="DG66" s="26"/>
      <c r="DH66" s="26"/>
      <c r="DI66" s="26"/>
      <c r="DJ66" s="26"/>
      <c r="DK66" s="26"/>
      <c r="DL66" s="26"/>
      <c r="DM66" s="26"/>
      <c r="DN66" s="26">
        <f>SUM(DN43:DU65)</f>
        <v>30281591</v>
      </c>
      <c r="DO66" s="26"/>
      <c r="DP66" s="26"/>
      <c r="DQ66" s="26"/>
      <c r="DR66" s="26"/>
      <c r="DS66" s="26"/>
      <c r="DT66" s="26"/>
      <c r="DU66" s="26"/>
    </row>
  </sheetData>
  <mergeCells count="1216">
    <mergeCell ref="AJ9:AQ9"/>
    <mergeCell ref="AR9:AY9"/>
    <mergeCell ref="A6:C6"/>
    <mergeCell ref="D6:AA6"/>
    <mergeCell ref="AB6:AI6"/>
    <mergeCell ref="AJ6:AN6"/>
    <mergeCell ref="D8:AA8"/>
    <mergeCell ref="Q1:FT4"/>
    <mergeCell ref="A1:C1"/>
    <mergeCell ref="A2:C2"/>
    <mergeCell ref="A3:C3"/>
    <mergeCell ref="A4:C4"/>
    <mergeCell ref="D1:P1"/>
    <mergeCell ref="D2:P2"/>
    <mergeCell ref="D3:P3"/>
    <mergeCell ref="D4:P4"/>
    <mergeCell ref="A11:C11"/>
    <mergeCell ref="A12:C12"/>
    <mergeCell ref="A13:C13"/>
    <mergeCell ref="A14:C14"/>
    <mergeCell ref="D11:AA11"/>
    <mergeCell ref="D14:AA14"/>
    <mergeCell ref="ER8:FO8"/>
    <mergeCell ref="ER9:EY9"/>
    <mergeCell ref="EZ9:FG9"/>
    <mergeCell ref="FH9:FO9"/>
    <mergeCell ref="FP8:FT10"/>
    <mergeCell ref="CV8:DS8"/>
    <mergeCell ref="CV9:DC9"/>
    <mergeCell ref="DD9:DK9"/>
    <mergeCell ref="DL9:DS9"/>
    <mergeCell ref="DT8:EQ8"/>
    <mergeCell ref="DT9:EA9"/>
    <mergeCell ref="EB9:EI9"/>
    <mergeCell ref="EJ9:EQ9"/>
    <mergeCell ref="AZ8:BW8"/>
    <mergeCell ref="AZ9:BG9"/>
    <mergeCell ref="BH9:BO9"/>
    <mergeCell ref="BP9:BW9"/>
    <mergeCell ref="BX8:CU8"/>
    <mergeCell ref="BX9:CE9"/>
    <mergeCell ref="CF9:CM9"/>
    <mergeCell ref="CN9:CU9"/>
    <mergeCell ref="D9:K9"/>
    <mergeCell ref="L9:S9"/>
    <mergeCell ref="T9:AA9"/>
    <mergeCell ref="AB8:AY8"/>
    <mergeCell ref="AB9:AI9"/>
    <mergeCell ref="AB14:AY14"/>
    <mergeCell ref="AZ12:BG12"/>
    <mergeCell ref="AZ13:BG13"/>
    <mergeCell ref="BH12:BO12"/>
    <mergeCell ref="BH13:BO13"/>
    <mergeCell ref="CV11:DS11"/>
    <mergeCell ref="DT11:EQ11"/>
    <mergeCell ref="ER11:FO11"/>
    <mergeCell ref="D12:K12"/>
    <mergeCell ref="D13:K13"/>
    <mergeCell ref="L12:S12"/>
    <mergeCell ref="L13:S13"/>
    <mergeCell ref="T12:AA12"/>
    <mergeCell ref="T13:AA13"/>
    <mergeCell ref="AB12:AI12"/>
    <mergeCell ref="AB13:AI13"/>
    <mergeCell ref="AJ12:AQ12"/>
    <mergeCell ref="AJ13:AQ13"/>
    <mergeCell ref="AR12:AY12"/>
    <mergeCell ref="AR13:AY13"/>
    <mergeCell ref="BP12:BW12"/>
    <mergeCell ref="AB11:AY11"/>
    <mergeCell ref="AZ11:BW11"/>
    <mergeCell ref="BX11:CE11"/>
    <mergeCell ref="CF11:CQ11"/>
    <mergeCell ref="CR11:CU11"/>
    <mergeCell ref="EJ13:EQ13"/>
    <mergeCell ref="DD12:DK12"/>
    <mergeCell ref="DD13:DK13"/>
    <mergeCell ref="DL12:DS12"/>
    <mergeCell ref="DL13:DS13"/>
    <mergeCell ref="CV14:DS14"/>
    <mergeCell ref="CR12:CU12"/>
    <mergeCell ref="CR13:CU13"/>
    <mergeCell ref="BX14:CU14"/>
    <mergeCell ref="CV12:DC12"/>
    <mergeCell ref="CV13:DC13"/>
    <mergeCell ref="BP13:BW13"/>
    <mergeCell ref="AZ14:BW14"/>
    <mergeCell ref="BX12:CE12"/>
    <mergeCell ref="BX13:CE13"/>
    <mergeCell ref="CF12:CQ12"/>
    <mergeCell ref="CF13:CQ13"/>
    <mergeCell ref="A16:C16"/>
    <mergeCell ref="A17:C17"/>
    <mergeCell ref="A18:C18"/>
    <mergeCell ref="D15"/>
    <mergeCell ref="E15:L15"/>
    <mergeCell ref="D18:AA18"/>
    <mergeCell ref="FH12:FO12"/>
    <mergeCell ref="FH13:FO13"/>
    <mergeCell ref="ER14:FO14"/>
    <mergeCell ref="FP11:FT14"/>
    <mergeCell ref="A15:C15"/>
    <mergeCell ref="M15:N15"/>
    <mergeCell ref="O15:AA15"/>
    <mergeCell ref="AB15:AP15"/>
    <mergeCell ref="AQ15"/>
    <mergeCell ref="AR15:AY15"/>
    <mergeCell ref="AZ15:BW15"/>
    <mergeCell ref="BX15:CE15"/>
    <mergeCell ref="CF15:CK15"/>
    <mergeCell ref="CL15:CU15"/>
    <mergeCell ref="CV15:DS15"/>
    <mergeCell ref="DT15:EQ15"/>
    <mergeCell ref="DT14:EQ14"/>
    <mergeCell ref="ER12:EY12"/>
    <mergeCell ref="ER13:EY13"/>
    <mergeCell ref="EZ12:FG12"/>
    <mergeCell ref="EZ13:FG13"/>
    <mergeCell ref="DT12:EA12"/>
    <mergeCell ref="DT13:EA13"/>
    <mergeCell ref="EB12:EI12"/>
    <mergeCell ref="EB13:EI13"/>
    <mergeCell ref="EJ12:EQ12"/>
    <mergeCell ref="AB18:AY18"/>
    <mergeCell ref="AZ16:BG16"/>
    <mergeCell ref="AZ17:BG17"/>
    <mergeCell ref="BH16:BO16"/>
    <mergeCell ref="BH17:BO17"/>
    <mergeCell ref="AJ17:AP17"/>
    <mergeCell ref="AQ16"/>
    <mergeCell ref="AQ17"/>
    <mergeCell ref="AR16:AY16"/>
    <mergeCell ref="AR17:AY17"/>
    <mergeCell ref="ER15:FO15"/>
    <mergeCell ref="D16"/>
    <mergeCell ref="D17"/>
    <mergeCell ref="E16:K16"/>
    <mergeCell ref="E17:K17"/>
    <mergeCell ref="L16"/>
    <mergeCell ref="L17"/>
    <mergeCell ref="M16:N16"/>
    <mergeCell ref="M17:N17"/>
    <mergeCell ref="O16:S16"/>
    <mergeCell ref="O17:S17"/>
    <mergeCell ref="T16:AA16"/>
    <mergeCell ref="T17:AA17"/>
    <mergeCell ref="AB16:AI16"/>
    <mergeCell ref="AB17:AI17"/>
    <mergeCell ref="AJ16:AP16"/>
    <mergeCell ref="EB17:EI17"/>
    <mergeCell ref="CV16:DC16"/>
    <mergeCell ref="CV17:DC17"/>
    <mergeCell ref="DD16:DK16"/>
    <mergeCell ref="DD17:DK17"/>
    <mergeCell ref="DL16:DS16"/>
    <mergeCell ref="DL17:DS17"/>
    <mergeCell ref="CF16:CK16"/>
    <mergeCell ref="CF17:CK17"/>
    <mergeCell ref="CL16:CM16"/>
    <mergeCell ref="CL17:CM17"/>
    <mergeCell ref="CN16:CU16"/>
    <mergeCell ref="CN17:CU17"/>
    <mergeCell ref="BP16:BW16"/>
    <mergeCell ref="BP17:BW17"/>
    <mergeCell ref="AZ18:BW18"/>
    <mergeCell ref="BX16:CE16"/>
    <mergeCell ref="BX17:CE17"/>
    <mergeCell ref="BX18:CU18"/>
    <mergeCell ref="A20:C20"/>
    <mergeCell ref="A21:C21"/>
    <mergeCell ref="A22:C22"/>
    <mergeCell ref="D19:AA19"/>
    <mergeCell ref="AB19:AG19"/>
    <mergeCell ref="D22:AA22"/>
    <mergeCell ref="AB22:AY22"/>
    <mergeCell ref="EZ16:FO16"/>
    <mergeCell ref="EZ17:FO17"/>
    <mergeCell ref="ER18:FO18"/>
    <mergeCell ref="FP15:FT18"/>
    <mergeCell ref="A19:C19"/>
    <mergeCell ref="AH19:AO19"/>
    <mergeCell ref="AP19:AY19"/>
    <mergeCell ref="AZ19:BW19"/>
    <mergeCell ref="BX19:CD19"/>
    <mergeCell ref="CE19:CP19"/>
    <mergeCell ref="CQ19:CU19"/>
    <mergeCell ref="CV19:DS19"/>
    <mergeCell ref="DT19:EE19"/>
    <mergeCell ref="EF19:EG19"/>
    <mergeCell ref="EH19:EQ19"/>
    <mergeCell ref="ER19:FE19"/>
    <mergeCell ref="EJ16:EQ16"/>
    <mergeCell ref="EJ17:EQ17"/>
    <mergeCell ref="DT18:EQ18"/>
    <mergeCell ref="ER16:EY16"/>
    <mergeCell ref="ER17:EY17"/>
    <mergeCell ref="CV18:DS18"/>
    <mergeCell ref="DT16:EA16"/>
    <mergeCell ref="DT17:EA17"/>
    <mergeCell ref="EB16:EI16"/>
    <mergeCell ref="AZ22:BW22"/>
    <mergeCell ref="BX20:CD20"/>
    <mergeCell ref="BX21:CD21"/>
    <mergeCell ref="CE20:CP20"/>
    <mergeCell ref="CE21:CP21"/>
    <mergeCell ref="AZ20:BG20"/>
    <mergeCell ref="AZ21:BG21"/>
    <mergeCell ref="BH20:BO20"/>
    <mergeCell ref="BH21:BO21"/>
    <mergeCell ref="BP20:BW20"/>
    <mergeCell ref="BP21:BW21"/>
    <mergeCell ref="FF19:FM19"/>
    <mergeCell ref="FN19:FO19"/>
    <mergeCell ref="D20:K20"/>
    <mergeCell ref="D21:K21"/>
    <mergeCell ref="L20:S20"/>
    <mergeCell ref="L21:S21"/>
    <mergeCell ref="T20:AA20"/>
    <mergeCell ref="T21:AA21"/>
    <mergeCell ref="AB20:AG20"/>
    <mergeCell ref="AB21:AG21"/>
    <mergeCell ref="AH20:AO20"/>
    <mergeCell ref="AH21:AO21"/>
    <mergeCell ref="AP20:AQ20"/>
    <mergeCell ref="AP21:AQ21"/>
    <mergeCell ref="AR20:AY20"/>
    <mergeCell ref="AR21:AY21"/>
    <mergeCell ref="DT22:EQ22"/>
    <mergeCell ref="DT20:EA20"/>
    <mergeCell ref="DT21:EA21"/>
    <mergeCell ref="EB20:EE20"/>
    <mergeCell ref="EB21:EE21"/>
    <mergeCell ref="EF20:EG20"/>
    <mergeCell ref="EF21:EG21"/>
    <mergeCell ref="DD20:DK20"/>
    <mergeCell ref="DD21:DK21"/>
    <mergeCell ref="DL20:DS20"/>
    <mergeCell ref="DL21:DS21"/>
    <mergeCell ref="CV22:DS22"/>
    <mergeCell ref="CQ20:CU20"/>
    <mergeCell ref="CQ21:CU21"/>
    <mergeCell ref="BX22:CU22"/>
    <mergeCell ref="CV20:DC20"/>
    <mergeCell ref="CV21:DC21"/>
    <mergeCell ref="A24:C24"/>
    <mergeCell ref="A25:C25"/>
    <mergeCell ref="A26:C26"/>
    <mergeCell ref="D23:Q23"/>
    <mergeCell ref="R23:AA23"/>
    <mergeCell ref="D26:AA26"/>
    <mergeCell ref="FN20:FO20"/>
    <mergeCell ref="FN21:FO21"/>
    <mergeCell ref="ER22:FO22"/>
    <mergeCell ref="FP19:FT22"/>
    <mergeCell ref="A23:C23"/>
    <mergeCell ref="AB23:AY23"/>
    <mergeCell ref="AZ23:BE23"/>
    <mergeCell ref="BF23"/>
    <mergeCell ref="BG23:BW23"/>
    <mergeCell ref="BX23:CU23"/>
    <mergeCell ref="CV23:DH23"/>
    <mergeCell ref="DI23:DP23"/>
    <mergeCell ref="DQ23:DS23"/>
    <mergeCell ref="DT23:EE23"/>
    <mergeCell ref="EF23:EQ23"/>
    <mergeCell ref="ER23:EZ23"/>
    <mergeCell ref="ER20:EY20"/>
    <mergeCell ref="ER21:EY21"/>
    <mergeCell ref="EZ20:FE20"/>
    <mergeCell ref="EZ21:FE21"/>
    <mergeCell ref="FF20:FM20"/>
    <mergeCell ref="FF21:FM21"/>
    <mergeCell ref="EH20:EI20"/>
    <mergeCell ref="EH21:EI21"/>
    <mergeCell ref="EJ20:EQ20"/>
    <mergeCell ref="EJ21:EQ21"/>
    <mergeCell ref="AB26:AY26"/>
    <mergeCell ref="AZ24:BE24"/>
    <mergeCell ref="AZ25:BE25"/>
    <mergeCell ref="BF24"/>
    <mergeCell ref="BF25"/>
    <mergeCell ref="AZ26:BW26"/>
    <mergeCell ref="FA23:FO23"/>
    <mergeCell ref="D24:P24"/>
    <mergeCell ref="D25:P25"/>
    <mergeCell ref="Q24"/>
    <mergeCell ref="Q25"/>
    <mergeCell ref="R24:S24"/>
    <mergeCell ref="R25:S25"/>
    <mergeCell ref="T24:AA24"/>
    <mergeCell ref="T25:AA25"/>
    <mergeCell ref="AB24:AI24"/>
    <mergeCell ref="AB25:AI25"/>
    <mergeCell ref="AJ24:AQ24"/>
    <mergeCell ref="AJ25:AQ25"/>
    <mergeCell ref="AR24:AY24"/>
    <mergeCell ref="AR25:AY25"/>
    <mergeCell ref="BG24"/>
    <mergeCell ref="CV26:DS26"/>
    <mergeCell ref="BX26:CU26"/>
    <mergeCell ref="CV24:DC24"/>
    <mergeCell ref="CV25:DC25"/>
    <mergeCell ref="DD24:DH24"/>
    <mergeCell ref="DD25:DH25"/>
    <mergeCell ref="BX24:CE24"/>
    <mergeCell ref="BX25:CE25"/>
    <mergeCell ref="CF24:CM24"/>
    <mergeCell ref="CF25:CM25"/>
    <mergeCell ref="CN24:CU24"/>
    <mergeCell ref="CN25:CU25"/>
    <mergeCell ref="BG25"/>
    <mergeCell ref="BH24:BO24"/>
    <mergeCell ref="BH25:BO25"/>
    <mergeCell ref="BP24:BW24"/>
    <mergeCell ref="BP25:BW25"/>
    <mergeCell ref="FP23:FT26"/>
    <mergeCell ref="A27:C27"/>
    <mergeCell ref="A28:C28"/>
    <mergeCell ref="A29:C29"/>
    <mergeCell ref="A30:C30"/>
    <mergeCell ref="D27:AA27"/>
    <mergeCell ref="AB27:AL27"/>
    <mergeCell ref="AM27:AW27"/>
    <mergeCell ref="AX27:AY27"/>
    <mergeCell ref="AZ27:BJ27"/>
    <mergeCell ref="BK27:BU27"/>
    <mergeCell ref="BV27:BW27"/>
    <mergeCell ref="BX27:CH27"/>
    <mergeCell ref="CI27:CU27"/>
    <mergeCell ref="CV27:DS27"/>
    <mergeCell ref="DT27:EQ27"/>
    <mergeCell ref="FA24:FG24"/>
    <mergeCell ref="FA25:FG25"/>
    <mergeCell ref="FH24:FO24"/>
    <mergeCell ref="FH25:FO25"/>
    <mergeCell ref="ER26:FO26"/>
    <mergeCell ref="DT24:EA24"/>
    <mergeCell ref="DT25:EA25"/>
    <mergeCell ref="EB24:EE24"/>
    <mergeCell ref="EB25:EE25"/>
    <mergeCell ref="DT26:EQ26"/>
    <mergeCell ref="EF24:EZ24"/>
    <mergeCell ref="EF25:EZ25"/>
    <mergeCell ref="DI24:DP24"/>
    <mergeCell ref="DI25:DP25"/>
    <mergeCell ref="DQ24:DS24"/>
    <mergeCell ref="DQ25:DS25"/>
    <mergeCell ref="CH29"/>
    <mergeCell ref="CI28:CM28"/>
    <mergeCell ref="CI29:CM29"/>
    <mergeCell ref="CN28:CU28"/>
    <mergeCell ref="CN29:CU29"/>
    <mergeCell ref="BK29:BO29"/>
    <mergeCell ref="BP28:BU28"/>
    <mergeCell ref="BP29:BU29"/>
    <mergeCell ref="AZ30:BW30"/>
    <mergeCell ref="BV28:CG28"/>
    <mergeCell ref="BV29:CG29"/>
    <mergeCell ref="BX30:CU30"/>
    <mergeCell ref="ER27:FO27"/>
    <mergeCell ref="D30:AA30"/>
    <mergeCell ref="D28:AK28"/>
    <mergeCell ref="D29:AK29"/>
    <mergeCell ref="AL28"/>
    <mergeCell ref="AL29"/>
    <mergeCell ref="AM28:AQ28"/>
    <mergeCell ref="AM29:AQ29"/>
    <mergeCell ref="AR28:AW28"/>
    <mergeCell ref="AR29:AW29"/>
    <mergeCell ref="AB30:AY30"/>
    <mergeCell ref="AX28:BI28"/>
    <mergeCell ref="AX29:BI29"/>
    <mergeCell ref="BJ28"/>
    <mergeCell ref="BJ29"/>
    <mergeCell ref="BK28:BO28"/>
    <mergeCell ref="DN31:DR31"/>
    <mergeCell ref="DS31"/>
    <mergeCell ref="DT31:EG31"/>
    <mergeCell ref="EH31:EQ31"/>
    <mergeCell ref="ER31:FO31"/>
    <mergeCell ref="CL31"/>
    <mergeCell ref="CM31:CR31"/>
    <mergeCell ref="CS31"/>
    <mergeCell ref="CT31:CU31"/>
    <mergeCell ref="CV31:DM31"/>
    <mergeCell ref="FP27:FT30"/>
    <mergeCell ref="A31:C31"/>
    <mergeCell ref="A32:C32"/>
    <mergeCell ref="A33:C33"/>
    <mergeCell ref="A34:C34"/>
    <mergeCell ref="D31:I31"/>
    <mergeCell ref="J31:U31"/>
    <mergeCell ref="V31:W31"/>
    <mergeCell ref="X31:AA31"/>
    <mergeCell ref="AB31:AM31"/>
    <mergeCell ref="AN31"/>
    <mergeCell ref="AO31:AY31"/>
    <mergeCell ref="AZ31:BL31"/>
    <mergeCell ref="BM31:BQ31"/>
    <mergeCell ref="BR31:BW31"/>
    <mergeCell ref="BX31:CK31"/>
    <mergeCell ref="CV30:DS30"/>
    <mergeCell ref="DT30:EQ30"/>
    <mergeCell ref="CV28:FO28"/>
    <mergeCell ref="CV29:FO29"/>
    <mergeCell ref="ER30:FO30"/>
    <mergeCell ref="CH28"/>
    <mergeCell ref="AR32:AY32"/>
    <mergeCell ref="AR33:AY33"/>
    <mergeCell ref="AB34:AY34"/>
    <mergeCell ref="AZ32:BG32"/>
    <mergeCell ref="AZ33:BG33"/>
    <mergeCell ref="AZ34:BW34"/>
    <mergeCell ref="AJ32:AM32"/>
    <mergeCell ref="AJ33:AM33"/>
    <mergeCell ref="AN32"/>
    <mergeCell ref="AN33"/>
    <mergeCell ref="AO32:AQ32"/>
    <mergeCell ref="AO33:AQ33"/>
    <mergeCell ref="X32:AA32"/>
    <mergeCell ref="X33:AA33"/>
    <mergeCell ref="D34:AA34"/>
    <mergeCell ref="AB32:AI32"/>
    <mergeCell ref="AB33:AI33"/>
    <mergeCell ref="L32:S32"/>
    <mergeCell ref="L33:S33"/>
    <mergeCell ref="T32:U32"/>
    <mergeCell ref="T33:U33"/>
    <mergeCell ref="V32:W32"/>
    <mergeCell ref="V33:W33"/>
    <mergeCell ref="D32:H32"/>
    <mergeCell ref="D33:H33"/>
    <mergeCell ref="I32"/>
    <mergeCell ref="I33"/>
    <mergeCell ref="J32:K32"/>
    <mergeCell ref="J33:K33"/>
    <mergeCell ref="CM33"/>
    <mergeCell ref="CN32:CR32"/>
    <mergeCell ref="CN33:CR33"/>
    <mergeCell ref="CS32"/>
    <mergeCell ref="CS33"/>
    <mergeCell ref="BX32:CE32"/>
    <mergeCell ref="BX33:CE33"/>
    <mergeCell ref="CF32:CK32"/>
    <mergeCell ref="CF33:CK33"/>
    <mergeCell ref="CL32"/>
    <mergeCell ref="CL33"/>
    <mergeCell ref="BH32:BL32"/>
    <mergeCell ref="BH33:BL33"/>
    <mergeCell ref="BM32:BQ32"/>
    <mergeCell ref="BM33:BQ33"/>
    <mergeCell ref="BR32:BW32"/>
    <mergeCell ref="BR33:BW33"/>
    <mergeCell ref="FN32:FO32"/>
    <mergeCell ref="FN33:FO33"/>
    <mergeCell ref="ER34:FO34"/>
    <mergeCell ref="FP31:FT34"/>
    <mergeCell ref="A35:C35"/>
    <mergeCell ref="AZ35:BW35"/>
    <mergeCell ref="BX35:CU35"/>
    <mergeCell ref="CV35:DS35"/>
    <mergeCell ref="DT35:EQ35"/>
    <mergeCell ref="ER35:FO35"/>
    <mergeCell ref="EB32:EG32"/>
    <mergeCell ref="EB33:EG33"/>
    <mergeCell ref="DT34:EQ34"/>
    <mergeCell ref="EH32:FM32"/>
    <mergeCell ref="EH33:FM33"/>
    <mergeCell ref="DS32"/>
    <mergeCell ref="DS33"/>
    <mergeCell ref="CV34:DS34"/>
    <mergeCell ref="DT32:EA32"/>
    <mergeCell ref="DT33:EA33"/>
    <mergeCell ref="DD32:DK32"/>
    <mergeCell ref="DD33:DK33"/>
    <mergeCell ref="DL32:DM32"/>
    <mergeCell ref="DL33:DM33"/>
    <mergeCell ref="DN32:DR32"/>
    <mergeCell ref="DN33:DR33"/>
    <mergeCell ref="CT32:CU32"/>
    <mergeCell ref="CT33:CU33"/>
    <mergeCell ref="BX34:CU34"/>
    <mergeCell ref="CV32:DC32"/>
    <mergeCell ref="CV33:DC33"/>
    <mergeCell ref="CM32"/>
    <mergeCell ref="AR36:AY36"/>
    <mergeCell ref="AR37:AY37"/>
    <mergeCell ref="AB38:AY38"/>
    <mergeCell ref="AZ36:BG36"/>
    <mergeCell ref="AZ37:BG37"/>
    <mergeCell ref="A36:C36"/>
    <mergeCell ref="A37:C37"/>
    <mergeCell ref="A38:C38"/>
    <mergeCell ref="D35:AA35"/>
    <mergeCell ref="AB35:AY35"/>
    <mergeCell ref="D36:K36"/>
    <mergeCell ref="D37:K37"/>
    <mergeCell ref="L36:S36"/>
    <mergeCell ref="L37:S37"/>
    <mergeCell ref="T36:AA36"/>
    <mergeCell ref="T37:AA37"/>
    <mergeCell ref="D38:AA38"/>
    <mergeCell ref="AB36:AI36"/>
    <mergeCell ref="AB37:AI37"/>
    <mergeCell ref="AJ36:AQ36"/>
    <mergeCell ref="AJ37:AQ37"/>
    <mergeCell ref="DT36:EA36"/>
    <mergeCell ref="DT37:EA37"/>
    <mergeCell ref="BX38:CU38"/>
    <mergeCell ref="CV36:DC36"/>
    <mergeCell ref="CV37:DC37"/>
    <mergeCell ref="DD36:DK36"/>
    <mergeCell ref="DD37:DK37"/>
    <mergeCell ref="BX36:CE36"/>
    <mergeCell ref="BX37:CE37"/>
    <mergeCell ref="CF36:CM36"/>
    <mergeCell ref="CF37:CM37"/>
    <mergeCell ref="CN36:CU36"/>
    <mergeCell ref="CN37:CU37"/>
    <mergeCell ref="BH36:BO36"/>
    <mergeCell ref="BH37:BO37"/>
    <mergeCell ref="BP36:BW36"/>
    <mergeCell ref="BP37:BW37"/>
    <mergeCell ref="AZ38:BW38"/>
    <mergeCell ref="A41:AY41"/>
    <mergeCell ref="A42:K42"/>
    <mergeCell ref="L42:S42"/>
    <mergeCell ref="T42:AA42"/>
    <mergeCell ref="AB42:AI42"/>
    <mergeCell ref="AJ42:AQ42"/>
    <mergeCell ref="AR42:AY42"/>
    <mergeCell ref="ER38:FO38"/>
    <mergeCell ref="FP35:FT38"/>
    <mergeCell ref="A39:C39"/>
    <mergeCell ref="FP39:FT39"/>
    <mergeCell ref="D39:AA39"/>
    <mergeCell ref="AB39:AY39"/>
    <mergeCell ref="AZ39:BW39"/>
    <mergeCell ref="BX39:CU39"/>
    <mergeCell ref="CV39:DS39"/>
    <mergeCell ref="DT39:EQ39"/>
    <mergeCell ref="ER39:FO39"/>
    <mergeCell ref="ER36:EY36"/>
    <mergeCell ref="ER37:EY37"/>
    <mergeCell ref="EZ36:FG36"/>
    <mergeCell ref="EZ37:FG37"/>
    <mergeCell ref="FH36:FO36"/>
    <mergeCell ref="FH37:FO37"/>
    <mergeCell ref="EB36:EI36"/>
    <mergeCell ref="EB37:EI37"/>
    <mergeCell ref="EJ36:EQ36"/>
    <mergeCell ref="EJ37:EQ37"/>
    <mergeCell ref="DT38:EQ38"/>
    <mergeCell ref="DL36:DS36"/>
    <mergeCell ref="DL37:DS37"/>
    <mergeCell ref="CV38:DS38"/>
    <mergeCell ref="AR45:AY45"/>
    <mergeCell ref="A46:K46"/>
    <mergeCell ref="L46:S46"/>
    <mergeCell ref="T46:AA46"/>
    <mergeCell ref="AB46:AI46"/>
    <mergeCell ref="AJ46:AQ46"/>
    <mergeCell ref="AR46:AY46"/>
    <mergeCell ref="A45:K45"/>
    <mergeCell ref="L45:S45"/>
    <mergeCell ref="T45:AA45"/>
    <mergeCell ref="AB45:AI45"/>
    <mergeCell ref="AJ45:AQ45"/>
    <mergeCell ref="AR43:AY43"/>
    <mergeCell ref="A44:K44"/>
    <mergeCell ref="L44:S44"/>
    <mergeCell ref="T44:AA44"/>
    <mergeCell ref="AB44:AI44"/>
    <mergeCell ref="AJ44:AQ44"/>
    <mergeCell ref="AR44:AY44"/>
    <mergeCell ref="A43:K43"/>
    <mergeCell ref="L43:S43"/>
    <mergeCell ref="T43:AA43"/>
    <mergeCell ref="AB43:AI43"/>
    <mergeCell ref="AJ43:AQ43"/>
    <mergeCell ref="AR49:AY49"/>
    <mergeCell ref="A50:K50"/>
    <mergeCell ref="L50:S50"/>
    <mergeCell ref="T50:AA50"/>
    <mergeCell ref="AB50:AI50"/>
    <mergeCell ref="AJ50:AQ50"/>
    <mergeCell ref="AR50:AY50"/>
    <mergeCell ref="A49:K49"/>
    <mergeCell ref="L49:S49"/>
    <mergeCell ref="T49:AA49"/>
    <mergeCell ref="AB49:AI49"/>
    <mergeCell ref="AJ49:AQ49"/>
    <mergeCell ref="AR47:AY47"/>
    <mergeCell ref="A48:K48"/>
    <mergeCell ref="L48:S48"/>
    <mergeCell ref="T48:AA48"/>
    <mergeCell ref="AB48:AI48"/>
    <mergeCell ref="AJ48:AQ48"/>
    <mergeCell ref="AR48:AY48"/>
    <mergeCell ref="A47:K47"/>
    <mergeCell ref="L47:S47"/>
    <mergeCell ref="T47:AA47"/>
    <mergeCell ref="AB47:AI47"/>
    <mergeCell ref="AJ47:AQ47"/>
    <mergeCell ref="AR53:AY53"/>
    <mergeCell ref="A54:K54"/>
    <mergeCell ref="L54:S54"/>
    <mergeCell ref="T54:AA54"/>
    <mergeCell ref="AB54:AI54"/>
    <mergeCell ref="AJ54:AQ54"/>
    <mergeCell ref="AR54:AY54"/>
    <mergeCell ref="A53:K53"/>
    <mergeCell ref="L53:S53"/>
    <mergeCell ref="T53:AA53"/>
    <mergeCell ref="AB53:AI53"/>
    <mergeCell ref="AJ53:AQ53"/>
    <mergeCell ref="AR51:AY51"/>
    <mergeCell ref="A52:K52"/>
    <mergeCell ref="L52:S52"/>
    <mergeCell ref="T52:AA52"/>
    <mergeCell ref="AB52:AI52"/>
    <mergeCell ref="AJ52:AQ52"/>
    <mergeCell ref="AR52:AY52"/>
    <mergeCell ref="A51:K51"/>
    <mergeCell ref="L51:S51"/>
    <mergeCell ref="T51:AA51"/>
    <mergeCell ref="AB51:AI51"/>
    <mergeCell ref="AJ51:AQ51"/>
    <mergeCell ref="AR57:AY57"/>
    <mergeCell ref="A58:K58"/>
    <mergeCell ref="L58:S58"/>
    <mergeCell ref="T58:AA58"/>
    <mergeCell ref="AB58:AI58"/>
    <mergeCell ref="AJ58:AQ58"/>
    <mergeCell ref="AR58:AY58"/>
    <mergeCell ref="A57:K57"/>
    <mergeCell ref="L57:S57"/>
    <mergeCell ref="T57:AA57"/>
    <mergeCell ref="AB57:AI57"/>
    <mergeCell ref="AJ57:AQ57"/>
    <mergeCell ref="AR55:AY55"/>
    <mergeCell ref="A56:K56"/>
    <mergeCell ref="L56:S56"/>
    <mergeCell ref="T56:AA56"/>
    <mergeCell ref="AB56:AI56"/>
    <mergeCell ref="AJ56:AQ56"/>
    <mergeCell ref="AR56:AY56"/>
    <mergeCell ref="A55:K55"/>
    <mergeCell ref="L55:S55"/>
    <mergeCell ref="T55:AA55"/>
    <mergeCell ref="AB55:AI55"/>
    <mergeCell ref="AJ55:AQ55"/>
    <mergeCell ref="AJ63:AQ63"/>
    <mergeCell ref="AR61:AY61"/>
    <mergeCell ref="A62:K62"/>
    <mergeCell ref="L62:S62"/>
    <mergeCell ref="T62:AA62"/>
    <mergeCell ref="AB62:AI62"/>
    <mergeCell ref="AJ62:AQ62"/>
    <mergeCell ref="AR62:AY62"/>
    <mergeCell ref="A61:K61"/>
    <mergeCell ref="L61:S61"/>
    <mergeCell ref="T61:AA61"/>
    <mergeCell ref="AB61:AI61"/>
    <mergeCell ref="AJ61:AQ61"/>
    <mergeCell ref="AR59:AY59"/>
    <mergeCell ref="A60:K60"/>
    <mergeCell ref="L60:S60"/>
    <mergeCell ref="T60:AA60"/>
    <mergeCell ref="AB60:AI60"/>
    <mergeCell ref="AJ60:AQ60"/>
    <mergeCell ref="AR60:AY60"/>
    <mergeCell ref="A59:K59"/>
    <mergeCell ref="L59:S59"/>
    <mergeCell ref="T59:AA59"/>
    <mergeCell ref="AB59:AI59"/>
    <mergeCell ref="AJ59:AQ59"/>
    <mergeCell ref="BB41:DU41"/>
    <mergeCell ref="BB42:BI42"/>
    <mergeCell ref="BJ42:BY42"/>
    <mergeCell ref="BZ42:CG42"/>
    <mergeCell ref="CH42:CO42"/>
    <mergeCell ref="CP42:CW42"/>
    <mergeCell ref="CX42:DE42"/>
    <mergeCell ref="DF42:DM42"/>
    <mergeCell ref="DN42:DU42"/>
    <mergeCell ref="AR65:AY65"/>
    <mergeCell ref="A66:K66"/>
    <mergeCell ref="L66:S66"/>
    <mergeCell ref="T66:AA66"/>
    <mergeCell ref="AB66:AI66"/>
    <mergeCell ref="AJ66:AQ66"/>
    <mergeCell ref="AR66:AY66"/>
    <mergeCell ref="A65:K65"/>
    <mergeCell ref="L65:S65"/>
    <mergeCell ref="T65:AA65"/>
    <mergeCell ref="AB65:AI65"/>
    <mergeCell ref="AJ65:AQ65"/>
    <mergeCell ref="AR63:AY63"/>
    <mergeCell ref="A64:K64"/>
    <mergeCell ref="L64:S64"/>
    <mergeCell ref="T64:AA64"/>
    <mergeCell ref="AB64:AI64"/>
    <mergeCell ref="AJ64:AQ64"/>
    <mergeCell ref="AR64:AY64"/>
    <mergeCell ref="A63:K63"/>
    <mergeCell ref="L63:S63"/>
    <mergeCell ref="T63:AA63"/>
    <mergeCell ref="AB63:AI63"/>
    <mergeCell ref="BB46:BI46"/>
    <mergeCell ref="BJ46:BY46"/>
    <mergeCell ref="BZ46:CG46"/>
    <mergeCell ref="CH46:CO46"/>
    <mergeCell ref="CP46:CW46"/>
    <mergeCell ref="CX46:DE46"/>
    <mergeCell ref="DF46:DM46"/>
    <mergeCell ref="DN46:DU46"/>
    <mergeCell ref="BB45:BI45"/>
    <mergeCell ref="BJ45:BY45"/>
    <mergeCell ref="BZ45:CG45"/>
    <mergeCell ref="CH45:CO45"/>
    <mergeCell ref="CP45:CW45"/>
    <mergeCell ref="CX43:DE43"/>
    <mergeCell ref="DF43:DM43"/>
    <mergeCell ref="DN43:DU43"/>
    <mergeCell ref="BB44:BI44"/>
    <mergeCell ref="BJ44:BY44"/>
    <mergeCell ref="BZ44:CG44"/>
    <mergeCell ref="CH44:CO44"/>
    <mergeCell ref="CP44:CW44"/>
    <mergeCell ref="CX44:DE44"/>
    <mergeCell ref="DF44:DM44"/>
    <mergeCell ref="DN44:DU44"/>
    <mergeCell ref="BB43:BI43"/>
    <mergeCell ref="BJ43:BY43"/>
    <mergeCell ref="BZ43:CG43"/>
    <mergeCell ref="CH43:CO43"/>
    <mergeCell ref="CP43:CW43"/>
    <mergeCell ref="BB50:BI50"/>
    <mergeCell ref="BJ50:BY50"/>
    <mergeCell ref="BZ50:CG50"/>
    <mergeCell ref="CH50:CO50"/>
    <mergeCell ref="CP50:CW50"/>
    <mergeCell ref="CX50:DE50"/>
    <mergeCell ref="DF50:DM50"/>
    <mergeCell ref="DN50:DU50"/>
    <mergeCell ref="BB49:BI49"/>
    <mergeCell ref="BJ49:BY49"/>
    <mergeCell ref="BZ49:CG49"/>
    <mergeCell ref="CH49:CO49"/>
    <mergeCell ref="CP49:CW49"/>
    <mergeCell ref="CX47:DE47"/>
    <mergeCell ref="DF47:DM47"/>
    <mergeCell ref="DN47:DU47"/>
    <mergeCell ref="BB48:BI48"/>
    <mergeCell ref="BJ48:BY48"/>
    <mergeCell ref="BZ48:CG48"/>
    <mergeCell ref="CH48:CO48"/>
    <mergeCell ref="CP48:CW48"/>
    <mergeCell ref="CX48:DE48"/>
    <mergeCell ref="DF48:DM48"/>
    <mergeCell ref="DN48:DU48"/>
    <mergeCell ref="BB47:BI47"/>
    <mergeCell ref="BJ47:BY47"/>
    <mergeCell ref="BZ47:CG47"/>
    <mergeCell ref="CH47:CO47"/>
    <mergeCell ref="CP47:CW47"/>
    <mergeCell ref="BB54:BI54"/>
    <mergeCell ref="BJ54:BY54"/>
    <mergeCell ref="BZ54:CG54"/>
    <mergeCell ref="CH54:CO54"/>
    <mergeCell ref="CP54:CW54"/>
    <mergeCell ref="CX54:DE54"/>
    <mergeCell ref="DF54:DM54"/>
    <mergeCell ref="DN54:DU54"/>
    <mergeCell ref="BB53:BI53"/>
    <mergeCell ref="BJ53:BY53"/>
    <mergeCell ref="BZ53:CG53"/>
    <mergeCell ref="CH53:CO53"/>
    <mergeCell ref="CP53:CW53"/>
    <mergeCell ref="CX51:DE51"/>
    <mergeCell ref="DF51:DM51"/>
    <mergeCell ref="DN51:DU51"/>
    <mergeCell ref="BB52:BI52"/>
    <mergeCell ref="BJ52:BY52"/>
    <mergeCell ref="BZ52:CG52"/>
    <mergeCell ref="CH52:CO52"/>
    <mergeCell ref="CP52:CW52"/>
    <mergeCell ref="CX52:DE52"/>
    <mergeCell ref="DF52:DM52"/>
    <mergeCell ref="DN52:DU52"/>
    <mergeCell ref="BB51:BI51"/>
    <mergeCell ref="BJ51:BY51"/>
    <mergeCell ref="BZ51:CG51"/>
    <mergeCell ref="CH51:CO51"/>
    <mergeCell ref="CP51:CW51"/>
    <mergeCell ref="BB58:BI58"/>
    <mergeCell ref="BJ58:BY58"/>
    <mergeCell ref="BZ58:CG58"/>
    <mergeCell ref="CH58:CO58"/>
    <mergeCell ref="CP58:CW58"/>
    <mergeCell ref="CX58:DE58"/>
    <mergeCell ref="DF58:DM58"/>
    <mergeCell ref="DN58:DU58"/>
    <mergeCell ref="BB57:BI57"/>
    <mergeCell ref="BJ57:BY57"/>
    <mergeCell ref="BZ57:CG57"/>
    <mergeCell ref="CH57:CO57"/>
    <mergeCell ref="CP57:CW57"/>
    <mergeCell ref="CX55:DE55"/>
    <mergeCell ref="DF55:DM55"/>
    <mergeCell ref="DN55:DU55"/>
    <mergeCell ref="BB56:BI56"/>
    <mergeCell ref="BJ56:BY56"/>
    <mergeCell ref="BZ56:CG56"/>
    <mergeCell ref="CH56:CO56"/>
    <mergeCell ref="CP56:CW56"/>
    <mergeCell ref="CX56:DE56"/>
    <mergeCell ref="DF56:DM56"/>
    <mergeCell ref="DN56:DU56"/>
    <mergeCell ref="BB55:BI55"/>
    <mergeCell ref="BJ55:BY55"/>
    <mergeCell ref="BZ55:CG55"/>
    <mergeCell ref="CH55:CO55"/>
    <mergeCell ref="CP55:CW55"/>
    <mergeCell ref="BB62:BI62"/>
    <mergeCell ref="BJ62:BY62"/>
    <mergeCell ref="BZ62:CG62"/>
    <mergeCell ref="CH62:CO62"/>
    <mergeCell ref="CP62:CW62"/>
    <mergeCell ref="CX62:DE62"/>
    <mergeCell ref="DF62:DM62"/>
    <mergeCell ref="DN62:DU62"/>
    <mergeCell ref="BB61:BI61"/>
    <mergeCell ref="BJ61:BY61"/>
    <mergeCell ref="BZ61:CG61"/>
    <mergeCell ref="CH61:CO61"/>
    <mergeCell ref="CP61:CW61"/>
    <mergeCell ref="CX59:DE59"/>
    <mergeCell ref="DF59:DM59"/>
    <mergeCell ref="DN59:DU59"/>
    <mergeCell ref="BB60:BI60"/>
    <mergeCell ref="BJ60:BY60"/>
    <mergeCell ref="BZ60:CG60"/>
    <mergeCell ref="CH60:CO60"/>
    <mergeCell ref="CP60:CW60"/>
    <mergeCell ref="CX60:DE60"/>
    <mergeCell ref="DF60:DM60"/>
    <mergeCell ref="DN60:DU60"/>
    <mergeCell ref="BB59:BI59"/>
    <mergeCell ref="BJ59:BY59"/>
    <mergeCell ref="BZ59:CG59"/>
    <mergeCell ref="CH59:CO59"/>
    <mergeCell ref="CP59:CW59"/>
    <mergeCell ref="BB66:BI66"/>
    <mergeCell ref="BJ66:BY66"/>
    <mergeCell ref="BZ66:CG66"/>
    <mergeCell ref="CH66:CO66"/>
    <mergeCell ref="CP66:CW66"/>
    <mergeCell ref="CX66:DE66"/>
    <mergeCell ref="DF66:DM66"/>
    <mergeCell ref="DN66:DU66"/>
    <mergeCell ref="BB65:BI65"/>
    <mergeCell ref="BJ65:BY65"/>
    <mergeCell ref="BZ65:CG65"/>
    <mergeCell ref="CH65:CO65"/>
    <mergeCell ref="CP65:CW65"/>
    <mergeCell ref="CX63:DE63"/>
    <mergeCell ref="DF63:DM63"/>
    <mergeCell ref="DN63:DU63"/>
    <mergeCell ref="BB64:BI64"/>
    <mergeCell ref="BJ64:BY64"/>
    <mergeCell ref="BZ64:CG64"/>
    <mergeCell ref="CH64:CO64"/>
    <mergeCell ref="CP64:CW64"/>
    <mergeCell ref="CX64:DE64"/>
    <mergeCell ref="DF64:DM64"/>
    <mergeCell ref="DN64:DU64"/>
    <mergeCell ref="BB63:BI63"/>
    <mergeCell ref="BJ63:BY63"/>
    <mergeCell ref="BZ63:CG63"/>
    <mergeCell ref="CH63:CO63"/>
    <mergeCell ref="CP63:CW63"/>
    <mergeCell ref="EN42:EU42"/>
    <mergeCell ref="EN43:EU43"/>
    <mergeCell ref="EN44:EU44"/>
    <mergeCell ref="EN45:EU45"/>
    <mergeCell ref="EN46:EU46"/>
    <mergeCell ref="EN47:EU47"/>
    <mergeCell ref="EN48:EU48"/>
    <mergeCell ref="EN49:EU49"/>
    <mergeCell ref="EN50:EU50"/>
    <mergeCell ref="DX42:EM42"/>
    <mergeCell ref="DX43:EM43"/>
    <mergeCell ref="DX44:EM44"/>
    <mergeCell ref="DX45:EM45"/>
    <mergeCell ref="DX46:EM46"/>
    <mergeCell ref="CX65:DE65"/>
    <mergeCell ref="DF65:DM65"/>
    <mergeCell ref="DN65:DU65"/>
    <mergeCell ref="CX61:DE61"/>
    <mergeCell ref="DF61:DM61"/>
    <mergeCell ref="DN61:DU61"/>
    <mergeCell ref="CX57:DE57"/>
    <mergeCell ref="DF57:DM57"/>
    <mergeCell ref="DN57:DU57"/>
    <mergeCell ref="CX53:DE53"/>
    <mergeCell ref="DF53:DM53"/>
    <mergeCell ref="DN53:DU53"/>
    <mergeCell ref="CX49:DE49"/>
    <mergeCell ref="DF49:DM49"/>
    <mergeCell ref="DN49:DU49"/>
    <mergeCell ref="CX45:DE45"/>
    <mergeCell ref="DF45:DM45"/>
    <mergeCell ref="DN45:DU45"/>
    <mergeCell ref="FL42:FS42"/>
    <mergeCell ref="FL43:FS43"/>
    <mergeCell ref="FL44:FS44"/>
    <mergeCell ref="FL45:FS45"/>
    <mergeCell ref="FL46:FS46"/>
    <mergeCell ref="EV47:FC47"/>
    <mergeCell ref="EV48:FC48"/>
    <mergeCell ref="EV49:FC49"/>
    <mergeCell ref="EV50:FC50"/>
    <mergeCell ref="FD42:FK42"/>
    <mergeCell ref="FD43:FK43"/>
    <mergeCell ref="FD44:FK44"/>
    <mergeCell ref="FD45:FK45"/>
    <mergeCell ref="FD46:FK46"/>
    <mergeCell ref="FD47:FK47"/>
    <mergeCell ref="FD48:FK48"/>
    <mergeCell ref="FD49:FK49"/>
    <mergeCell ref="FD50:FK50"/>
    <mergeCell ref="EV42:FC42"/>
    <mergeCell ref="EV43:FC43"/>
    <mergeCell ref="EV44:FC44"/>
    <mergeCell ref="EV45:FC45"/>
    <mergeCell ref="EV46:FC46"/>
    <mergeCell ref="DX41:GY41"/>
    <mergeCell ref="GR42:GY42"/>
    <mergeCell ref="GR43:GY43"/>
    <mergeCell ref="GR44:GY44"/>
    <mergeCell ref="GR45:GY45"/>
    <mergeCell ref="GB47:GI47"/>
    <mergeCell ref="GB48:GI48"/>
    <mergeCell ref="GB49:GI49"/>
    <mergeCell ref="GB50:GI50"/>
    <mergeCell ref="GJ42:GQ42"/>
    <mergeCell ref="GJ43:GQ43"/>
    <mergeCell ref="GJ44:GQ44"/>
    <mergeCell ref="GJ45:GQ45"/>
    <mergeCell ref="GJ46:GQ46"/>
    <mergeCell ref="GJ47:GQ47"/>
    <mergeCell ref="GJ48:GQ48"/>
    <mergeCell ref="GJ49:GQ49"/>
    <mergeCell ref="GJ50:GQ50"/>
    <mergeCell ref="GB42:GI42"/>
    <mergeCell ref="GB43:GI43"/>
    <mergeCell ref="GB44:GI44"/>
    <mergeCell ref="GB45:GI45"/>
    <mergeCell ref="GB46:GI46"/>
    <mergeCell ref="FL47:FS47"/>
    <mergeCell ref="FL48:FS48"/>
    <mergeCell ref="FL49:FS49"/>
    <mergeCell ref="FL50:FS50"/>
    <mergeCell ref="FT42:GA42"/>
    <mergeCell ref="FT43:GA43"/>
    <mergeCell ref="FT44:GA44"/>
    <mergeCell ref="FT45:GA45"/>
    <mergeCell ref="FT46:GA46"/>
    <mergeCell ref="DX52:EM53"/>
    <mergeCell ref="DX61:EM61"/>
    <mergeCell ref="EN53:EP53"/>
    <mergeCell ref="EQ53:ER53"/>
    <mergeCell ref="ES53:EU53"/>
    <mergeCell ref="EN52:EU52"/>
    <mergeCell ref="EN61:EP61"/>
    <mergeCell ref="EQ61:ER61"/>
    <mergeCell ref="ES61:EU61"/>
    <mergeCell ref="DX54:EM54"/>
    <mergeCell ref="EN54:EP54"/>
    <mergeCell ref="EQ54:ER54"/>
    <mergeCell ref="ES54:EU54"/>
    <mergeCell ref="DX55:EM55"/>
    <mergeCell ref="EN55:EP55"/>
    <mergeCell ref="EQ55:ER55"/>
    <mergeCell ref="GR46:GY46"/>
    <mergeCell ref="GR47:GY47"/>
    <mergeCell ref="GR48:GY48"/>
    <mergeCell ref="GR49:GY49"/>
    <mergeCell ref="GR50:GY50"/>
    <mergeCell ref="FT47:GA47"/>
    <mergeCell ref="FT48:GA48"/>
    <mergeCell ref="FT49:GA49"/>
    <mergeCell ref="FT50:GA50"/>
    <mergeCell ref="DX47:EM47"/>
    <mergeCell ref="DX48:EM48"/>
    <mergeCell ref="DX49:EM49"/>
    <mergeCell ref="DX50:EM50"/>
    <mergeCell ref="FD53:FF53"/>
    <mergeCell ref="FG53:FH53"/>
    <mergeCell ref="FI53:FK53"/>
    <mergeCell ref="FD52:FK52"/>
    <mergeCell ref="FD61:FF61"/>
    <mergeCell ref="FG61:FH61"/>
    <mergeCell ref="FI61:FK61"/>
    <mergeCell ref="FD54:FF54"/>
    <mergeCell ref="FG54:FH54"/>
    <mergeCell ref="FI54:FK54"/>
    <mergeCell ref="FG55:FH55"/>
    <mergeCell ref="FI55:FK55"/>
    <mergeCell ref="FD56:FF56"/>
    <mergeCell ref="FG56:FH56"/>
    <mergeCell ref="FI56:FK56"/>
    <mergeCell ref="FD57:FF57"/>
    <mergeCell ref="EV53:EX53"/>
    <mergeCell ref="EY53:EZ53"/>
    <mergeCell ref="FA53:FC53"/>
    <mergeCell ref="EV52:FC52"/>
    <mergeCell ref="EV61:EX61"/>
    <mergeCell ref="EY61:EZ61"/>
    <mergeCell ref="FA61:FC61"/>
    <mergeCell ref="EV54:EX54"/>
    <mergeCell ref="EY54:EZ54"/>
    <mergeCell ref="FA54:FC54"/>
    <mergeCell ref="EY56:EZ56"/>
    <mergeCell ref="FA56:FC56"/>
    <mergeCell ref="EY57:EZ57"/>
    <mergeCell ref="FA57:FC57"/>
    <mergeCell ref="EY60:EZ60"/>
    <mergeCell ref="FA60:FC60"/>
    <mergeCell ref="FT53:FV53"/>
    <mergeCell ref="FW53:FX53"/>
    <mergeCell ref="FY53:GA53"/>
    <mergeCell ref="FT52:GA52"/>
    <mergeCell ref="FT61:FV61"/>
    <mergeCell ref="FW61:FX61"/>
    <mergeCell ref="FY61:GA61"/>
    <mergeCell ref="FT54:FV54"/>
    <mergeCell ref="FW54:FX54"/>
    <mergeCell ref="FY54:GA54"/>
    <mergeCell ref="FT55:FV55"/>
    <mergeCell ref="FW55:FX55"/>
    <mergeCell ref="FY55:GA55"/>
    <mergeCell ref="FT56:FV56"/>
    <mergeCell ref="FW56:FX56"/>
    <mergeCell ref="FY56:GA56"/>
    <mergeCell ref="FL53:FN53"/>
    <mergeCell ref="FO53:FP53"/>
    <mergeCell ref="FQ53:FS53"/>
    <mergeCell ref="FL52:FS52"/>
    <mergeCell ref="FL61:FN61"/>
    <mergeCell ref="FO61:FP61"/>
    <mergeCell ref="FQ61:FS61"/>
    <mergeCell ref="FL54:FN54"/>
    <mergeCell ref="FO54:FP54"/>
    <mergeCell ref="FQ54:FS54"/>
    <mergeCell ref="FL55:FN55"/>
    <mergeCell ref="FO55:FP55"/>
    <mergeCell ref="FQ55:FS55"/>
    <mergeCell ref="FL56:FN56"/>
    <mergeCell ref="FO56:FP56"/>
    <mergeCell ref="FQ56:FS56"/>
    <mergeCell ref="GM55:GN55"/>
    <mergeCell ref="GO55:GQ55"/>
    <mergeCell ref="GJ56:GL56"/>
    <mergeCell ref="GM56:GN56"/>
    <mergeCell ref="GO56:GQ56"/>
    <mergeCell ref="GB53:GD53"/>
    <mergeCell ref="GE53:GF53"/>
    <mergeCell ref="GG53:GI53"/>
    <mergeCell ref="GB52:GI52"/>
    <mergeCell ref="GB61:GD61"/>
    <mergeCell ref="GE61:GF61"/>
    <mergeCell ref="GG61:GI61"/>
    <mergeCell ref="GB54:GD54"/>
    <mergeCell ref="GE54:GF54"/>
    <mergeCell ref="GG54:GI54"/>
    <mergeCell ref="GB55:GD55"/>
    <mergeCell ref="GE55:GF55"/>
    <mergeCell ref="GG55:GI55"/>
    <mergeCell ref="GB56:GD56"/>
    <mergeCell ref="GE56:GF56"/>
    <mergeCell ref="GG56:GI56"/>
    <mergeCell ref="ES55:EU55"/>
    <mergeCell ref="EV55:EX55"/>
    <mergeCell ref="EY55:EZ55"/>
    <mergeCell ref="FA55:FC55"/>
    <mergeCell ref="FD55:FF55"/>
    <mergeCell ref="GR53:GT53"/>
    <mergeCell ref="GU53:GV53"/>
    <mergeCell ref="GW53:GY53"/>
    <mergeCell ref="GR52:GY52"/>
    <mergeCell ref="GR61:GT61"/>
    <mergeCell ref="GU61:GV61"/>
    <mergeCell ref="GW61:GY61"/>
    <mergeCell ref="GR54:GT54"/>
    <mergeCell ref="GU54:GV54"/>
    <mergeCell ref="GW54:GY54"/>
    <mergeCell ref="GR55:GT55"/>
    <mergeCell ref="GU55:GV55"/>
    <mergeCell ref="GW55:GY55"/>
    <mergeCell ref="GR56:GT56"/>
    <mergeCell ref="GU56:GV56"/>
    <mergeCell ref="GW56:GY56"/>
    <mergeCell ref="GJ53:GL53"/>
    <mergeCell ref="GM53:GN53"/>
    <mergeCell ref="GO53:GQ53"/>
    <mergeCell ref="GJ52:GQ52"/>
    <mergeCell ref="GJ61:GL61"/>
    <mergeCell ref="GM61:GN61"/>
    <mergeCell ref="GO61:GQ61"/>
    <mergeCell ref="GJ54:GL54"/>
    <mergeCell ref="GM54:GN54"/>
    <mergeCell ref="GO54:GQ54"/>
    <mergeCell ref="GJ55:GL55"/>
    <mergeCell ref="FY57:GA57"/>
    <mergeCell ref="GB57:GD57"/>
    <mergeCell ref="GE57:GF57"/>
    <mergeCell ref="FG57:FH57"/>
    <mergeCell ref="FI57:FK57"/>
    <mergeCell ref="FL57:FN57"/>
    <mergeCell ref="FO57:FP57"/>
    <mergeCell ref="FQ57:FS57"/>
    <mergeCell ref="DX57:EM57"/>
    <mergeCell ref="EN57:EP57"/>
    <mergeCell ref="EQ57:ER57"/>
    <mergeCell ref="ES57:EU57"/>
    <mergeCell ref="EV57:EX57"/>
    <mergeCell ref="DX56:EM56"/>
    <mergeCell ref="EN56:EP56"/>
    <mergeCell ref="EQ56:ER56"/>
    <mergeCell ref="ES56:EU56"/>
    <mergeCell ref="EV56:EX56"/>
    <mergeCell ref="GM58:GN58"/>
    <mergeCell ref="GO58:GQ58"/>
    <mergeCell ref="GR58:GT58"/>
    <mergeCell ref="GU58:GV58"/>
    <mergeCell ref="FW58:FX58"/>
    <mergeCell ref="FY58:GA58"/>
    <mergeCell ref="GB58:GD58"/>
    <mergeCell ref="GE58:GF58"/>
    <mergeCell ref="GG58:GI58"/>
    <mergeCell ref="GU57:GV57"/>
    <mergeCell ref="GW57:GY57"/>
    <mergeCell ref="DX58:EM58"/>
    <mergeCell ref="EN58:EP58"/>
    <mergeCell ref="EQ58:ER58"/>
    <mergeCell ref="ES58:EU58"/>
    <mergeCell ref="EV58:EX58"/>
    <mergeCell ref="EY58:EZ58"/>
    <mergeCell ref="FA58:FC58"/>
    <mergeCell ref="FD58:FF58"/>
    <mergeCell ref="FG58:FH58"/>
    <mergeCell ref="FI58:FK58"/>
    <mergeCell ref="FL58:FN58"/>
    <mergeCell ref="FO58:FP58"/>
    <mergeCell ref="FQ58:FS58"/>
    <mergeCell ref="FT58:FV58"/>
    <mergeCell ref="GG57:GI57"/>
    <mergeCell ref="GJ57:GL57"/>
    <mergeCell ref="GM57:GN57"/>
    <mergeCell ref="GO57:GQ57"/>
    <mergeCell ref="GR57:GT57"/>
    <mergeCell ref="FT57:FV57"/>
    <mergeCell ref="FW57:FX57"/>
    <mergeCell ref="DX60:EM60"/>
    <mergeCell ref="EN60:EP60"/>
    <mergeCell ref="EQ60:ER60"/>
    <mergeCell ref="ES60:EU60"/>
    <mergeCell ref="EV60:EX60"/>
    <mergeCell ref="GM59:GN59"/>
    <mergeCell ref="GO59:GQ59"/>
    <mergeCell ref="GR59:GT59"/>
    <mergeCell ref="GU59:GV59"/>
    <mergeCell ref="GW59:GY59"/>
    <mergeCell ref="FY59:GA59"/>
    <mergeCell ref="GB59:GD59"/>
    <mergeCell ref="GE59:GF59"/>
    <mergeCell ref="GG59:GI59"/>
    <mergeCell ref="GJ59:GL59"/>
    <mergeCell ref="GW58:GY58"/>
    <mergeCell ref="DX59:EM59"/>
    <mergeCell ref="EN59:EP59"/>
    <mergeCell ref="EQ59:ER59"/>
    <mergeCell ref="ES59:EU59"/>
    <mergeCell ref="EV59:EX59"/>
    <mergeCell ref="EY59:EZ59"/>
    <mergeCell ref="FA59:FC59"/>
    <mergeCell ref="FD59:FF59"/>
    <mergeCell ref="FG59:FH59"/>
    <mergeCell ref="FI59:FK59"/>
    <mergeCell ref="FL59:FN59"/>
    <mergeCell ref="FO59:FP59"/>
    <mergeCell ref="FQ59:FS59"/>
    <mergeCell ref="FT59:FV59"/>
    <mergeCell ref="FW59:FX59"/>
    <mergeCell ref="GJ58:GL58"/>
    <mergeCell ref="GR60:GT60"/>
    <mergeCell ref="GU60:GV60"/>
    <mergeCell ref="GW60:GY60"/>
    <mergeCell ref="GE60:GF60"/>
    <mergeCell ref="GG60:GI60"/>
    <mergeCell ref="GJ60:GL60"/>
    <mergeCell ref="GM60:GN60"/>
    <mergeCell ref="GO60:GQ60"/>
    <mergeCell ref="FQ60:FS60"/>
    <mergeCell ref="FT60:FV60"/>
    <mergeCell ref="FW60:FX60"/>
    <mergeCell ref="FY60:GA60"/>
    <mergeCell ref="GB60:GD60"/>
    <mergeCell ref="FD60:FF60"/>
    <mergeCell ref="FG60:FH60"/>
    <mergeCell ref="FI60:FK60"/>
    <mergeCell ref="FL60:FN60"/>
    <mergeCell ref="FO60:FP6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Y61"/>
  <sheetViews>
    <sheetView topLeftCell="A34" zoomScale="40" workbookViewId="0">
      <selection activeCell="BA40" sqref="BA1:BA1048576"/>
    </sheetView>
  </sheetViews>
  <sheetFormatPr baseColWidth="10" defaultColWidth="9.109375" defaultRowHeight="24" x14ac:dyDescent="0.35"/>
  <cols>
    <col min="1" max="3" width="9.109375" style="1" customWidth="1"/>
    <col min="4" max="250" width="3" style="1" customWidth="1"/>
    <col min="251" max="251" width="9.109375" style="1" customWidth="1"/>
    <col min="252" max="16384" width="9.109375" style="1"/>
  </cols>
  <sheetData>
    <row r="1" spans="1:176" x14ac:dyDescent="0.35">
      <c r="A1" s="83" t="s">
        <v>0</v>
      </c>
      <c r="B1" s="69"/>
      <c r="C1" s="69"/>
      <c r="D1" s="69" t="s">
        <v>1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80" t="s">
        <v>2</v>
      </c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9"/>
      <c r="EY1" s="69"/>
      <c r="EZ1" s="69"/>
      <c r="FA1" s="69"/>
      <c r="FB1" s="69"/>
      <c r="FC1" s="69"/>
      <c r="FD1" s="69"/>
      <c r="FE1" s="69"/>
      <c r="FF1" s="69"/>
      <c r="FG1" s="69"/>
      <c r="FH1" s="69"/>
      <c r="FI1" s="69"/>
      <c r="FJ1" s="69"/>
      <c r="FK1" s="69"/>
      <c r="FL1" s="69"/>
      <c r="FM1" s="69"/>
      <c r="FN1" s="69"/>
      <c r="FO1" s="69"/>
      <c r="FP1" s="69"/>
      <c r="FQ1" s="69"/>
      <c r="FR1" s="69"/>
      <c r="FS1" s="69"/>
      <c r="FT1" s="70"/>
    </row>
    <row r="2" spans="1:176" x14ac:dyDescent="0.35">
      <c r="A2" s="84" t="s">
        <v>3</v>
      </c>
      <c r="B2" s="21"/>
      <c r="C2" s="21"/>
      <c r="D2" s="21" t="s">
        <v>4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74"/>
    </row>
    <row r="3" spans="1:176" x14ac:dyDescent="0.35">
      <c r="A3" s="84" t="s">
        <v>5</v>
      </c>
      <c r="B3" s="21"/>
      <c r="C3" s="21"/>
      <c r="D3" s="21" t="s">
        <v>6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74"/>
    </row>
    <row r="4" spans="1:176" x14ac:dyDescent="0.35">
      <c r="A4" s="85" t="s">
        <v>7</v>
      </c>
      <c r="B4" s="81"/>
      <c r="C4" s="81"/>
      <c r="D4" s="81" t="s">
        <v>135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  <c r="DF4" s="81"/>
      <c r="DG4" s="81"/>
      <c r="DH4" s="81"/>
      <c r="DI4" s="81"/>
      <c r="DJ4" s="81"/>
      <c r="DK4" s="81"/>
      <c r="DL4" s="81"/>
      <c r="DM4" s="81"/>
      <c r="DN4" s="81"/>
      <c r="DO4" s="81"/>
      <c r="DP4" s="81"/>
      <c r="DQ4" s="81"/>
      <c r="DR4" s="81"/>
      <c r="DS4" s="81"/>
      <c r="DT4" s="81"/>
      <c r="DU4" s="81"/>
      <c r="DV4" s="81"/>
      <c r="DW4" s="81"/>
      <c r="DX4" s="81"/>
      <c r="DY4" s="81"/>
      <c r="DZ4" s="81"/>
      <c r="EA4" s="81"/>
      <c r="EB4" s="81"/>
      <c r="EC4" s="81"/>
      <c r="ED4" s="81"/>
      <c r="EE4" s="81"/>
      <c r="EF4" s="81"/>
      <c r="EG4" s="81"/>
      <c r="EH4" s="81"/>
      <c r="EI4" s="81"/>
      <c r="EJ4" s="81"/>
      <c r="EK4" s="81"/>
      <c r="EL4" s="81"/>
      <c r="EM4" s="81"/>
      <c r="EN4" s="81"/>
      <c r="EO4" s="81"/>
      <c r="EP4" s="81"/>
      <c r="EQ4" s="81"/>
      <c r="ER4" s="81"/>
      <c r="ES4" s="81"/>
      <c r="ET4" s="81"/>
      <c r="EU4" s="81"/>
      <c r="EV4" s="81"/>
      <c r="EW4" s="81"/>
      <c r="EX4" s="81"/>
      <c r="EY4" s="81"/>
      <c r="EZ4" s="81"/>
      <c r="FA4" s="81"/>
      <c r="FB4" s="81"/>
      <c r="FC4" s="81"/>
      <c r="FD4" s="81"/>
      <c r="FE4" s="81"/>
      <c r="FF4" s="81"/>
      <c r="FG4" s="81"/>
      <c r="FH4" s="81"/>
      <c r="FI4" s="81"/>
      <c r="FJ4" s="81"/>
      <c r="FK4" s="81"/>
      <c r="FL4" s="81"/>
      <c r="FM4" s="81"/>
      <c r="FN4" s="81"/>
      <c r="FO4" s="81"/>
      <c r="FP4" s="81"/>
      <c r="FQ4" s="81"/>
      <c r="FR4" s="81"/>
      <c r="FS4" s="81"/>
      <c r="FT4" s="82"/>
    </row>
    <row r="5" spans="1:176" x14ac:dyDescent="0.35">
      <c r="A5" s="4"/>
      <c r="FT5" s="6"/>
    </row>
    <row r="6" spans="1:176" x14ac:dyDescent="0.35">
      <c r="A6" s="78" t="s">
        <v>5</v>
      </c>
      <c r="B6" s="79"/>
      <c r="C6" s="79"/>
      <c r="D6" s="79" t="s">
        <v>9</v>
      </c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 t="s">
        <v>10</v>
      </c>
      <c r="AC6" s="79"/>
      <c r="AD6" s="79"/>
      <c r="AE6" s="79"/>
      <c r="AF6" s="79"/>
      <c r="AG6" s="79"/>
      <c r="AH6" s="79"/>
      <c r="AI6" s="79"/>
      <c r="AJ6" s="79" t="s">
        <v>136</v>
      </c>
      <c r="AK6" s="79"/>
      <c r="AL6" s="79"/>
      <c r="AM6" s="79"/>
      <c r="AN6" s="79"/>
      <c r="FT6" s="6"/>
    </row>
    <row r="7" spans="1:176" x14ac:dyDescent="0.35">
      <c r="A7" s="4"/>
      <c r="FT7" s="6"/>
    </row>
    <row r="8" spans="1:176" x14ac:dyDescent="0.35">
      <c r="A8" s="4"/>
      <c r="D8" s="68" t="s">
        <v>137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70"/>
      <c r="AB8" s="68" t="s">
        <v>138</v>
      </c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70"/>
      <c r="AZ8" s="68" t="s">
        <v>139</v>
      </c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70"/>
      <c r="BX8" s="68" t="s">
        <v>140</v>
      </c>
      <c r="BY8" s="69"/>
      <c r="BZ8" s="69"/>
      <c r="CA8" s="69"/>
      <c r="CB8" s="69"/>
      <c r="CC8" s="69"/>
      <c r="CD8" s="69"/>
      <c r="CE8" s="69"/>
      <c r="CF8" s="69"/>
      <c r="CG8" s="69"/>
      <c r="CH8" s="69"/>
      <c r="CI8" s="69"/>
      <c r="CJ8" s="69"/>
      <c r="CK8" s="69"/>
      <c r="CL8" s="69"/>
      <c r="CM8" s="69"/>
      <c r="CN8" s="69"/>
      <c r="CO8" s="69"/>
      <c r="CP8" s="69"/>
      <c r="CQ8" s="69"/>
      <c r="CR8" s="69"/>
      <c r="CS8" s="69"/>
      <c r="CT8" s="69"/>
      <c r="CU8" s="70"/>
      <c r="CV8" s="68" t="s">
        <v>141</v>
      </c>
      <c r="CW8" s="69"/>
      <c r="CX8" s="69"/>
      <c r="CY8" s="69"/>
      <c r="CZ8" s="69"/>
      <c r="DA8" s="69"/>
      <c r="DB8" s="69"/>
      <c r="DC8" s="69"/>
      <c r="DD8" s="69"/>
      <c r="DE8" s="69"/>
      <c r="DF8" s="69"/>
      <c r="DG8" s="69"/>
      <c r="DH8" s="69"/>
      <c r="DI8" s="69"/>
      <c r="DJ8" s="69"/>
      <c r="DK8" s="69"/>
      <c r="DL8" s="69"/>
      <c r="DM8" s="69"/>
      <c r="DN8" s="69"/>
      <c r="DO8" s="69"/>
      <c r="DP8" s="69"/>
      <c r="DQ8" s="69"/>
      <c r="DR8" s="69"/>
      <c r="DS8" s="70"/>
      <c r="DT8" s="68" t="s">
        <v>142</v>
      </c>
      <c r="DU8" s="69"/>
      <c r="DV8" s="69"/>
      <c r="DW8" s="69"/>
      <c r="DX8" s="69"/>
      <c r="DY8" s="69"/>
      <c r="DZ8" s="69"/>
      <c r="EA8" s="69"/>
      <c r="EB8" s="69"/>
      <c r="EC8" s="69"/>
      <c r="ED8" s="69"/>
      <c r="EE8" s="69"/>
      <c r="EF8" s="69"/>
      <c r="EG8" s="69"/>
      <c r="EH8" s="69"/>
      <c r="EI8" s="69"/>
      <c r="EJ8" s="69"/>
      <c r="EK8" s="69"/>
      <c r="EL8" s="69"/>
      <c r="EM8" s="69"/>
      <c r="EN8" s="69"/>
      <c r="EO8" s="69"/>
      <c r="EP8" s="69"/>
      <c r="EQ8" s="70"/>
      <c r="ER8" s="68" t="s">
        <v>143</v>
      </c>
      <c r="ES8" s="69"/>
      <c r="ET8" s="69"/>
      <c r="EU8" s="69"/>
      <c r="EV8" s="69"/>
      <c r="EW8" s="69"/>
      <c r="EX8" s="69"/>
      <c r="EY8" s="69"/>
      <c r="EZ8" s="69"/>
      <c r="FA8" s="69"/>
      <c r="FB8" s="69"/>
      <c r="FC8" s="69"/>
      <c r="FD8" s="69"/>
      <c r="FE8" s="69"/>
      <c r="FF8" s="69"/>
      <c r="FG8" s="69"/>
      <c r="FH8" s="69"/>
      <c r="FI8" s="69"/>
      <c r="FJ8" s="69"/>
      <c r="FK8" s="69"/>
      <c r="FL8" s="69"/>
      <c r="FM8" s="69"/>
      <c r="FN8" s="69"/>
      <c r="FO8" s="70"/>
      <c r="FP8" s="75" t="s">
        <v>19</v>
      </c>
      <c r="FQ8" s="76"/>
      <c r="FR8" s="76"/>
      <c r="FS8" s="76"/>
      <c r="FT8" s="76"/>
    </row>
    <row r="9" spans="1:176" x14ac:dyDescent="0.35">
      <c r="A9" s="4"/>
      <c r="D9" s="71" t="s">
        <v>20</v>
      </c>
      <c r="E9" s="21"/>
      <c r="F9" s="21"/>
      <c r="G9" s="21"/>
      <c r="H9" s="21"/>
      <c r="I9" s="21"/>
      <c r="J9" s="21"/>
      <c r="K9" s="21"/>
      <c r="L9" s="72" t="s">
        <v>21</v>
      </c>
      <c r="M9" s="21"/>
      <c r="N9" s="21"/>
      <c r="O9" s="21"/>
      <c r="P9" s="21"/>
      <c r="Q9" s="21"/>
      <c r="R9" s="21"/>
      <c r="S9" s="21"/>
      <c r="T9" s="73" t="s">
        <v>22</v>
      </c>
      <c r="U9" s="21"/>
      <c r="V9" s="21"/>
      <c r="W9" s="21"/>
      <c r="X9" s="21"/>
      <c r="Y9" s="21"/>
      <c r="Z9" s="21"/>
      <c r="AA9" s="74"/>
      <c r="AB9" s="71" t="s">
        <v>20</v>
      </c>
      <c r="AC9" s="21"/>
      <c r="AD9" s="21"/>
      <c r="AE9" s="21"/>
      <c r="AF9" s="21"/>
      <c r="AG9" s="21"/>
      <c r="AH9" s="21"/>
      <c r="AI9" s="21"/>
      <c r="AJ9" s="72" t="s">
        <v>21</v>
      </c>
      <c r="AK9" s="21"/>
      <c r="AL9" s="21"/>
      <c r="AM9" s="21"/>
      <c r="AN9" s="21"/>
      <c r="AO9" s="21"/>
      <c r="AP9" s="21"/>
      <c r="AQ9" s="21"/>
      <c r="AR9" s="73" t="s">
        <v>22</v>
      </c>
      <c r="AS9" s="21"/>
      <c r="AT9" s="21"/>
      <c r="AU9" s="21"/>
      <c r="AV9" s="21"/>
      <c r="AW9" s="21"/>
      <c r="AX9" s="21"/>
      <c r="AY9" s="74"/>
      <c r="AZ9" s="71" t="s">
        <v>20</v>
      </c>
      <c r="BA9" s="21"/>
      <c r="BB9" s="21"/>
      <c r="BC9" s="21"/>
      <c r="BD9" s="21"/>
      <c r="BE9" s="21"/>
      <c r="BF9" s="21"/>
      <c r="BG9" s="21"/>
      <c r="BH9" s="72" t="s">
        <v>21</v>
      </c>
      <c r="BI9" s="21"/>
      <c r="BJ9" s="21"/>
      <c r="BK9" s="21"/>
      <c r="BL9" s="21"/>
      <c r="BM9" s="21"/>
      <c r="BN9" s="21"/>
      <c r="BO9" s="21"/>
      <c r="BP9" s="73" t="s">
        <v>22</v>
      </c>
      <c r="BQ9" s="21"/>
      <c r="BR9" s="21"/>
      <c r="BS9" s="21"/>
      <c r="BT9" s="21"/>
      <c r="BU9" s="21"/>
      <c r="BV9" s="21"/>
      <c r="BW9" s="74"/>
      <c r="BX9" s="71" t="s">
        <v>20</v>
      </c>
      <c r="BY9" s="21"/>
      <c r="BZ9" s="21"/>
      <c r="CA9" s="21"/>
      <c r="CB9" s="21"/>
      <c r="CC9" s="21"/>
      <c r="CD9" s="21"/>
      <c r="CE9" s="21"/>
      <c r="CF9" s="72" t="s">
        <v>21</v>
      </c>
      <c r="CG9" s="21"/>
      <c r="CH9" s="21"/>
      <c r="CI9" s="21"/>
      <c r="CJ9" s="21"/>
      <c r="CK9" s="21"/>
      <c r="CL9" s="21"/>
      <c r="CM9" s="21"/>
      <c r="CN9" s="73" t="s">
        <v>22</v>
      </c>
      <c r="CO9" s="21"/>
      <c r="CP9" s="21"/>
      <c r="CQ9" s="21"/>
      <c r="CR9" s="21"/>
      <c r="CS9" s="21"/>
      <c r="CT9" s="21"/>
      <c r="CU9" s="74"/>
      <c r="CV9" s="71" t="s">
        <v>20</v>
      </c>
      <c r="CW9" s="21"/>
      <c r="CX9" s="21"/>
      <c r="CY9" s="21"/>
      <c r="CZ9" s="21"/>
      <c r="DA9" s="21"/>
      <c r="DB9" s="21"/>
      <c r="DC9" s="21"/>
      <c r="DD9" s="72" t="s">
        <v>21</v>
      </c>
      <c r="DE9" s="21"/>
      <c r="DF9" s="21"/>
      <c r="DG9" s="21"/>
      <c r="DH9" s="21"/>
      <c r="DI9" s="21"/>
      <c r="DJ9" s="21"/>
      <c r="DK9" s="21"/>
      <c r="DL9" s="73" t="s">
        <v>22</v>
      </c>
      <c r="DM9" s="21"/>
      <c r="DN9" s="21"/>
      <c r="DO9" s="21"/>
      <c r="DP9" s="21"/>
      <c r="DQ9" s="21"/>
      <c r="DR9" s="21"/>
      <c r="DS9" s="74"/>
      <c r="DT9" s="71" t="s">
        <v>20</v>
      </c>
      <c r="DU9" s="21"/>
      <c r="DV9" s="21"/>
      <c r="DW9" s="21"/>
      <c r="DX9" s="21"/>
      <c r="DY9" s="21"/>
      <c r="DZ9" s="21"/>
      <c r="EA9" s="21"/>
      <c r="EB9" s="72" t="s">
        <v>21</v>
      </c>
      <c r="EC9" s="21"/>
      <c r="ED9" s="21"/>
      <c r="EE9" s="21"/>
      <c r="EF9" s="21"/>
      <c r="EG9" s="21"/>
      <c r="EH9" s="21"/>
      <c r="EI9" s="21"/>
      <c r="EJ9" s="73" t="s">
        <v>22</v>
      </c>
      <c r="EK9" s="21"/>
      <c r="EL9" s="21"/>
      <c r="EM9" s="21"/>
      <c r="EN9" s="21"/>
      <c r="EO9" s="21"/>
      <c r="EP9" s="21"/>
      <c r="EQ9" s="74"/>
      <c r="ER9" s="71" t="s">
        <v>20</v>
      </c>
      <c r="ES9" s="21"/>
      <c r="ET9" s="21"/>
      <c r="EU9" s="21"/>
      <c r="EV9" s="21"/>
      <c r="EW9" s="21"/>
      <c r="EX9" s="21"/>
      <c r="EY9" s="21"/>
      <c r="EZ9" s="72" t="s">
        <v>21</v>
      </c>
      <c r="FA9" s="21"/>
      <c r="FB9" s="21"/>
      <c r="FC9" s="21"/>
      <c r="FD9" s="21"/>
      <c r="FE9" s="21"/>
      <c r="FF9" s="21"/>
      <c r="FG9" s="21"/>
      <c r="FH9" s="73" t="s">
        <v>22</v>
      </c>
      <c r="FI9" s="21"/>
      <c r="FJ9" s="21"/>
      <c r="FK9" s="21"/>
      <c r="FL9" s="21"/>
      <c r="FM9" s="21"/>
      <c r="FN9" s="21"/>
      <c r="FO9" s="74"/>
      <c r="FP9" s="76"/>
      <c r="FQ9" s="76"/>
      <c r="FR9" s="76"/>
      <c r="FS9" s="76"/>
      <c r="FT9" s="76"/>
    </row>
    <row r="10" spans="1:176" s="2" customFormat="1" ht="58.05" customHeight="1" x14ac:dyDescent="0.3">
      <c r="A10" s="5"/>
      <c r="D10" s="7">
        <v>0</v>
      </c>
      <c r="E10" s="8">
        <v>4.1666666666666699E-2</v>
      </c>
      <c r="F10" s="8">
        <v>8.3333333333333301E-2</v>
      </c>
      <c r="G10" s="8">
        <v>0.125</v>
      </c>
      <c r="H10" s="8">
        <v>0.16666666666666699</v>
      </c>
      <c r="I10" s="8">
        <v>0.20833333333333301</v>
      </c>
      <c r="J10" s="8">
        <v>0.25</v>
      </c>
      <c r="K10" s="8">
        <v>0.29166666666666702</v>
      </c>
      <c r="L10" s="8">
        <v>0.33333333333333298</v>
      </c>
      <c r="M10" s="8">
        <v>0.375</v>
      </c>
      <c r="N10" s="8">
        <v>0.41666666666666702</v>
      </c>
      <c r="O10" s="8">
        <v>0.45833333333333298</v>
      </c>
      <c r="P10" s="8">
        <v>0.5</v>
      </c>
      <c r="Q10" s="8">
        <v>0.54166666666666696</v>
      </c>
      <c r="R10" s="8">
        <v>0.58333333333333304</v>
      </c>
      <c r="S10" s="8">
        <v>0.625</v>
      </c>
      <c r="T10" s="8">
        <v>0.66666666666666696</v>
      </c>
      <c r="U10" s="8">
        <v>0.70833333333333304</v>
      </c>
      <c r="V10" s="8">
        <v>0.75</v>
      </c>
      <c r="W10" s="8">
        <v>0.79166666666666696</v>
      </c>
      <c r="X10" s="8">
        <v>0.83333333333333304</v>
      </c>
      <c r="Y10" s="8">
        <v>0.875</v>
      </c>
      <c r="Z10" s="8">
        <v>0.91666666666666696</v>
      </c>
      <c r="AA10" s="9">
        <v>0.95833333333333304</v>
      </c>
      <c r="AB10" s="7">
        <v>0</v>
      </c>
      <c r="AC10" s="8">
        <v>4.1666666666666699E-2</v>
      </c>
      <c r="AD10" s="8">
        <v>8.3333333333333301E-2</v>
      </c>
      <c r="AE10" s="8">
        <v>0.125</v>
      </c>
      <c r="AF10" s="8">
        <v>0.16666666666666699</v>
      </c>
      <c r="AG10" s="8">
        <v>0.20833333333333301</v>
      </c>
      <c r="AH10" s="8">
        <v>0.25</v>
      </c>
      <c r="AI10" s="8">
        <v>0.29166666666666702</v>
      </c>
      <c r="AJ10" s="8">
        <v>0.33333333333333298</v>
      </c>
      <c r="AK10" s="8">
        <v>0.375</v>
      </c>
      <c r="AL10" s="8">
        <v>0.41666666666666702</v>
      </c>
      <c r="AM10" s="8">
        <v>0.45833333333333298</v>
      </c>
      <c r="AN10" s="8">
        <v>0.5</v>
      </c>
      <c r="AO10" s="8">
        <v>0.54166666666666696</v>
      </c>
      <c r="AP10" s="8">
        <v>0.58333333333333304</v>
      </c>
      <c r="AQ10" s="8">
        <v>0.625</v>
      </c>
      <c r="AR10" s="8">
        <v>0.66666666666666696</v>
      </c>
      <c r="AS10" s="8">
        <v>0.70833333333333304</v>
      </c>
      <c r="AT10" s="8">
        <v>0.75</v>
      </c>
      <c r="AU10" s="8">
        <v>0.79166666666666696</v>
      </c>
      <c r="AV10" s="8">
        <v>0.83333333333333304</v>
      </c>
      <c r="AW10" s="8">
        <v>0.875</v>
      </c>
      <c r="AX10" s="8">
        <v>0.91666666666666696</v>
      </c>
      <c r="AY10" s="9">
        <v>0.95833333333333304</v>
      </c>
      <c r="AZ10" s="7">
        <v>0</v>
      </c>
      <c r="BA10" s="8">
        <v>4.1666666666666699E-2</v>
      </c>
      <c r="BB10" s="8">
        <v>8.3333333333333301E-2</v>
      </c>
      <c r="BC10" s="8">
        <v>0.125</v>
      </c>
      <c r="BD10" s="8">
        <v>0.16666666666666699</v>
      </c>
      <c r="BE10" s="8">
        <v>0.20833333333333301</v>
      </c>
      <c r="BF10" s="8">
        <v>0.25</v>
      </c>
      <c r="BG10" s="8">
        <v>0.29166666666666702</v>
      </c>
      <c r="BH10" s="8">
        <v>0.33333333333333298</v>
      </c>
      <c r="BI10" s="8">
        <v>0.375</v>
      </c>
      <c r="BJ10" s="8">
        <v>0.41666666666666702</v>
      </c>
      <c r="BK10" s="8">
        <v>0.45833333333333298</v>
      </c>
      <c r="BL10" s="8">
        <v>0.5</v>
      </c>
      <c r="BM10" s="8">
        <v>0.54166666666666696</v>
      </c>
      <c r="BN10" s="8">
        <v>0.58333333333333304</v>
      </c>
      <c r="BO10" s="8">
        <v>0.625</v>
      </c>
      <c r="BP10" s="8">
        <v>0.66666666666666696</v>
      </c>
      <c r="BQ10" s="8">
        <v>0.70833333333333304</v>
      </c>
      <c r="BR10" s="8">
        <v>0.75</v>
      </c>
      <c r="BS10" s="8">
        <v>0.79166666666666696</v>
      </c>
      <c r="BT10" s="8">
        <v>0.83333333333333304</v>
      </c>
      <c r="BU10" s="8">
        <v>0.875</v>
      </c>
      <c r="BV10" s="8">
        <v>0.91666666666666696</v>
      </c>
      <c r="BW10" s="9">
        <v>0.95833333333333304</v>
      </c>
      <c r="BX10" s="7">
        <v>0</v>
      </c>
      <c r="BY10" s="8">
        <v>4.1666666666666699E-2</v>
      </c>
      <c r="BZ10" s="8">
        <v>8.3333333333333301E-2</v>
      </c>
      <c r="CA10" s="8">
        <v>0.125</v>
      </c>
      <c r="CB10" s="8">
        <v>0.16666666666666699</v>
      </c>
      <c r="CC10" s="8">
        <v>0.20833333333333301</v>
      </c>
      <c r="CD10" s="8">
        <v>0.25</v>
      </c>
      <c r="CE10" s="8">
        <v>0.29166666666666702</v>
      </c>
      <c r="CF10" s="8">
        <v>0.33333333333333298</v>
      </c>
      <c r="CG10" s="8">
        <v>0.375</v>
      </c>
      <c r="CH10" s="8">
        <v>0.41666666666666702</v>
      </c>
      <c r="CI10" s="8">
        <v>0.45833333333333298</v>
      </c>
      <c r="CJ10" s="8">
        <v>0.5</v>
      </c>
      <c r="CK10" s="8">
        <v>0.54166666666666696</v>
      </c>
      <c r="CL10" s="8">
        <v>0.58333333333333304</v>
      </c>
      <c r="CM10" s="8">
        <v>0.625</v>
      </c>
      <c r="CN10" s="8">
        <v>0.66666666666666696</v>
      </c>
      <c r="CO10" s="8">
        <v>0.70833333333333304</v>
      </c>
      <c r="CP10" s="8">
        <v>0.75</v>
      </c>
      <c r="CQ10" s="8">
        <v>0.79166666666666696</v>
      </c>
      <c r="CR10" s="8">
        <v>0.83333333333333304</v>
      </c>
      <c r="CS10" s="8">
        <v>0.875</v>
      </c>
      <c r="CT10" s="8">
        <v>0.91666666666666696</v>
      </c>
      <c r="CU10" s="9">
        <v>0.95833333333333304</v>
      </c>
      <c r="CV10" s="7">
        <v>0</v>
      </c>
      <c r="CW10" s="8">
        <v>4.1666666666666699E-2</v>
      </c>
      <c r="CX10" s="8">
        <v>8.3333333333333301E-2</v>
      </c>
      <c r="CY10" s="8">
        <v>0.125</v>
      </c>
      <c r="CZ10" s="8">
        <v>0.16666666666666699</v>
      </c>
      <c r="DA10" s="8">
        <v>0.20833333333333301</v>
      </c>
      <c r="DB10" s="8">
        <v>0.25</v>
      </c>
      <c r="DC10" s="8">
        <v>0.29166666666666702</v>
      </c>
      <c r="DD10" s="8">
        <v>0.33333333333333298</v>
      </c>
      <c r="DE10" s="8">
        <v>0.375</v>
      </c>
      <c r="DF10" s="8">
        <v>0.41666666666666702</v>
      </c>
      <c r="DG10" s="8">
        <v>0.45833333333333298</v>
      </c>
      <c r="DH10" s="8">
        <v>0.5</v>
      </c>
      <c r="DI10" s="8">
        <v>0.54166666666666696</v>
      </c>
      <c r="DJ10" s="8">
        <v>0.58333333333333304</v>
      </c>
      <c r="DK10" s="8">
        <v>0.625</v>
      </c>
      <c r="DL10" s="8">
        <v>0.66666666666666696</v>
      </c>
      <c r="DM10" s="8">
        <v>0.70833333333333304</v>
      </c>
      <c r="DN10" s="8">
        <v>0.75</v>
      </c>
      <c r="DO10" s="8">
        <v>0.79166666666666696</v>
      </c>
      <c r="DP10" s="8">
        <v>0.83333333333333304</v>
      </c>
      <c r="DQ10" s="8">
        <v>0.875</v>
      </c>
      <c r="DR10" s="8">
        <v>0.91666666666666696</v>
      </c>
      <c r="DS10" s="9">
        <v>0.95833333333333304</v>
      </c>
      <c r="DT10" s="7">
        <v>0</v>
      </c>
      <c r="DU10" s="8">
        <v>4.1666666666666699E-2</v>
      </c>
      <c r="DV10" s="8">
        <v>8.3333333333333301E-2</v>
      </c>
      <c r="DW10" s="8">
        <v>0.125</v>
      </c>
      <c r="DX10" s="8">
        <v>0.16666666666666699</v>
      </c>
      <c r="DY10" s="8">
        <v>0.20833333333333301</v>
      </c>
      <c r="DZ10" s="8">
        <v>0.25</v>
      </c>
      <c r="EA10" s="8">
        <v>0.29166666666666702</v>
      </c>
      <c r="EB10" s="8">
        <v>0.33333333333333298</v>
      </c>
      <c r="EC10" s="8">
        <v>0.375</v>
      </c>
      <c r="ED10" s="8">
        <v>0.41666666666666702</v>
      </c>
      <c r="EE10" s="8">
        <v>0.45833333333333298</v>
      </c>
      <c r="EF10" s="8">
        <v>0.5</v>
      </c>
      <c r="EG10" s="8">
        <v>0.54166666666666696</v>
      </c>
      <c r="EH10" s="8">
        <v>0.58333333333333304</v>
      </c>
      <c r="EI10" s="8">
        <v>0.625</v>
      </c>
      <c r="EJ10" s="8">
        <v>0.66666666666666696</v>
      </c>
      <c r="EK10" s="8">
        <v>0.70833333333333304</v>
      </c>
      <c r="EL10" s="8">
        <v>0.75</v>
      </c>
      <c r="EM10" s="8">
        <v>0.79166666666666696</v>
      </c>
      <c r="EN10" s="8">
        <v>0.83333333333333304</v>
      </c>
      <c r="EO10" s="8">
        <v>0.875</v>
      </c>
      <c r="EP10" s="8">
        <v>0.91666666666666696</v>
      </c>
      <c r="EQ10" s="9">
        <v>0.95833333333333304</v>
      </c>
      <c r="ER10" s="7">
        <v>0</v>
      </c>
      <c r="ES10" s="8">
        <v>4.1666666666666699E-2</v>
      </c>
      <c r="ET10" s="8">
        <v>8.3333333333333301E-2</v>
      </c>
      <c r="EU10" s="8">
        <v>0.125</v>
      </c>
      <c r="EV10" s="8">
        <v>0.16666666666666699</v>
      </c>
      <c r="EW10" s="8">
        <v>0.20833333333333301</v>
      </c>
      <c r="EX10" s="8">
        <v>0.25</v>
      </c>
      <c r="EY10" s="8">
        <v>0.29166666666666702</v>
      </c>
      <c r="EZ10" s="8">
        <v>0.33333333333333298</v>
      </c>
      <c r="FA10" s="8">
        <v>0.375</v>
      </c>
      <c r="FB10" s="8">
        <v>0.41666666666666702</v>
      </c>
      <c r="FC10" s="8">
        <v>0.45833333333333298</v>
      </c>
      <c r="FD10" s="8">
        <v>0.5</v>
      </c>
      <c r="FE10" s="8">
        <v>0.54166666666666696</v>
      </c>
      <c r="FF10" s="8">
        <v>0.58333333333333304</v>
      </c>
      <c r="FG10" s="8">
        <v>0.625</v>
      </c>
      <c r="FH10" s="8">
        <v>0.66666666666666696</v>
      </c>
      <c r="FI10" s="8">
        <v>0.70833333333333304</v>
      </c>
      <c r="FJ10" s="8">
        <v>0.75</v>
      </c>
      <c r="FK10" s="8">
        <v>0.79166666666666696</v>
      </c>
      <c r="FL10" s="8">
        <v>0.83333333333333304</v>
      </c>
      <c r="FM10" s="8">
        <v>0.875</v>
      </c>
      <c r="FN10" s="8">
        <v>0.91666666666666696</v>
      </c>
      <c r="FO10" s="9">
        <v>0.95833333333333304</v>
      </c>
      <c r="FP10" s="77"/>
      <c r="FQ10" s="77"/>
      <c r="FR10" s="77"/>
      <c r="FS10" s="77"/>
      <c r="FT10" s="77"/>
    </row>
    <row r="11" spans="1:176" s="3" customFormat="1" ht="60" customHeight="1" x14ac:dyDescent="0.35">
      <c r="A11" s="43" t="s">
        <v>23</v>
      </c>
      <c r="B11" s="44"/>
      <c r="C11" s="44"/>
      <c r="D11" s="66" t="s">
        <v>24</v>
      </c>
      <c r="E11" s="44"/>
      <c r="F11" s="44"/>
      <c r="G11" s="44"/>
      <c r="H11" s="44"/>
      <c r="I11" s="44"/>
      <c r="J11" s="44"/>
      <c r="K11" s="44"/>
      <c r="L11" s="67" t="s">
        <v>24</v>
      </c>
      <c r="M11" s="44"/>
      <c r="N11" s="44"/>
      <c r="O11" s="44"/>
      <c r="P11" s="44"/>
      <c r="Q11" s="44"/>
      <c r="R11" s="44"/>
      <c r="S11" s="44"/>
      <c r="T11" s="67" t="s">
        <v>24</v>
      </c>
      <c r="U11" s="44"/>
      <c r="V11" s="44"/>
      <c r="W11" s="44"/>
      <c r="X11" s="44"/>
      <c r="Y11" s="44"/>
      <c r="Z11" s="44"/>
      <c r="AA11" s="45"/>
      <c r="AB11" s="66" t="s">
        <v>24</v>
      </c>
      <c r="AC11" s="44"/>
      <c r="AD11" s="44"/>
      <c r="AE11" s="44"/>
      <c r="AF11" s="44"/>
      <c r="AG11" s="44"/>
      <c r="AH11" s="44"/>
      <c r="AI11" s="44"/>
      <c r="AJ11" s="67" t="s">
        <v>24</v>
      </c>
      <c r="AK11" s="44"/>
      <c r="AL11" s="44"/>
      <c r="AM11" s="44"/>
      <c r="AN11" s="44"/>
      <c r="AO11" s="44"/>
      <c r="AP11" s="44"/>
      <c r="AQ11" s="44"/>
      <c r="AR11" s="67" t="s">
        <v>24</v>
      </c>
      <c r="AS11" s="44"/>
      <c r="AT11" s="44"/>
      <c r="AU11" s="44"/>
      <c r="AV11" s="44"/>
      <c r="AW11" s="44"/>
      <c r="AX11" s="44"/>
      <c r="AY11" s="45"/>
      <c r="AZ11" s="66" t="s">
        <v>24</v>
      </c>
      <c r="BA11" s="44"/>
      <c r="BB11" s="44"/>
      <c r="BC11" s="44"/>
      <c r="BD11" s="44"/>
      <c r="BE11" s="44"/>
      <c r="BF11" s="44"/>
      <c r="BG11" s="44"/>
      <c r="BH11" s="67" t="s">
        <v>24</v>
      </c>
      <c r="BI11" s="44"/>
      <c r="BJ11" s="44"/>
      <c r="BK11" s="44"/>
      <c r="BL11" s="44"/>
      <c r="BM11" s="44"/>
      <c r="BN11" s="44"/>
      <c r="BO11" s="44"/>
      <c r="BP11" s="67" t="s">
        <v>24</v>
      </c>
      <c r="BQ11" s="44"/>
      <c r="BR11" s="44"/>
      <c r="BS11" s="44"/>
      <c r="BT11" s="44"/>
      <c r="BU11" s="44"/>
      <c r="BV11" s="44"/>
      <c r="BW11" s="45"/>
      <c r="BX11" s="66" t="s">
        <v>24</v>
      </c>
      <c r="BY11" s="44"/>
      <c r="BZ11" s="44"/>
      <c r="CA11" s="44"/>
      <c r="CB11" s="44"/>
      <c r="CC11" s="44"/>
      <c r="CD11" s="44"/>
      <c r="CE11" s="44"/>
      <c r="CF11" s="44" t="s">
        <v>31</v>
      </c>
      <c r="CG11" s="44"/>
      <c r="CH11" s="44"/>
      <c r="CI11" s="44"/>
      <c r="CJ11" s="44"/>
      <c r="CK11" s="44"/>
      <c r="CL11" s="44"/>
      <c r="CM11" s="44"/>
      <c r="CN11" s="67" t="s">
        <v>24</v>
      </c>
      <c r="CO11" s="44"/>
      <c r="CP11" s="44"/>
      <c r="CQ11" s="44"/>
      <c r="CR11" s="44"/>
      <c r="CS11" s="44"/>
      <c r="CT11" s="44"/>
      <c r="CU11" s="45"/>
      <c r="CV11" s="66" t="s">
        <v>24</v>
      </c>
      <c r="CW11" s="44"/>
      <c r="CX11" s="44"/>
      <c r="CY11" s="44"/>
      <c r="CZ11" s="44"/>
      <c r="DA11" s="44"/>
      <c r="DB11" s="44"/>
      <c r="DC11" s="44"/>
      <c r="DD11" s="67" t="s">
        <v>24</v>
      </c>
      <c r="DE11" s="44"/>
      <c r="DF11" s="44"/>
      <c r="DG11" s="44"/>
      <c r="DH11" s="44"/>
      <c r="DI11" s="44"/>
      <c r="DJ11" s="44"/>
      <c r="DK11" s="44"/>
      <c r="DL11" s="67" t="s">
        <v>24</v>
      </c>
      <c r="DM11" s="44"/>
      <c r="DN11" s="44"/>
      <c r="DO11" s="44"/>
      <c r="DP11" s="44"/>
      <c r="DQ11" s="44"/>
      <c r="DR11" s="44"/>
      <c r="DS11" s="45"/>
      <c r="DT11" s="66" t="s">
        <v>24</v>
      </c>
      <c r="DU11" s="44"/>
      <c r="DV11" s="44"/>
      <c r="DW11" s="44"/>
      <c r="DX11" s="44"/>
      <c r="DY11" s="44"/>
      <c r="DZ11" s="44"/>
      <c r="EA11" s="44"/>
      <c r="EB11" s="67" t="s">
        <v>24</v>
      </c>
      <c r="EC11" s="44"/>
      <c r="ED11" s="44"/>
      <c r="EE11" s="44"/>
      <c r="EF11" s="44"/>
      <c r="EG11" s="44"/>
      <c r="EH11" s="44"/>
      <c r="EI11" s="44"/>
      <c r="EJ11" s="67" t="s">
        <v>24</v>
      </c>
      <c r="EK11" s="44"/>
      <c r="EL11" s="44"/>
      <c r="EM11" s="44"/>
      <c r="EN11" s="44"/>
      <c r="EO11" s="44"/>
      <c r="EP11" s="44"/>
      <c r="EQ11" s="45"/>
      <c r="ER11" s="66" t="s">
        <v>24</v>
      </c>
      <c r="ES11" s="44"/>
      <c r="ET11" s="44"/>
      <c r="EU11" s="44"/>
      <c r="EV11" s="44"/>
      <c r="EW11" s="44"/>
      <c r="EX11" s="44"/>
      <c r="EY11" s="44"/>
      <c r="EZ11" s="67" t="s">
        <v>24</v>
      </c>
      <c r="FA11" s="44"/>
      <c r="FB11" s="44"/>
      <c r="FC11" s="44"/>
      <c r="FD11" s="44"/>
      <c r="FE11" s="44"/>
      <c r="FF11" s="44"/>
      <c r="FG11" s="44"/>
      <c r="FH11" s="67" t="s">
        <v>24</v>
      </c>
      <c r="FI11" s="44"/>
      <c r="FJ11" s="44"/>
      <c r="FK11" s="44"/>
      <c r="FL11" s="44"/>
      <c r="FM11" s="44"/>
      <c r="FN11" s="44"/>
      <c r="FO11" s="45"/>
      <c r="FP11" s="36">
        <v>12937</v>
      </c>
      <c r="FQ11" s="37"/>
      <c r="FR11" s="37"/>
      <c r="FS11" s="37"/>
      <c r="FT11" s="37"/>
    </row>
    <row r="12" spans="1:176" s="3" customFormat="1" ht="109.95" customHeight="1" x14ac:dyDescent="0.35">
      <c r="A12" s="43" t="s">
        <v>25</v>
      </c>
      <c r="B12" s="44"/>
      <c r="C12" s="44"/>
      <c r="D12" s="43" t="s">
        <v>26</v>
      </c>
      <c r="E12" s="44"/>
      <c r="F12" s="44"/>
      <c r="G12" s="44"/>
      <c r="H12" s="44"/>
      <c r="I12" s="44"/>
      <c r="J12" s="44"/>
      <c r="K12" s="44"/>
      <c r="L12" s="44" t="s">
        <v>26</v>
      </c>
      <c r="M12" s="44"/>
      <c r="N12" s="44"/>
      <c r="O12" s="44"/>
      <c r="P12" s="44"/>
      <c r="Q12" s="44"/>
      <c r="R12" s="44"/>
      <c r="S12" s="44"/>
      <c r="T12" s="44" t="s">
        <v>26</v>
      </c>
      <c r="U12" s="44"/>
      <c r="V12" s="44"/>
      <c r="W12" s="44"/>
      <c r="X12" s="44"/>
      <c r="Y12" s="44"/>
      <c r="Z12" s="44"/>
      <c r="AA12" s="45"/>
      <c r="AB12" s="43" t="s">
        <v>26</v>
      </c>
      <c r="AC12" s="44"/>
      <c r="AD12" s="44"/>
      <c r="AE12" s="44"/>
      <c r="AF12" s="44"/>
      <c r="AG12" s="44"/>
      <c r="AH12" s="44"/>
      <c r="AI12" s="44"/>
      <c r="AJ12" s="44" t="s">
        <v>26</v>
      </c>
      <c r="AK12" s="44"/>
      <c r="AL12" s="44"/>
      <c r="AM12" s="44"/>
      <c r="AN12" s="44"/>
      <c r="AO12" s="44"/>
      <c r="AP12" s="44"/>
      <c r="AQ12" s="44"/>
      <c r="AR12" s="44" t="s">
        <v>26</v>
      </c>
      <c r="AS12" s="44"/>
      <c r="AT12" s="44"/>
      <c r="AU12" s="44"/>
      <c r="AV12" s="44"/>
      <c r="AW12" s="44"/>
      <c r="AX12" s="44"/>
      <c r="AY12" s="45"/>
      <c r="AZ12" s="43" t="s">
        <v>26</v>
      </c>
      <c r="BA12" s="44"/>
      <c r="BB12" s="44"/>
      <c r="BC12" s="44"/>
      <c r="BD12" s="44"/>
      <c r="BE12" s="44"/>
      <c r="BF12" s="44"/>
      <c r="BG12" s="44"/>
      <c r="BH12" s="44" t="s">
        <v>26</v>
      </c>
      <c r="BI12" s="44"/>
      <c r="BJ12" s="44"/>
      <c r="BK12" s="44"/>
      <c r="BL12" s="44"/>
      <c r="BM12" s="44"/>
      <c r="BN12" s="44"/>
      <c r="BO12" s="44"/>
      <c r="BP12" s="44" t="s">
        <v>26</v>
      </c>
      <c r="BQ12" s="44"/>
      <c r="BR12" s="44"/>
      <c r="BS12" s="44"/>
      <c r="BT12" s="44"/>
      <c r="BU12" s="44"/>
      <c r="BV12" s="44"/>
      <c r="BW12" s="45"/>
      <c r="BX12" s="43" t="s">
        <v>26</v>
      </c>
      <c r="BY12" s="44"/>
      <c r="BZ12" s="44"/>
      <c r="CA12" s="44"/>
      <c r="CB12" s="44"/>
      <c r="CC12" s="44"/>
      <c r="CD12" s="44"/>
      <c r="CE12" s="44"/>
      <c r="CF12" s="56" t="s">
        <v>40</v>
      </c>
      <c r="CG12" s="44"/>
      <c r="CH12" s="44"/>
      <c r="CI12" s="44"/>
      <c r="CJ12" s="44"/>
      <c r="CK12" s="44"/>
      <c r="CL12" s="44"/>
      <c r="CM12" s="44"/>
      <c r="CN12" s="44" t="s">
        <v>26</v>
      </c>
      <c r="CO12" s="44"/>
      <c r="CP12" s="44"/>
      <c r="CQ12" s="44"/>
      <c r="CR12" s="44"/>
      <c r="CS12" s="44"/>
      <c r="CT12" s="44"/>
      <c r="CU12" s="45"/>
      <c r="CV12" s="43" t="s">
        <v>26</v>
      </c>
      <c r="CW12" s="44"/>
      <c r="CX12" s="44"/>
      <c r="CY12" s="44"/>
      <c r="CZ12" s="44"/>
      <c r="DA12" s="44"/>
      <c r="DB12" s="44"/>
      <c r="DC12" s="44"/>
      <c r="DD12" s="44" t="s">
        <v>26</v>
      </c>
      <c r="DE12" s="44"/>
      <c r="DF12" s="44"/>
      <c r="DG12" s="44"/>
      <c r="DH12" s="44"/>
      <c r="DI12" s="44"/>
      <c r="DJ12" s="44"/>
      <c r="DK12" s="44"/>
      <c r="DL12" s="44" t="s">
        <v>26</v>
      </c>
      <c r="DM12" s="44"/>
      <c r="DN12" s="44"/>
      <c r="DO12" s="44"/>
      <c r="DP12" s="44"/>
      <c r="DQ12" s="44"/>
      <c r="DR12" s="44"/>
      <c r="DS12" s="45"/>
      <c r="DT12" s="43" t="s">
        <v>26</v>
      </c>
      <c r="DU12" s="44"/>
      <c r="DV12" s="44"/>
      <c r="DW12" s="44"/>
      <c r="DX12" s="44"/>
      <c r="DY12" s="44"/>
      <c r="DZ12" s="44"/>
      <c r="EA12" s="44"/>
      <c r="EB12" s="44" t="s">
        <v>26</v>
      </c>
      <c r="EC12" s="44"/>
      <c r="ED12" s="44"/>
      <c r="EE12" s="44"/>
      <c r="EF12" s="44"/>
      <c r="EG12" s="44"/>
      <c r="EH12" s="44"/>
      <c r="EI12" s="44"/>
      <c r="EJ12" s="44" t="s">
        <v>26</v>
      </c>
      <c r="EK12" s="44"/>
      <c r="EL12" s="44"/>
      <c r="EM12" s="44"/>
      <c r="EN12" s="44"/>
      <c r="EO12" s="44"/>
      <c r="EP12" s="44"/>
      <c r="EQ12" s="45"/>
      <c r="ER12" s="43" t="s">
        <v>26</v>
      </c>
      <c r="ES12" s="44"/>
      <c r="ET12" s="44"/>
      <c r="EU12" s="44"/>
      <c r="EV12" s="44"/>
      <c r="EW12" s="44"/>
      <c r="EX12" s="44"/>
      <c r="EY12" s="44"/>
      <c r="EZ12" s="44" t="s">
        <v>26</v>
      </c>
      <c r="FA12" s="44"/>
      <c r="FB12" s="44"/>
      <c r="FC12" s="44"/>
      <c r="FD12" s="44"/>
      <c r="FE12" s="44"/>
      <c r="FF12" s="44"/>
      <c r="FG12" s="44"/>
      <c r="FH12" s="44" t="s">
        <v>26</v>
      </c>
      <c r="FI12" s="44"/>
      <c r="FJ12" s="44"/>
      <c r="FK12" s="44"/>
      <c r="FL12" s="44"/>
      <c r="FM12" s="44"/>
      <c r="FN12" s="44"/>
      <c r="FO12" s="45"/>
      <c r="FP12" s="37"/>
      <c r="FQ12" s="37"/>
      <c r="FR12" s="37"/>
      <c r="FS12" s="37"/>
      <c r="FT12" s="37"/>
    </row>
    <row r="13" spans="1:176" s="3" customFormat="1" ht="60" customHeight="1" x14ac:dyDescent="0.35">
      <c r="A13" s="43" t="s">
        <v>27</v>
      </c>
      <c r="B13" s="44"/>
      <c r="C13" s="44"/>
      <c r="D13" s="43">
        <v>647</v>
      </c>
      <c r="E13" s="44"/>
      <c r="F13" s="44"/>
      <c r="G13" s="44"/>
      <c r="H13" s="44"/>
      <c r="I13" s="44"/>
      <c r="J13" s="44"/>
      <c r="K13" s="44"/>
      <c r="L13" s="44">
        <v>647</v>
      </c>
      <c r="M13" s="44"/>
      <c r="N13" s="44"/>
      <c r="O13" s="44"/>
      <c r="P13" s="44"/>
      <c r="Q13" s="44"/>
      <c r="R13" s="44"/>
      <c r="S13" s="44"/>
      <c r="T13" s="44">
        <v>647</v>
      </c>
      <c r="U13" s="44"/>
      <c r="V13" s="44"/>
      <c r="W13" s="44"/>
      <c r="X13" s="44"/>
      <c r="Y13" s="44"/>
      <c r="Z13" s="44"/>
      <c r="AA13" s="45"/>
      <c r="AB13" s="43">
        <v>647</v>
      </c>
      <c r="AC13" s="44"/>
      <c r="AD13" s="44"/>
      <c r="AE13" s="44"/>
      <c r="AF13" s="44"/>
      <c r="AG13" s="44"/>
      <c r="AH13" s="44"/>
      <c r="AI13" s="44"/>
      <c r="AJ13" s="44">
        <v>647</v>
      </c>
      <c r="AK13" s="44"/>
      <c r="AL13" s="44"/>
      <c r="AM13" s="44"/>
      <c r="AN13" s="44"/>
      <c r="AO13" s="44"/>
      <c r="AP13" s="44"/>
      <c r="AQ13" s="44"/>
      <c r="AR13" s="44">
        <v>647</v>
      </c>
      <c r="AS13" s="44"/>
      <c r="AT13" s="44"/>
      <c r="AU13" s="44"/>
      <c r="AV13" s="44"/>
      <c r="AW13" s="44"/>
      <c r="AX13" s="44"/>
      <c r="AY13" s="45"/>
      <c r="AZ13" s="43">
        <v>647</v>
      </c>
      <c r="BA13" s="44"/>
      <c r="BB13" s="44"/>
      <c r="BC13" s="44"/>
      <c r="BD13" s="44"/>
      <c r="BE13" s="44"/>
      <c r="BF13" s="44"/>
      <c r="BG13" s="44"/>
      <c r="BH13" s="44">
        <v>647</v>
      </c>
      <c r="BI13" s="44"/>
      <c r="BJ13" s="44"/>
      <c r="BK13" s="44"/>
      <c r="BL13" s="44"/>
      <c r="BM13" s="44"/>
      <c r="BN13" s="44"/>
      <c r="BO13" s="44"/>
      <c r="BP13" s="44">
        <v>647</v>
      </c>
      <c r="BQ13" s="44"/>
      <c r="BR13" s="44"/>
      <c r="BS13" s="44"/>
      <c r="BT13" s="44"/>
      <c r="BU13" s="44"/>
      <c r="BV13" s="44"/>
      <c r="BW13" s="45"/>
      <c r="BX13" s="43">
        <v>645</v>
      </c>
      <c r="BY13" s="44"/>
      <c r="BZ13" s="44"/>
      <c r="CA13" s="44"/>
      <c r="CB13" s="44"/>
      <c r="CC13" s="44"/>
      <c r="CD13" s="44"/>
      <c r="CE13" s="44"/>
      <c r="CF13" s="44">
        <v>1</v>
      </c>
      <c r="CG13" s="44"/>
      <c r="CH13" s="44"/>
      <c r="CI13" s="44"/>
      <c r="CJ13" s="44"/>
      <c r="CK13" s="44"/>
      <c r="CL13" s="44"/>
      <c r="CM13" s="44"/>
      <c r="CN13" s="44">
        <v>646</v>
      </c>
      <c r="CO13" s="44"/>
      <c r="CP13" s="44"/>
      <c r="CQ13" s="44"/>
      <c r="CR13" s="44"/>
      <c r="CS13" s="44"/>
      <c r="CT13" s="44"/>
      <c r="CU13" s="45"/>
      <c r="CV13" s="43">
        <v>647</v>
      </c>
      <c r="CW13" s="44"/>
      <c r="CX13" s="44"/>
      <c r="CY13" s="44"/>
      <c r="CZ13" s="44"/>
      <c r="DA13" s="44"/>
      <c r="DB13" s="44"/>
      <c r="DC13" s="44"/>
      <c r="DD13" s="44">
        <v>647</v>
      </c>
      <c r="DE13" s="44"/>
      <c r="DF13" s="44"/>
      <c r="DG13" s="44"/>
      <c r="DH13" s="44"/>
      <c r="DI13" s="44"/>
      <c r="DJ13" s="44"/>
      <c r="DK13" s="44"/>
      <c r="DL13" s="44">
        <v>647</v>
      </c>
      <c r="DM13" s="44"/>
      <c r="DN13" s="44"/>
      <c r="DO13" s="44"/>
      <c r="DP13" s="44"/>
      <c r="DQ13" s="44"/>
      <c r="DR13" s="44"/>
      <c r="DS13" s="45"/>
      <c r="DT13" s="43">
        <v>647</v>
      </c>
      <c r="DU13" s="44"/>
      <c r="DV13" s="44"/>
      <c r="DW13" s="44"/>
      <c r="DX13" s="44"/>
      <c r="DY13" s="44"/>
      <c r="DZ13" s="44"/>
      <c r="EA13" s="44"/>
      <c r="EB13" s="44">
        <v>647</v>
      </c>
      <c r="EC13" s="44"/>
      <c r="ED13" s="44"/>
      <c r="EE13" s="44"/>
      <c r="EF13" s="44"/>
      <c r="EG13" s="44"/>
      <c r="EH13" s="44"/>
      <c r="EI13" s="44"/>
      <c r="EJ13" s="44">
        <v>647</v>
      </c>
      <c r="EK13" s="44"/>
      <c r="EL13" s="44"/>
      <c r="EM13" s="44"/>
      <c r="EN13" s="44"/>
      <c r="EO13" s="44"/>
      <c r="EP13" s="44"/>
      <c r="EQ13" s="45"/>
      <c r="ER13" s="43">
        <v>647</v>
      </c>
      <c r="ES13" s="44"/>
      <c r="ET13" s="44"/>
      <c r="EU13" s="44"/>
      <c r="EV13" s="44"/>
      <c r="EW13" s="44"/>
      <c r="EX13" s="44"/>
      <c r="EY13" s="44"/>
      <c r="EZ13" s="44">
        <v>647</v>
      </c>
      <c r="FA13" s="44"/>
      <c r="FB13" s="44"/>
      <c r="FC13" s="44"/>
      <c r="FD13" s="44"/>
      <c r="FE13" s="44"/>
      <c r="FF13" s="44"/>
      <c r="FG13" s="44"/>
      <c r="FH13" s="44">
        <v>646</v>
      </c>
      <c r="FI13" s="44"/>
      <c r="FJ13" s="44"/>
      <c r="FK13" s="44"/>
      <c r="FL13" s="44"/>
      <c r="FM13" s="44"/>
      <c r="FN13" s="44"/>
      <c r="FO13" s="45"/>
      <c r="FP13" s="37"/>
      <c r="FQ13" s="37"/>
      <c r="FR13" s="37"/>
      <c r="FS13" s="37"/>
      <c r="FT13" s="37"/>
    </row>
    <row r="14" spans="1:176" s="3" customFormat="1" ht="60" customHeight="1" x14ac:dyDescent="0.35">
      <c r="A14" s="43" t="s">
        <v>28</v>
      </c>
      <c r="B14" s="44"/>
      <c r="C14" s="44"/>
      <c r="D14" s="33">
        <v>1941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5"/>
      <c r="AB14" s="33">
        <v>1941</v>
      </c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5"/>
      <c r="AZ14" s="33">
        <v>1941</v>
      </c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5"/>
      <c r="BX14" s="33">
        <v>1292</v>
      </c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5"/>
      <c r="CV14" s="33">
        <v>1941</v>
      </c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5"/>
      <c r="DT14" s="33">
        <v>1941</v>
      </c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5"/>
      <c r="ER14" s="33">
        <v>1940</v>
      </c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5"/>
      <c r="FP14" s="37"/>
      <c r="FQ14" s="37"/>
      <c r="FR14" s="37"/>
      <c r="FS14" s="37"/>
      <c r="FT14" s="37"/>
    </row>
    <row r="15" spans="1:176" s="3" customFormat="1" ht="60" customHeight="1" x14ac:dyDescent="0.35">
      <c r="A15" s="43" t="s">
        <v>29</v>
      </c>
      <c r="B15" s="44"/>
      <c r="C15" s="44"/>
      <c r="D15" s="43" t="s">
        <v>31</v>
      </c>
      <c r="E15" s="44"/>
      <c r="F15" s="44"/>
      <c r="G15" s="44"/>
      <c r="H15" s="44"/>
      <c r="I15" s="44"/>
      <c r="J15" s="44"/>
      <c r="K15" s="44"/>
      <c r="L15" s="44" t="s">
        <v>31</v>
      </c>
      <c r="M15" s="44"/>
      <c r="N15" s="44"/>
      <c r="O15" s="44"/>
      <c r="P15" s="44"/>
      <c r="Q15" s="44"/>
      <c r="R15" s="44"/>
      <c r="S15" s="44"/>
      <c r="T15" s="44" t="s">
        <v>31</v>
      </c>
      <c r="U15" s="44"/>
      <c r="V15" s="44"/>
      <c r="W15" s="44"/>
      <c r="X15" s="44"/>
      <c r="Y15" s="44"/>
      <c r="Z15" s="44"/>
      <c r="AA15" s="45"/>
      <c r="AB15" s="43" t="s">
        <v>31</v>
      </c>
      <c r="AC15" s="44"/>
      <c r="AD15" s="44"/>
      <c r="AE15" s="44"/>
      <c r="AF15" s="44"/>
      <c r="AG15" s="44"/>
      <c r="AH15" s="44"/>
      <c r="AI15" s="44"/>
      <c r="AJ15" s="44" t="s">
        <v>31</v>
      </c>
      <c r="AK15" s="44"/>
      <c r="AL15" s="44"/>
      <c r="AM15" s="44"/>
      <c r="AN15" s="44"/>
      <c r="AO15" s="44"/>
      <c r="AP15" s="44"/>
      <c r="AQ15" s="44"/>
      <c r="AR15" s="44" t="s">
        <v>31</v>
      </c>
      <c r="AS15" s="44"/>
      <c r="AT15" s="44"/>
      <c r="AU15" s="44"/>
      <c r="AV15" s="44"/>
      <c r="AW15" s="44"/>
      <c r="AX15" s="44"/>
      <c r="AY15" s="45"/>
      <c r="AZ15" s="43" t="s">
        <v>31</v>
      </c>
      <c r="BA15" s="44"/>
      <c r="BB15" s="44"/>
      <c r="BC15" s="44"/>
      <c r="BD15" s="44"/>
      <c r="BE15" s="44"/>
      <c r="BF15" s="44"/>
      <c r="BG15" s="44"/>
      <c r="BH15" s="44" t="s">
        <v>31</v>
      </c>
      <c r="BI15" s="44"/>
      <c r="BJ15" s="44"/>
      <c r="BK15" s="44"/>
      <c r="BL15" s="44"/>
      <c r="BM15" s="44"/>
      <c r="BN15" s="44"/>
      <c r="BO15" s="44"/>
      <c r="BP15" s="44" t="s">
        <v>31</v>
      </c>
      <c r="BQ15" s="44"/>
      <c r="BR15" s="44"/>
      <c r="BS15" s="44"/>
      <c r="BT15" s="44"/>
      <c r="BU15" s="44"/>
      <c r="BV15" s="44"/>
      <c r="BW15" s="45"/>
      <c r="BX15" s="55" t="s">
        <v>144</v>
      </c>
      <c r="BY15" s="44"/>
      <c r="BZ15" s="44"/>
      <c r="CA15" s="44"/>
      <c r="CB15" s="44"/>
      <c r="CC15" s="44"/>
      <c r="CD15" s="44"/>
      <c r="CE15" s="44"/>
      <c r="CF15" s="54" t="s">
        <v>144</v>
      </c>
      <c r="CG15" s="44"/>
      <c r="CH15" s="44"/>
      <c r="CI15" s="44"/>
      <c r="CJ15" s="44"/>
      <c r="CK15" s="44"/>
      <c r="CL15" s="44"/>
      <c r="CM15" s="44"/>
      <c r="CN15" s="54" t="s">
        <v>144</v>
      </c>
      <c r="CO15" s="44"/>
      <c r="CP15" s="44"/>
      <c r="CQ15" s="44"/>
      <c r="CR15" s="44"/>
      <c r="CS15" s="44"/>
      <c r="CT15" s="44"/>
      <c r="CU15" s="45"/>
      <c r="CV15" s="55" t="s">
        <v>144</v>
      </c>
      <c r="CW15" s="44" t="s">
        <v>31</v>
      </c>
      <c r="CX15" s="54" t="s">
        <v>145</v>
      </c>
      <c r="CY15" s="44"/>
      <c r="CZ15" s="44"/>
      <c r="DA15" s="44"/>
      <c r="DB15" s="44"/>
      <c r="DC15" s="44" t="s">
        <v>31</v>
      </c>
      <c r="DD15" s="52" t="s">
        <v>54</v>
      </c>
      <c r="DE15" s="44"/>
      <c r="DF15" s="44"/>
      <c r="DG15" s="44"/>
      <c r="DH15" s="44"/>
      <c r="DI15" s="44"/>
      <c r="DJ15" s="44"/>
      <c r="DK15" s="44"/>
      <c r="DL15" s="52" t="s">
        <v>54</v>
      </c>
      <c r="DM15" s="44"/>
      <c r="DN15" s="44"/>
      <c r="DO15" s="44"/>
      <c r="DP15" s="44"/>
      <c r="DQ15" s="44"/>
      <c r="DR15" s="44"/>
      <c r="DS15" s="45"/>
      <c r="DT15" s="51" t="s">
        <v>54</v>
      </c>
      <c r="DU15" s="44"/>
      <c r="DV15" s="44"/>
      <c r="DW15" s="44"/>
      <c r="DX15" s="44"/>
      <c r="DY15" s="44"/>
      <c r="DZ15" s="44"/>
      <c r="EA15" s="44"/>
      <c r="EB15" s="52" t="s">
        <v>54</v>
      </c>
      <c r="EC15" s="44"/>
      <c r="ED15" s="44"/>
      <c r="EE15" s="44"/>
      <c r="EF15" s="44"/>
      <c r="EG15" s="44"/>
      <c r="EH15" s="44"/>
      <c r="EI15" s="44"/>
      <c r="EJ15" s="52" t="s">
        <v>54</v>
      </c>
      <c r="EK15" s="44"/>
      <c r="EL15" s="44"/>
      <c r="EM15" s="44" t="s">
        <v>31</v>
      </c>
      <c r="EN15" s="44"/>
      <c r="EO15" s="44"/>
      <c r="EP15" s="44"/>
      <c r="EQ15" s="99" t="s">
        <v>38</v>
      </c>
      <c r="ER15" s="60" t="s">
        <v>38</v>
      </c>
      <c r="ES15" s="44"/>
      <c r="ET15" s="44"/>
      <c r="EU15" s="44"/>
      <c r="EV15" s="44"/>
      <c r="EW15" s="44"/>
      <c r="EX15" s="44"/>
      <c r="EY15" s="44"/>
      <c r="EZ15" s="59" t="s">
        <v>38</v>
      </c>
      <c r="FA15" s="44"/>
      <c r="FB15" s="44"/>
      <c r="FC15" s="44"/>
      <c r="FD15" s="44"/>
      <c r="FE15" s="44"/>
      <c r="FF15" s="44"/>
      <c r="FG15" s="44"/>
      <c r="FH15" s="59" t="s">
        <v>38</v>
      </c>
      <c r="FI15" s="44"/>
      <c r="FJ15" s="44"/>
      <c r="FK15" s="44"/>
      <c r="FL15" s="44"/>
      <c r="FM15" s="44"/>
      <c r="FN15" s="44"/>
      <c r="FO15" s="45"/>
      <c r="FP15" s="36">
        <v>15360</v>
      </c>
      <c r="FQ15" s="37"/>
      <c r="FR15" s="37"/>
      <c r="FS15" s="37"/>
      <c r="FT15" s="37"/>
    </row>
    <row r="16" spans="1:176" s="3" customFormat="1" ht="109.95" customHeight="1" x14ac:dyDescent="0.35">
      <c r="A16" s="43" t="s">
        <v>25</v>
      </c>
      <c r="B16" s="44"/>
      <c r="C16" s="44"/>
      <c r="D16" s="95" t="s">
        <v>102</v>
      </c>
      <c r="E16" s="44"/>
      <c r="F16" s="44"/>
      <c r="G16" s="44"/>
      <c r="H16" s="44"/>
      <c r="I16" s="44"/>
      <c r="J16" s="44"/>
      <c r="K16" s="44"/>
      <c r="L16" s="94" t="s">
        <v>102</v>
      </c>
      <c r="M16" s="44"/>
      <c r="N16" s="44"/>
      <c r="O16" s="44"/>
      <c r="P16" s="44"/>
      <c r="Q16" s="44"/>
      <c r="R16" s="44"/>
      <c r="S16" s="44"/>
      <c r="T16" s="94" t="s">
        <v>102</v>
      </c>
      <c r="U16" s="44"/>
      <c r="V16" s="44"/>
      <c r="W16" s="44"/>
      <c r="X16" s="44"/>
      <c r="Y16" s="44"/>
      <c r="Z16" s="44"/>
      <c r="AA16" s="45"/>
      <c r="AB16" s="95" t="s">
        <v>102</v>
      </c>
      <c r="AC16" s="44"/>
      <c r="AD16" s="44"/>
      <c r="AE16" s="44"/>
      <c r="AF16" s="44"/>
      <c r="AG16" s="44"/>
      <c r="AH16" s="44"/>
      <c r="AI16" s="44"/>
      <c r="AJ16" s="94" t="s">
        <v>102</v>
      </c>
      <c r="AK16" s="44"/>
      <c r="AL16" s="44"/>
      <c r="AM16" s="44"/>
      <c r="AN16" s="44"/>
      <c r="AO16" s="44"/>
      <c r="AP16" s="44"/>
      <c r="AQ16" s="44"/>
      <c r="AR16" s="94" t="s">
        <v>102</v>
      </c>
      <c r="AS16" s="44"/>
      <c r="AT16" s="44"/>
      <c r="AU16" s="44"/>
      <c r="AV16" s="44"/>
      <c r="AW16" s="44"/>
      <c r="AX16" s="44"/>
      <c r="AY16" s="45"/>
      <c r="AZ16" s="95" t="s">
        <v>102</v>
      </c>
      <c r="BA16" s="44"/>
      <c r="BB16" s="44"/>
      <c r="BC16" s="44"/>
      <c r="BD16" s="44"/>
      <c r="BE16" s="44"/>
      <c r="BF16" s="44"/>
      <c r="BG16" s="44"/>
      <c r="BH16" s="94" t="s">
        <v>102</v>
      </c>
      <c r="BI16" s="44"/>
      <c r="BJ16" s="44"/>
      <c r="BK16" s="44"/>
      <c r="BL16" s="44"/>
      <c r="BM16" s="44"/>
      <c r="BN16" s="44"/>
      <c r="BO16" s="44"/>
      <c r="BP16" s="94" t="s">
        <v>102</v>
      </c>
      <c r="BQ16" s="44"/>
      <c r="BR16" s="44"/>
      <c r="BS16" s="44"/>
      <c r="BT16" s="44"/>
      <c r="BU16" s="44"/>
      <c r="BV16" s="44"/>
      <c r="BW16" s="45"/>
      <c r="BX16" s="43" t="s">
        <v>35</v>
      </c>
      <c r="BY16" s="44"/>
      <c r="BZ16" s="44"/>
      <c r="CA16" s="44"/>
      <c r="CB16" s="44"/>
      <c r="CC16" s="44"/>
      <c r="CD16" s="44"/>
      <c r="CE16" s="44"/>
      <c r="CF16" s="44" t="s">
        <v>35</v>
      </c>
      <c r="CG16" s="44"/>
      <c r="CH16" s="44"/>
      <c r="CI16" s="44"/>
      <c r="CJ16" s="44"/>
      <c r="CK16" s="44"/>
      <c r="CL16" s="44"/>
      <c r="CM16" s="44"/>
      <c r="CN16" s="44" t="s">
        <v>35</v>
      </c>
      <c r="CO16" s="44"/>
      <c r="CP16" s="44"/>
      <c r="CQ16" s="44"/>
      <c r="CR16" s="44"/>
      <c r="CS16" s="44"/>
      <c r="CT16" s="44"/>
      <c r="CU16" s="45"/>
      <c r="CV16" s="46" t="s">
        <v>35</v>
      </c>
      <c r="CW16" s="49" t="s">
        <v>48</v>
      </c>
      <c r="CX16" s="48" t="s">
        <v>35</v>
      </c>
      <c r="CY16" s="44"/>
      <c r="CZ16" s="44"/>
      <c r="DA16" s="44"/>
      <c r="DB16" s="44"/>
      <c r="DC16" s="49" t="s">
        <v>48</v>
      </c>
      <c r="DD16" s="44" t="s">
        <v>35</v>
      </c>
      <c r="DE16" s="44"/>
      <c r="DF16" s="44"/>
      <c r="DG16" s="44"/>
      <c r="DH16" s="44"/>
      <c r="DI16" s="44"/>
      <c r="DJ16" s="44"/>
      <c r="DK16" s="44"/>
      <c r="DL16" s="44" t="s">
        <v>35</v>
      </c>
      <c r="DM16" s="44"/>
      <c r="DN16" s="44"/>
      <c r="DO16" s="44"/>
      <c r="DP16" s="44"/>
      <c r="DQ16" s="44"/>
      <c r="DR16" s="44"/>
      <c r="DS16" s="45"/>
      <c r="DT16" s="43" t="s">
        <v>35</v>
      </c>
      <c r="DU16" s="44"/>
      <c r="DV16" s="44"/>
      <c r="DW16" s="44"/>
      <c r="DX16" s="44"/>
      <c r="DY16" s="44"/>
      <c r="DZ16" s="44"/>
      <c r="EA16" s="44"/>
      <c r="EB16" s="44" t="s">
        <v>35</v>
      </c>
      <c r="EC16" s="44"/>
      <c r="ED16" s="44"/>
      <c r="EE16" s="44"/>
      <c r="EF16" s="44"/>
      <c r="EG16" s="44"/>
      <c r="EH16" s="44"/>
      <c r="EI16" s="44"/>
      <c r="EJ16" s="48" t="s">
        <v>35</v>
      </c>
      <c r="EK16" s="44"/>
      <c r="EL16" s="44"/>
      <c r="EM16" s="49" t="s">
        <v>34</v>
      </c>
      <c r="EN16" s="44"/>
      <c r="EO16" s="44"/>
      <c r="EP16" s="44"/>
      <c r="EQ16" s="86" t="s">
        <v>35</v>
      </c>
      <c r="ER16" s="43" t="s">
        <v>35</v>
      </c>
      <c r="ES16" s="44"/>
      <c r="ET16" s="44"/>
      <c r="EU16" s="44"/>
      <c r="EV16" s="44"/>
      <c r="EW16" s="44"/>
      <c r="EX16" s="44"/>
      <c r="EY16" s="44"/>
      <c r="EZ16" s="44" t="s">
        <v>35</v>
      </c>
      <c r="FA16" s="44"/>
      <c r="FB16" s="44"/>
      <c r="FC16" s="44"/>
      <c r="FD16" s="44"/>
      <c r="FE16" s="44"/>
      <c r="FF16" s="44"/>
      <c r="FG16" s="44"/>
      <c r="FH16" s="44" t="s">
        <v>35</v>
      </c>
      <c r="FI16" s="44"/>
      <c r="FJ16" s="44"/>
      <c r="FK16" s="44"/>
      <c r="FL16" s="44"/>
      <c r="FM16" s="44"/>
      <c r="FN16" s="44"/>
      <c r="FO16" s="45"/>
      <c r="FP16" s="37"/>
      <c r="FQ16" s="37"/>
      <c r="FR16" s="37"/>
      <c r="FS16" s="37"/>
      <c r="FT16" s="37"/>
    </row>
    <row r="17" spans="1:176" s="3" customFormat="1" ht="60" customHeight="1" x14ac:dyDescent="0.35">
      <c r="A17" s="43" t="s">
        <v>27</v>
      </c>
      <c r="B17" s="44"/>
      <c r="C17" s="44"/>
      <c r="D17" s="43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5"/>
      <c r="AB17" s="43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5"/>
      <c r="AZ17" s="43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5"/>
      <c r="BX17" s="43">
        <v>1331</v>
      </c>
      <c r="BY17" s="44"/>
      <c r="BZ17" s="44"/>
      <c r="CA17" s="44"/>
      <c r="CB17" s="44"/>
      <c r="CC17" s="44"/>
      <c r="CD17" s="44"/>
      <c r="CE17" s="44"/>
      <c r="CF17" s="44">
        <v>1349</v>
      </c>
      <c r="CG17" s="44"/>
      <c r="CH17" s="44"/>
      <c r="CI17" s="44"/>
      <c r="CJ17" s="44"/>
      <c r="CK17" s="44"/>
      <c r="CL17" s="44"/>
      <c r="CM17" s="44"/>
      <c r="CN17" s="44">
        <v>1349</v>
      </c>
      <c r="CO17" s="44"/>
      <c r="CP17" s="44"/>
      <c r="CQ17" s="44"/>
      <c r="CR17" s="44"/>
      <c r="CS17" s="44"/>
      <c r="CT17" s="44"/>
      <c r="CU17" s="45"/>
      <c r="CV17" s="46">
        <v>166</v>
      </c>
      <c r="CW17" s="48"/>
      <c r="CX17" s="48">
        <v>821</v>
      </c>
      <c r="CY17" s="44"/>
      <c r="CZ17" s="44"/>
      <c r="DA17" s="44"/>
      <c r="DB17" s="44"/>
      <c r="DC17" s="48"/>
      <c r="DD17" s="44">
        <v>1397</v>
      </c>
      <c r="DE17" s="44"/>
      <c r="DF17" s="44"/>
      <c r="DG17" s="44"/>
      <c r="DH17" s="44"/>
      <c r="DI17" s="44"/>
      <c r="DJ17" s="44"/>
      <c r="DK17" s="44"/>
      <c r="DL17" s="44">
        <v>1349</v>
      </c>
      <c r="DM17" s="44"/>
      <c r="DN17" s="44"/>
      <c r="DO17" s="44"/>
      <c r="DP17" s="44"/>
      <c r="DQ17" s="44"/>
      <c r="DR17" s="44"/>
      <c r="DS17" s="45"/>
      <c r="DT17" s="43">
        <v>1349</v>
      </c>
      <c r="DU17" s="44"/>
      <c r="DV17" s="44"/>
      <c r="DW17" s="44"/>
      <c r="DX17" s="44"/>
      <c r="DY17" s="44"/>
      <c r="DZ17" s="44"/>
      <c r="EA17" s="44"/>
      <c r="EB17" s="44">
        <v>1349</v>
      </c>
      <c r="EC17" s="44"/>
      <c r="ED17" s="44"/>
      <c r="EE17" s="44"/>
      <c r="EF17" s="44"/>
      <c r="EG17" s="44"/>
      <c r="EH17" s="44"/>
      <c r="EI17" s="44"/>
      <c r="EJ17" s="48">
        <v>540</v>
      </c>
      <c r="EK17" s="44"/>
      <c r="EL17" s="44"/>
      <c r="EM17" s="48"/>
      <c r="EN17" s="44"/>
      <c r="EO17" s="44"/>
      <c r="EP17" s="44"/>
      <c r="EQ17" s="86">
        <v>140</v>
      </c>
      <c r="ER17" s="43">
        <v>1407</v>
      </c>
      <c r="ES17" s="44"/>
      <c r="ET17" s="44"/>
      <c r="EU17" s="44"/>
      <c r="EV17" s="44"/>
      <c r="EW17" s="44"/>
      <c r="EX17" s="44"/>
      <c r="EY17" s="44"/>
      <c r="EZ17" s="44">
        <v>1407</v>
      </c>
      <c r="FA17" s="44"/>
      <c r="FB17" s="44"/>
      <c r="FC17" s="44"/>
      <c r="FD17" s="44"/>
      <c r="FE17" s="44"/>
      <c r="FF17" s="44"/>
      <c r="FG17" s="44"/>
      <c r="FH17" s="44">
        <v>1406</v>
      </c>
      <c r="FI17" s="44"/>
      <c r="FJ17" s="44"/>
      <c r="FK17" s="44"/>
      <c r="FL17" s="44"/>
      <c r="FM17" s="44"/>
      <c r="FN17" s="44"/>
      <c r="FO17" s="45"/>
      <c r="FP17" s="37"/>
      <c r="FQ17" s="37"/>
      <c r="FR17" s="37"/>
      <c r="FS17" s="37"/>
      <c r="FT17" s="37"/>
    </row>
    <row r="18" spans="1:176" s="3" customFormat="1" ht="60" customHeight="1" x14ac:dyDescent="0.35">
      <c r="A18" s="43" t="s">
        <v>28</v>
      </c>
      <c r="B18" s="44"/>
      <c r="C18" s="44"/>
      <c r="D18" s="33">
        <v>0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5"/>
      <c r="AB18" s="33">
        <v>0</v>
      </c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5"/>
      <c r="AZ18" s="33">
        <v>0</v>
      </c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5"/>
      <c r="BX18" s="33">
        <v>4029</v>
      </c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5"/>
      <c r="CV18" s="33">
        <v>3733</v>
      </c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5"/>
      <c r="DT18" s="33">
        <v>3378</v>
      </c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5"/>
      <c r="ER18" s="33">
        <v>4220</v>
      </c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5"/>
      <c r="FP18" s="37"/>
      <c r="FQ18" s="37"/>
      <c r="FR18" s="37"/>
      <c r="FS18" s="37"/>
      <c r="FT18" s="37"/>
    </row>
    <row r="19" spans="1:176" s="3" customFormat="1" ht="60" customHeight="1" x14ac:dyDescent="0.35">
      <c r="A19" s="43" t="s">
        <v>36</v>
      </c>
      <c r="B19" s="44"/>
      <c r="C19" s="44"/>
      <c r="D19" s="65" t="s">
        <v>32</v>
      </c>
      <c r="E19" s="44"/>
      <c r="F19" s="44"/>
      <c r="G19" s="44"/>
      <c r="H19" s="44"/>
      <c r="I19" s="44"/>
      <c r="J19" s="44"/>
      <c r="K19" s="44"/>
      <c r="L19" s="53" t="s">
        <v>32</v>
      </c>
      <c r="M19" s="44"/>
      <c r="N19" s="44"/>
      <c r="O19" s="44"/>
      <c r="P19" s="44"/>
      <c r="Q19" s="44"/>
      <c r="R19" s="44"/>
      <c r="S19" s="44"/>
      <c r="T19" s="53" t="s">
        <v>32</v>
      </c>
      <c r="U19" s="44"/>
      <c r="V19" s="44"/>
      <c r="W19" s="44"/>
      <c r="X19" s="44"/>
      <c r="Y19" s="44"/>
      <c r="Z19" s="44"/>
      <c r="AA19" s="45"/>
      <c r="AB19" s="65" t="s">
        <v>32</v>
      </c>
      <c r="AC19" s="44"/>
      <c r="AD19" s="44"/>
      <c r="AE19" s="44"/>
      <c r="AF19" s="44"/>
      <c r="AG19" s="44"/>
      <c r="AH19" s="44"/>
      <c r="AI19" s="44"/>
      <c r="AJ19" s="53" t="s">
        <v>32</v>
      </c>
      <c r="AK19" s="44" t="s">
        <v>31</v>
      </c>
      <c r="AL19" s="44"/>
      <c r="AM19" s="44"/>
      <c r="AN19" s="44"/>
      <c r="AO19" s="44"/>
      <c r="AP19" s="44"/>
      <c r="AQ19" s="44"/>
      <c r="AR19" s="44" t="s">
        <v>31</v>
      </c>
      <c r="AS19" s="64" t="s">
        <v>30</v>
      </c>
      <c r="AT19" s="44"/>
      <c r="AU19" s="44"/>
      <c r="AV19" s="44"/>
      <c r="AW19" s="44"/>
      <c r="AX19" s="44"/>
      <c r="AY19" s="45"/>
      <c r="AZ19" s="63" t="s">
        <v>30</v>
      </c>
      <c r="BA19" s="44"/>
      <c r="BB19" s="44"/>
      <c r="BC19" s="44"/>
      <c r="BD19" s="44"/>
      <c r="BE19" s="44"/>
      <c r="BF19" s="44"/>
      <c r="BG19" s="44"/>
      <c r="BH19" s="64" t="s">
        <v>30</v>
      </c>
      <c r="BI19" s="44"/>
      <c r="BJ19" s="44"/>
      <c r="BK19" s="44"/>
      <c r="BL19" s="44"/>
      <c r="BM19" s="44"/>
      <c r="BN19" s="44"/>
      <c r="BO19" s="44"/>
      <c r="BP19" s="64" t="s">
        <v>30</v>
      </c>
      <c r="BQ19" s="44"/>
      <c r="BR19" s="44"/>
      <c r="BS19" s="44"/>
      <c r="BT19" s="44"/>
      <c r="BU19" s="44"/>
      <c r="BV19" s="44"/>
      <c r="BW19" s="45"/>
      <c r="BX19" s="63" t="s">
        <v>30</v>
      </c>
      <c r="BY19" s="44"/>
      <c r="BZ19" s="44"/>
      <c r="CA19" s="44"/>
      <c r="CB19" s="44"/>
      <c r="CC19" s="44"/>
      <c r="CD19" s="44"/>
      <c r="CE19" s="44"/>
      <c r="CF19" s="64" t="s">
        <v>30</v>
      </c>
      <c r="CG19" s="44"/>
      <c r="CH19" s="44"/>
      <c r="CI19" s="44"/>
      <c r="CJ19" s="44"/>
      <c r="CK19" s="44"/>
      <c r="CL19" s="44"/>
      <c r="CM19" s="44"/>
      <c r="CN19" s="64" t="s">
        <v>30</v>
      </c>
      <c r="CO19" s="44"/>
      <c r="CP19" s="44"/>
      <c r="CQ19" s="44"/>
      <c r="CR19" s="44"/>
      <c r="CS19" s="44"/>
      <c r="CT19" s="44"/>
      <c r="CU19" s="45"/>
      <c r="CV19" s="63" t="s">
        <v>30</v>
      </c>
      <c r="CW19" s="44"/>
      <c r="CX19" s="44" t="s">
        <v>31</v>
      </c>
      <c r="CY19" s="44"/>
      <c r="CZ19" s="44"/>
      <c r="DA19" s="44"/>
      <c r="DB19" s="44"/>
      <c r="DC19" s="44"/>
      <c r="DD19" s="44" t="s">
        <v>31</v>
      </c>
      <c r="DE19" s="44"/>
      <c r="DF19" s="91" t="s">
        <v>103</v>
      </c>
      <c r="DG19" s="44"/>
      <c r="DH19" s="44"/>
      <c r="DI19" s="44"/>
      <c r="DJ19" s="44"/>
      <c r="DK19" s="44"/>
      <c r="DL19" s="91" t="s">
        <v>103</v>
      </c>
      <c r="DM19" s="44"/>
      <c r="DN19" s="44"/>
      <c r="DO19" s="44"/>
      <c r="DP19" s="44"/>
      <c r="DQ19" s="44"/>
      <c r="DR19" s="44"/>
      <c r="DS19" s="45"/>
      <c r="DT19" s="92" t="s">
        <v>103</v>
      </c>
      <c r="DU19" s="44"/>
      <c r="DV19" s="44"/>
      <c r="DW19" s="44"/>
      <c r="DX19" s="44"/>
      <c r="DY19" s="44"/>
      <c r="DZ19" s="44"/>
      <c r="EA19" s="44"/>
      <c r="EB19" s="91" t="s">
        <v>103</v>
      </c>
      <c r="EC19" s="44"/>
      <c r="ED19" s="44"/>
      <c r="EE19" s="44"/>
      <c r="EF19" s="44"/>
      <c r="EG19" s="44"/>
      <c r="EH19" s="44"/>
      <c r="EI19" s="44"/>
      <c r="EJ19" s="91" t="s">
        <v>103</v>
      </c>
      <c r="EK19" s="44"/>
      <c r="EL19" s="44"/>
      <c r="EM19" s="44"/>
      <c r="EN19" s="44"/>
      <c r="EO19" s="44"/>
      <c r="EP19" s="44"/>
      <c r="EQ19" s="45"/>
      <c r="ER19" s="92" t="s">
        <v>103</v>
      </c>
      <c r="ES19" s="44"/>
      <c r="ET19" s="44"/>
      <c r="EU19" s="44"/>
      <c r="EV19" s="44"/>
      <c r="EW19" s="44"/>
      <c r="EX19" s="44"/>
      <c r="EY19" s="44"/>
      <c r="EZ19" s="91" t="s">
        <v>103</v>
      </c>
      <c r="FA19" s="44"/>
      <c r="FB19" s="44"/>
      <c r="FC19" s="44"/>
      <c r="FD19" s="44"/>
      <c r="FE19" s="44"/>
      <c r="FF19" s="44"/>
      <c r="FG19" s="44"/>
      <c r="FH19" s="91" t="s">
        <v>103</v>
      </c>
      <c r="FI19" s="44"/>
      <c r="FJ19" s="44"/>
      <c r="FK19" s="44"/>
      <c r="FL19" s="44"/>
      <c r="FM19" s="44"/>
      <c r="FN19" s="44"/>
      <c r="FO19" s="45"/>
      <c r="FP19" s="36">
        <v>23264</v>
      </c>
      <c r="FQ19" s="37"/>
      <c r="FR19" s="37"/>
      <c r="FS19" s="37"/>
      <c r="FT19" s="37"/>
    </row>
    <row r="20" spans="1:176" s="3" customFormat="1" ht="109.95" customHeight="1" x14ac:dyDescent="0.35">
      <c r="A20" s="43" t="s">
        <v>25</v>
      </c>
      <c r="B20" s="44"/>
      <c r="C20" s="44"/>
      <c r="D20" s="43" t="s">
        <v>35</v>
      </c>
      <c r="E20" s="44"/>
      <c r="F20" s="44"/>
      <c r="G20" s="44"/>
      <c r="H20" s="44"/>
      <c r="I20" s="44"/>
      <c r="J20" s="44"/>
      <c r="K20" s="44"/>
      <c r="L20" s="44" t="s">
        <v>35</v>
      </c>
      <c r="M20" s="44"/>
      <c r="N20" s="44"/>
      <c r="O20" s="44"/>
      <c r="P20" s="44"/>
      <c r="Q20" s="44"/>
      <c r="R20" s="44"/>
      <c r="S20" s="44"/>
      <c r="T20" s="44" t="s">
        <v>35</v>
      </c>
      <c r="U20" s="44"/>
      <c r="V20" s="44"/>
      <c r="W20" s="44"/>
      <c r="X20" s="44"/>
      <c r="Y20" s="44"/>
      <c r="Z20" s="44"/>
      <c r="AA20" s="45"/>
      <c r="AB20" s="43" t="s">
        <v>35</v>
      </c>
      <c r="AC20" s="44"/>
      <c r="AD20" s="44"/>
      <c r="AE20" s="44"/>
      <c r="AF20" s="44"/>
      <c r="AG20" s="44"/>
      <c r="AH20" s="44"/>
      <c r="AI20" s="44"/>
      <c r="AJ20" s="48" t="s">
        <v>35</v>
      </c>
      <c r="AK20" s="56" t="s">
        <v>40</v>
      </c>
      <c r="AL20" s="44"/>
      <c r="AM20" s="44"/>
      <c r="AN20" s="44"/>
      <c r="AO20" s="44"/>
      <c r="AP20" s="44"/>
      <c r="AQ20" s="44"/>
      <c r="AR20" s="56" t="s">
        <v>40</v>
      </c>
      <c r="AS20" s="44" t="s">
        <v>33</v>
      </c>
      <c r="AT20" s="44"/>
      <c r="AU20" s="44"/>
      <c r="AV20" s="44"/>
      <c r="AW20" s="44"/>
      <c r="AX20" s="44"/>
      <c r="AY20" s="45"/>
      <c r="AZ20" s="43" t="s">
        <v>33</v>
      </c>
      <c r="BA20" s="44"/>
      <c r="BB20" s="44"/>
      <c r="BC20" s="44"/>
      <c r="BD20" s="44"/>
      <c r="BE20" s="44"/>
      <c r="BF20" s="44"/>
      <c r="BG20" s="44"/>
      <c r="BH20" s="44" t="s">
        <v>33</v>
      </c>
      <c r="BI20" s="44"/>
      <c r="BJ20" s="44"/>
      <c r="BK20" s="44"/>
      <c r="BL20" s="44"/>
      <c r="BM20" s="44"/>
      <c r="BN20" s="44"/>
      <c r="BO20" s="44"/>
      <c r="BP20" s="44" t="s">
        <v>33</v>
      </c>
      <c r="BQ20" s="44"/>
      <c r="BR20" s="44"/>
      <c r="BS20" s="44"/>
      <c r="BT20" s="44"/>
      <c r="BU20" s="44"/>
      <c r="BV20" s="44"/>
      <c r="BW20" s="45"/>
      <c r="BX20" s="43" t="s">
        <v>33</v>
      </c>
      <c r="BY20" s="44"/>
      <c r="BZ20" s="44"/>
      <c r="CA20" s="44"/>
      <c r="CB20" s="44"/>
      <c r="CC20" s="44"/>
      <c r="CD20" s="44"/>
      <c r="CE20" s="44"/>
      <c r="CF20" s="44" t="s">
        <v>33</v>
      </c>
      <c r="CG20" s="44"/>
      <c r="CH20" s="44"/>
      <c r="CI20" s="44"/>
      <c r="CJ20" s="44"/>
      <c r="CK20" s="44"/>
      <c r="CL20" s="44"/>
      <c r="CM20" s="44"/>
      <c r="CN20" s="44" t="s">
        <v>33</v>
      </c>
      <c r="CO20" s="44"/>
      <c r="CP20" s="44"/>
      <c r="CQ20" s="44"/>
      <c r="CR20" s="44"/>
      <c r="CS20" s="44"/>
      <c r="CT20" s="44"/>
      <c r="CU20" s="45"/>
      <c r="CV20" s="46" t="s">
        <v>33</v>
      </c>
      <c r="CW20" s="44"/>
      <c r="CX20" s="56" t="s">
        <v>48</v>
      </c>
      <c r="CY20" s="44"/>
      <c r="CZ20" s="44"/>
      <c r="DA20" s="44"/>
      <c r="DB20" s="44"/>
      <c r="DC20" s="44"/>
      <c r="DD20" s="56" t="s">
        <v>48</v>
      </c>
      <c r="DE20" s="44"/>
      <c r="DF20" s="44" t="s">
        <v>106</v>
      </c>
      <c r="DG20" s="44"/>
      <c r="DH20" s="44"/>
      <c r="DI20" s="44"/>
      <c r="DJ20" s="44"/>
      <c r="DK20" s="44"/>
      <c r="DL20" s="44" t="s">
        <v>106</v>
      </c>
      <c r="DM20" s="44"/>
      <c r="DN20" s="44"/>
      <c r="DO20" s="44"/>
      <c r="DP20" s="44"/>
      <c r="DQ20" s="44"/>
      <c r="DR20" s="44"/>
      <c r="DS20" s="45"/>
      <c r="DT20" s="43" t="s">
        <v>106</v>
      </c>
      <c r="DU20" s="44"/>
      <c r="DV20" s="44"/>
      <c r="DW20" s="44"/>
      <c r="DX20" s="44"/>
      <c r="DY20" s="44"/>
      <c r="DZ20" s="44"/>
      <c r="EA20" s="44"/>
      <c r="EB20" s="44" t="s">
        <v>106</v>
      </c>
      <c r="EC20" s="44"/>
      <c r="ED20" s="44"/>
      <c r="EE20" s="44"/>
      <c r="EF20" s="44"/>
      <c r="EG20" s="44"/>
      <c r="EH20" s="44"/>
      <c r="EI20" s="44"/>
      <c r="EJ20" s="44" t="s">
        <v>106</v>
      </c>
      <c r="EK20" s="44"/>
      <c r="EL20" s="44"/>
      <c r="EM20" s="44"/>
      <c r="EN20" s="44"/>
      <c r="EO20" s="44"/>
      <c r="EP20" s="44"/>
      <c r="EQ20" s="45"/>
      <c r="ER20" s="43" t="s">
        <v>106</v>
      </c>
      <c r="ES20" s="44"/>
      <c r="ET20" s="44"/>
      <c r="EU20" s="44"/>
      <c r="EV20" s="44"/>
      <c r="EW20" s="44"/>
      <c r="EX20" s="44"/>
      <c r="EY20" s="44"/>
      <c r="EZ20" s="44" t="s">
        <v>106</v>
      </c>
      <c r="FA20" s="44"/>
      <c r="FB20" s="44"/>
      <c r="FC20" s="44"/>
      <c r="FD20" s="44"/>
      <c r="FE20" s="44"/>
      <c r="FF20" s="44"/>
      <c r="FG20" s="44"/>
      <c r="FH20" s="44" t="s">
        <v>106</v>
      </c>
      <c r="FI20" s="44"/>
      <c r="FJ20" s="44"/>
      <c r="FK20" s="44"/>
      <c r="FL20" s="44"/>
      <c r="FM20" s="44"/>
      <c r="FN20" s="44"/>
      <c r="FO20" s="45"/>
      <c r="FP20" s="37"/>
      <c r="FQ20" s="37"/>
      <c r="FR20" s="37"/>
      <c r="FS20" s="37"/>
      <c r="FT20" s="37"/>
    </row>
    <row r="21" spans="1:176" s="3" customFormat="1" ht="60" customHeight="1" x14ac:dyDescent="0.35">
      <c r="A21" s="43" t="s">
        <v>27</v>
      </c>
      <c r="B21" s="44"/>
      <c r="C21" s="44"/>
      <c r="D21" s="43">
        <v>1407</v>
      </c>
      <c r="E21" s="44"/>
      <c r="F21" s="44"/>
      <c r="G21" s="44"/>
      <c r="H21" s="44"/>
      <c r="I21" s="44"/>
      <c r="J21" s="44"/>
      <c r="K21" s="44"/>
      <c r="L21" s="44">
        <v>1407</v>
      </c>
      <c r="M21" s="44"/>
      <c r="N21" s="44"/>
      <c r="O21" s="44"/>
      <c r="P21" s="44"/>
      <c r="Q21" s="44"/>
      <c r="R21" s="44"/>
      <c r="S21" s="44"/>
      <c r="T21" s="44">
        <v>1407</v>
      </c>
      <c r="U21" s="44"/>
      <c r="V21" s="44"/>
      <c r="W21" s="44"/>
      <c r="X21" s="44"/>
      <c r="Y21" s="44"/>
      <c r="Z21" s="44"/>
      <c r="AA21" s="45"/>
      <c r="AB21" s="43">
        <v>1407</v>
      </c>
      <c r="AC21" s="44"/>
      <c r="AD21" s="44"/>
      <c r="AE21" s="44"/>
      <c r="AF21" s="44"/>
      <c r="AG21" s="44"/>
      <c r="AH21" s="44"/>
      <c r="AI21" s="44"/>
      <c r="AJ21" s="48">
        <v>107</v>
      </c>
      <c r="AK21" s="44"/>
      <c r="AL21" s="44"/>
      <c r="AM21" s="44"/>
      <c r="AN21" s="44"/>
      <c r="AO21" s="44"/>
      <c r="AP21" s="44"/>
      <c r="AQ21" s="44"/>
      <c r="AR21" s="44"/>
      <c r="AS21" s="44">
        <v>1276</v>
      </c>
      <c r="AT21" s="44"/>
      <c r="AU21" s="44"/>
      <c r="AV21" s="44"/>
      <c r="AW21" s="44"/>
      <c r="AX21" s="44"/>
      <c r="AY21" s="45"/>
      <c r="AZ21" s="43">
        <v>1382</v>
      </c>
      <c r="BA21" s="44"/>
      <c r="BB21" s="44"/>
      <c r="BC21" s="44"/>
      <c r="BD21" s="44"/>
      <c r="BE21" s="44"/>
      <c r="BF21" s="44"/>
      <c r="BG21" s="44"/>
      <c r="BH21" s="44">
        <v>1382</v>
      </c>
      <c r="BI21" s="44"/>
      <c r="BJ21" s="44"/>
      <c r="BK21" s="44"/>
      <c r="BL21" s="44"/>
      <c r="BM21" s="44"/>
      <c r="BN21" s="44"/>
      <c r="BO21" s="44"/>
      <c r="BP21" s="44">
        <v>1382</v>
      </c>
      <c r="BQ21" s="44"/>
      <c r="BR21" s="44"/>
      <c r="BS21" s="44"/>
      <c r="BT21" s="44"/>
      <c r="BU21" s="44"/>
      <c r="BV21" s="44"/>
      <c r="BW21" s="45"/>
      <c r="BX21" s="43">
        <v>1382</v>
      </c>
      <c r="BY21" s="44"/>
      <c r="BZ21" s="44"/>
      <c r="CA21" s="44"/>
      <c r="CB21" s="44"/>
      <c r="CC21" s="44"/>
      <c r="CD21" s="44"/>
      <c r="CE21" s="44"/>
      <c r="CF21" s="44">
        <v>1382</v>
      </c>
      <c r="CG21" s="44"/>
      <c r="CH21" s="44"/>
      <c r="CI21" s="44"/>
      <c r="CJ21" s="44"/>
      <c r="CK21" s="44"/>
      <c r="CL21" s="44"/>
      <c r="CM21" s="44"/>
      <c r="CN21" s="44">
        <v>1382</v>
      </c>
      <c r="CO21" s="44"/>
      <c r="CP21" s="44"/>
      <c r="CQ21" s="44"/>
      <c r="CR21" s="44"/>
      <c r="CS21" s="44"/>
      <c r="CT21" s="44"/>
      <c r="CU21" s="45"/>
      <c r="CV21" s="46">
        <v>432</v>
      </c>
      <c r="CW21" s="44"/>
      <c r="CX21" s="44"/>
      <c r="CY21" s="44"/>
      <c r="CZ21" s="44"/>
      <c r="DA21" s="44"/>
      <c r="DB21" s="44"/>
      <c r="DC21" s="44"/>
      <c r="DD21" s="44"/>
      <c r="DE21" s="44"/>
      <c r="DF21" s="44">
        <v>675</v>
      </c>
      <c r="DG21" s="44"/>
      <c r="DH21" s="44"/>
      <c r="DI21" s="44"/>
      <c r="DJ21" s="44"/>
      <c r="DK21" s="44"/>
      <c r="DL21" s="44">
        <v>979</v>
      </c>
      <c r="DM21" s="44"/>
      <c r="DN21" s="44"/>
      <c r="DO21" s="44"/>
      <c r="DP21" s="44"/>
      <c r="DQ21" s="44"/>
      <c r="DR21" s="44"/>
      <c r="DS21" s="45"/>
      <c r="DT21" s="43">
        <v>979</v>
      </c>
      <c r="DU21" s="44"/>
      <c r="DV21" s="44"/>
      <c r="DW21" s="44"/>
      <c r="DX21" s="44"/>
      <c r="DY21" s="44"/>
      <c r="DZ21" s="44"/>
      <c r="EA21" s="44"/>
      <c r="EB21" s="44">
        <v>979</v>
      </c>
      <c r="EC21" s="44"/>
      <c r="ED21" s="44"/>
      <c r="EE21" s="44"/>
      <c r="EF21" s="44"/>
      <c r="EG21" s="44"/>
      <c r="EH21" s="44"/>
      <c r="EI21" s="44"/>
      <c r="EJ21" s="44">
        <v>979</v>
      </c>
      <c r="EK21" s="44"/>
      <c r="EL21" s="44"/>
      <c r="EM21" s="44"/>
      <c r="EN21" s="44"/>
      <c r="EO21" s="44"/>
      <c r="EP21" s="44"/>
      <c r="EQ21" s="45"/>
      <c r="ER21" s="43">
        <v>979</v>
      </c>
      <c r="ES21" s="44"/>
      <c r="ET21" s="44"/>
      <c r="EU21" s="44"/>
      <c r="EV21" s="44"/>
      <c r="EW21" s="44"/>
      <c r="EX21" s="44"/>
      <c r="EY21" s="44"/>
      <c r="EZ21" s="44">
        <v>979</v>
      </c>
      <c r="FA21" s="44"/>
      <c r="FB21" s="44"/>
      <c r="FC21" s="44"/>
      <c r="FD21" s="44"/>
      <c r="FE21" s="44"/>
      <c r="FF21" s="44"/>
      <c r="FG21" s="44"/>
      <c r="FH21" s="44">
        <v>980</v>
      </c>
      <c r="FI21" s="44"/>
      <c r="FJ21" s="44"/>
      <c r="FK21" s="44"/>
      <c r="FL21" s="44"/>
      <c r="FM21" s="44"/>
      <c r="FN21" s="44"/>
      <c r="FO21" s="45"/>
      <c r="FP21" s="37"/>
      <c r="FQ21" s="37"/>
      <c r="FR21" s="37"/>
      <c r="FS21" s="37"/>
      <c r="FT21" s="37"/>
    </row>
    <row r="22" spans="1:176" s="3" customFormat="1" ht="60" customHeight="1" x14ac:dyDescent="0.35">
      <c r="A22" s="43" t="s">
        <v>28</v>
      </c>
      <c r="B22" s="44"/>
      <c r="C22" s="44"/>
      <c r="D22" s="33">
        <v>4221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5"/>
      <c r="AB22" s="33">
        <v>2790</v>
      </c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5"/>
      <c r="AZ22" s="33">
        <v>4146</v>
      </c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5"/>
      <c r="BX22" s="33">
        <v>4146</v>
      </c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5"/>
      <c r="CV22" s="33">
        <v>2086</v>
      </c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5"/>
      <c r="DT22" s="33">
        <v>2937</v>
      </c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5"/>
      <c r="ER22" s="33">
        <v>2938</v>
      </c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5"/>
      <c r="FP22" s="37"/>
      <c r="FQ22" s="37"/>
      <c r="FR22" s="37"/>
      <c r="FS22" s="37"/>
      <c r="FT22" s="37"/>
    </row>
    <row r="23" spans="1:176" s="3" customFormat="1" ht="60" customHeight="1" x14ac:dyDescent="0.35">
      <c r="A23" s="43" t="s">
        <v>41</v>
      </c>
      <c r="B23" s="44"/>
      <c r="C23" s="44"/>
      <c r="D23" s="65" t="s">
        <v>110</v>
      </c>
      <c r="E23" s="44"/>
      <c r="F23" s="44"/>
      <c r="G23" s="44"/>
      <c r="H23" s="44"/>
      <c r="I23" s="44"/>
      <c r="J23" s="44"/>
      <c r="K23" s="44"/>
      <c r="L23" s="53" t="s">
        <v>110</v>
      </c>
      <c r="M23" s="44"/>
      <c r="N23" s="44"/>
      <c r="O23" s="44"/>
      <c r="P23" s="44"/>
      <c r="Q23" s="44"/>
      <c r="R23" s="44"/>
      <c r="S23" s="44"/>
      <c r="T23" s="53" t="s">
        <v>110</v>
      </c>
      <c r="U23" s="44"/>
      <c r="V23" s="44"/>
      <c r="W23" s="44"/>
      <c r="X23" s="44"/>
      <c r="Y23" s="44"/>
      <c r="Z23" s="44"/>
      <c r="AA23" s="45"/>
      <c r="AB23" s="65" t="s">
        <v>110</v>
      </c>
      <c r="AC23" s="44"/>
      <c r="AD23" s="44"/>
      <c r="AE23" s="44"/>
      <c r="AF23" s="44"/>
      <c r="AG23" s="44"/>
      <c r="AH23" s="44"/>
      <c r="AI23" s="44"/>
      <c r="AJ23" s="53" t="s">
        <v>110</v>
      </c>
      <c r="AK23" s="44"/>
      <c r="AL23" s="44"/>
      <c r="AM23" s="44"/>
      <c r="AN23" s="44"/>
      <c r="AO23" s="44"/>
      <c r="AP23" s="44"/>
      <c r="AQ23" s="44"/>
      <c r="AR23" s="53" t="s">
        <v>110</v>
      </c>
      <c r="AS23" s="44"/>
      <c r="AT23" s="44"/>
      <c r="AU23" s="44"/>
      <c r="AV23" s="44"/>
      <c r="AW23" s="44"/>
      <c r="AX23" s="44"/>
      <c r="AY23" s="45"/>
      <c r="AZ23" s="65" t="s">
        <v>110</v>
      </c>
      <c r="BA23" s="44"/>
      <c r="BB23" s="44"/>
      <c r="BC23" s="44"/>
      <c r="BD23" s="44"/>
      <c r="BE23" s="44"/>
      <c r="BF23" s="44"/>
      <c r="BG23" s="44"/>
      <c r="BH23" s="53" t="s">
        <v>110</v>
      </c>
      <c r="BI23" s="44"/>
      <c r="BJ23" s="44"/>
      <c r="BK23" s="44"/>
      <c r="BL23" s="44"/>
      <c r="BM23" s="44"/>
      <c r="BN23" s="44"/>
      <c r="BO23" s="44"/>
      <c r="BP23" s="53" t="s">
        <v>110</v>
      </c>
      <c r="BQ23" s="44"/>
      <c r="BR23" s="44"/>
      <c r="BS23" s="44"/>
      <c r="BT23" s="44"/>
      <c r="BU23" s="44"/>
      <c r="BV23" s="44"/>
      <c r="BW23" s="45"/>
      <c r="BX23" s="65" t="s">
        <v>110</v>
      </c>
      <c r="BY23" s="44"/>
      <c r="BZ23" s="44"/>
      <c r="CA23" s="44"/>
      <c r="CB23" s="44"/>
      <c r="CC23" s="44"/>
      <c r="CD23" s="44"/>
      <c r="CE23" s="44"/>
      <c r="CF23" s="44" t="s">
        <v>31</v>
      </c>
      <c r="CG23" s="44"/>
      <c r="CH23" s="44"/>
      <c r="CI23" s="44"/>
      <c r="CJ23" s="44"/>
      <c r="CK23" s="44"/>
      <c r="CL23" s="44" t="s">
        <v>31</v>
      </c>
      <c r="CM23" s="44"/>
      <c r="CN23" s="44" t="s">
        <v>31</v>
      </c>
      <c r="CO23" s="44"/>
      <c r="CP23" s="44"/>
      <c r="CQ23" s="44"/>
      <c r="CR23" s="44"/>
      <c r="CS23" s="44"/>
      <c r="CT23" s="44"/>
      <c r="CU23" s="45"/>
      <c r="CV23" s="97" t="s">
        <v>146</v>
      </c>
      <c r="CW23" s="44"/>
      <c r="CX23" s="44"/>
      <c r="CY23" s="44"/>
      <c r="CZ23" s="44"/>
      <c r="DA23" s="44"/>
      <c r="DB23" s="44"/>
      <c r="DC23" s="44"/>
      <c r="DD23" s="98" t="s">
        <v>146</v>
      </c>
      <c r="DE23" s="44"/>
      <c r="DF23" s="44"/>
      <c r="DG23" s="44"/>
      <c r="DH23" s="44"/>
      <c r="DI23" s="44"/>
      <c r="DJ23" s="44"/>
      <c r="DK23" s="44"/>
      <c r="DL23" s="98" t="s">
        <v>146</v>
      </c>
      <c r="DM23" s="44"/>
      <c r="DN23" s="44"/>
      <c r="DO23" s="44"/>
      <c r="DP23" s="44"/>
      <c r="DQ23" s="44"/>
      <c r="DR23" s="44"/>
      <c r="DS23" s="45"/>
      <c r="DT23" s="97" t="s">
        <v>146</v>
      </c>
      <c r="DU23" s="44"/>
      <c r="DV23" s="44"/>
      <c r="DW23" s="44"/>
      <c r="DX23" s="44"/>
      <c r="DY23" s="44"/>
      <c r="DZ23" s="44"/>
      <c r="EA23" s="44"/>
      <c r="EB23" s="98" t="s">
        <v>146</v>
      </c>
      <c r="EC23" s="44"/>
      <c r="ED23" s="44"/>
      <c r="EE23" s="44"/>
      <c r="EF23" s="44"/>
      <c r="EG23" s="44"/>
      <c r="EH23" s="44"/>
      <c r="EI23" s="44"/>
      <c r="EJ23" s="98" t="s">
        <v>146</v>
      </c>
      <c r="EK23" s="44"/>
      <c r="EL23" s="44"/>
      <c r="EM23" s="44"/>
      <c r="EN23" s="44"/>
      <c r="EO23" s="44"/>
      <c r="EP23" s="44"/>
      <c r="EQ23" s="45"/>
      <c r="ER23" s="97" t="s">
        <v>146</v>
      </c>
      <c r="ES23" s="44"/>
      <c r="ET23" s="44"/>
      <c r="EU23" s="44"/>
      <c r="EV23" s="44"/>
      <c r="EW23" s="44"/>
      <c r="EX23" s="44"/>
      <c r="EY23" s="44"/>
      <c r="EZ23" s="98" t="s">
        <v>146</v>
      </c>
      <c r="FA23" s="44"/>
      <c r="FB23" s="44"/>
      <c r="FC23" s="44"/>
      <c r="FD23" s="44"/>
      <c r="FE23" s="44"/>
      <c r="FF23" s="44"/>
      <c r="FG23" s="44"/>
      <c r="FH23" s="98" t="s">
        <v>146</v>
      </c>
      <c r="FI23" s="44"/>
      <c r="FJ23" s="44"/>
      <c r="FK23" s="44"/>
      <c r="FL23" s="44"/>
      <c r="FM23" s="44"/>
      <c r="FN23" s="44"/>
      <c r="FO23" s="45"/>
      <c r="FP23" s="36">
        <v>19283</v>
      </c>
      <c r="FQ23" s="37"/>
      <c r="FR23" s="37"/>
      <c r="FS23" s="37"/>
      <c r="FT23" s="37"/>
    </row>
    <row r="24" spans="1:176" s="3" customFormat="1" ht="109.95" customHeight="1" x14ac:dyDescent="0.35">
      <c r="A24" s="43" t="s">
        <v>25</v>
      </c>
      <c r="B24" s="44"/>
      <c r="C24" s="44"/>
      <c r="D24" s="43" t="s">
        <v>112</v>
      </c>
      <c r="E24" s="44"/>
      <c r="F24" s="44"/>
      <c r="G24" s="44"/>
      <c r="H24" s="44"/>
      <c r="I24" s="44"/>
      <c r="J24" s="44"/>
      <c r="K24" s="44"/>
      <c r="L24" s="44" t="s">
        <v>112</v>
      </c>
      <c r="M24" s="44"/>
      <c r="N24" s="44"/>
      <c r="O24" s="44"/>
      <c r="P24" s="44"/>
      <c r="Q24" s="44"/>
      <c r="R24" s="44"/>
      <c r="S24" s="44"/>
      <c r="T24" s="44" t="s">
        <v>112</v>
      </c>
      <c r="U24" s="44"/>
      <c r="V24" s="44"/>
      <c r="W24" s="44"/>
      <c r="X24" s="44"/>
      <c r="Y24" s="44"/>
      <c r="Z24" s="44"/>
      <c r="AA24" s="45"/>
      <c r="AB24" s="43" t="s">
        <v>112</v>
      </c>
      <c r="AC24" s="44"/>
      <c r="AD24" s="44"/>
      <c r="AE24" s="44"/>
      <c r="AF24" s="44"/>
      <c r="AG24" s="44"/>
      <c r="AH24" s="44"/>
      <c r="AI24" s="44"/>
      <c r="AJ24" s="44" t="s">
        <v>112</v>
      </c>
      <c r="AK24" s="44"/>
      <c r="AL24" s="44"/>
      <c r="AM24" s="44"/>
      <c r="AN24" s="44"/>
      <c r="AO24" s="44"/>
      <c r="AP24" s="44"/>
      <c r="AQ24" s="44"/>
      <c r="AR24" s="44" t="s">
        <v>112</v>
      </c>
      <c r="AS24" s="44"/>
      <c r="AT24" s="44"/>
      <c r="AU24" s="44"/>
      <c r="AV24" s="44"/>
      <c r="AW24" s="44"/>
      <c r="AX24" s="44"/>
      <c r="AY24" s="45"/>
      <c r="AZ24" s="43" t="s">
        <v>112</v>
      </c>
      <c r="BA24" s="44"/>
      <c r="BB24" s="44"/>
      <c r="BC24" s="44"/>
      <c r="BD24" s="44"/>
      <c r="BE24" s="44"/>
      <c r="BF24" s="44"/>
      <c r="BG24" s="44"/>
      <c r="BH24" s="44" t="s">
        <v>112</v>
      </c>
      <c r="BI24" s="44"/>
      <c r="BJ24" s="44"/>
      <c r="BK24" s="44"/>
      <c r="BL24" s="44"/>
      <c r="BM24" s="44"/>
      <c r="BN24" s="44"/>
      <c r="BO24" s="44"/>
      <c r="BP24" s="44" t="s">
        <v>112</v>
      </c>
      <c r="BQ24" s="44"/>
      <c r="BR24" s="44"/>
      <c r="BS24" s="44"/>
      <c r="BT24" s="44"/>
      <c r="BU24" s="44"/>
      <c r="BV24" s="44"/>
      <c r="BW24" s="45"/>
      <c r="BX24" s="43" t="s">
        <v>112</v>
      </c>
      <c r="BY24" s="44"/>
      <c r="BZ24" s="44"/>
      <c r="CA24" s="44"/>
      <c r="CB24" s="44"/>
      <c r="CC24" s="44"/>
      <c r="CD24" s="44"/>
      <c r="CE24" s="44"/>
      <c r="CF24" s="56" t="s">
        <v>48</v>
      </c>
      <c r="CG24" s="44"/>
      <c r="CH24" s="44"/>
      <c r="CI24" s="44"/>
      <c r="CJ24" s="44"/>
      <c r="CK24" s="44"/>
      <c r="CL24" s="56" t="s">
        <v>40</v>
      </c>
      <c r="CM24" s="44"/>
      <c r="CN24" s="56" t="s">
        <v>40</v>
      </c>
      <c r="CO24" s="44"/>
      <c r="CP24" s="44"/>
      <c r="CQ24" s="44"/>
      <c r="CR24" s="44"/>
      <c r="CS24" s="44"/>
      <c r="CT24" s="44"/>
      <c r="CU24" s="45"/>
      <c r="CV24" s="43" t="s">
        <v>45</v>
      </c>
      <c r="CW24" s="44"/>
      <c r="CX24" s="44"/>
      <c r="CY24" s="44"/>
      <c r="CZ24" s="44"/>
      <c r="DA24" s="44"/>
      <c r="DB24" s="44"/>
      <c r="DC24" s="44"/>
      <c r="DD24" s="44" t="s">
        <v>45</v>
      </c>
      <c r="DE24" s="44"/>
      <c r="DF24" s="44"/>
      <c r="DG24" s="44"/>
      <c r="DH24" s="44"/>
      <c r="DI24" s="44"/>
      <c r="DJ24" s="44"/>
      <c r="DK24" s="44"/>
      <c r="DL24" s="44" t="s">
        <v>45</v>
      </c>
      <c r="DM24" s="44"/>
      <c r="DN24" s="44"/>
      <c r="DO24" s="44"/>
      <c r="DP24" s="44"/>
      <c r="DQ24" s="44"/>
      <c r="DR24" s="44"/>
      <c r="DS24" s="45"/>
      <c r="DT24" s="43" t="s">
        <v>45</v>
      </c>
      <c r="DU24" s="44"/>
      <c r="DV24" s="44"/>
      <c r="DW24" s="44"/>
      <c r="DX24" s="44"/>
      <c r="DY24" s="44"/>
      <c r="DZ24" s="44"/>
      <c r="EA24" s="44"/>
      <c r="EB24" s="44" t="s">
        <v>45</v>
      </c>
      <c r="EC24" s="44"/>
      <c r="ED24" s="44"/>
      <c r="EE24" s="44"/>
      <c r="EF24" s="44"/>
      <c r="EG24" s="44"/>
      <c r="EH24" s="44"/>
      <c r="EI24" s="44"/>
      <c r="EJ24" s="44" t="s">
        <v>45</v>
      </c>
      <c r="EK24" s="44"/>
      <c r="EL24" s="44"/>
      <c r="EM24" s="44"/>
      <c r="EN24" s="44"/>
      <c r="EO24" s="44"/>
      <c r="EP24" s="44"/>
      <c r="EQ24" s="45"/>
      <c r="ER24" s="43" t="s">
        <v>45</v>
      </c>
      <c r="ES24" s="44"/>
      <c r="ET24" s="44"/>
      <c r="EU24" s="44"/>
      <c r="EV24" s="44"/>
      <c r="EW24" s="44"/>
      <c r="EX24" s="44"/>
      <c r="EY24" s="44"/>
      <c r="EZ24" s="44" t="s">
        <v>45</v>
      </c>
      <c r="FA24" s="44"/>
      <c r="FB24" s="44"/>
      <c r="FC24" s="44"/>
      <c r="FD24" s="44"/>
      <c r="FE24" s="44"/>
      <c r="FF24" s="44"/>
      <c r="FG24" s="44"/>
      <c r="FH24" s="44" t="s">
        <v>45</v>
      </c>
      <c r="FI24" s="44"/>
      <c r="FJ24" s="44"/>
      <c r="FK24" s="44"/>
      <c r="FL24" s="44"/>
      <c r="FM24" s="44"/>
      <c r="FN24" s="44"/>
      <c r="FO24" s="45"/>
      <c r="FP24" s="37"/>
      <c r="FQ24" s="37"/>
      <c r="FR24" s="37"/>
      <c r="FS24" s="37"/>
      <c r="FT24" s="37"/>
    </row>
    <row r="25" spans="1:176" s="3" customFormat="1" ht="60" customHeight="1" x14ac:dyDescent="0.35">
      <c r="A25" s="43" t="s">
        <v>27</v>
      </c>
      <c r="B25" s="44"/>
      <c r="C25" s="44"/>
      <c r="D25" s="43">
        <v>933</v>
      </c>
      <c r="E25" s="44"/>
      <c r="F25" s="44"/>
      <c r="G25" s="44"/>
      <c r="H25" s="44"/>
      <c r="I25" s="44"/>
      <c r="J25" s="44"/>
      <c r="K25" s="44"/>
      <c r="L25" s="44">
        <v>933</v>
      </c>
      <c r="M25" s="44"/>
      <c r="N25" s="44"/>
      <c r="O25" s="44"/>
      <c r="P25" s="44"/>
      <c r="Q25" s="44"/>
      <c r="R25" s="44"/>
      <c r="S25" s="44"/>
      <c r="T25" s="44">
        <v>933</v>
      </c>
      <c r="U25" s="44"/>
      <c r="V25" s="44"/>
      <c r="W25" s="44"/>
      <c r="X25" s="44"/>
      <c r="Y25" s="44"/>
      <c r="Z25" s="44"/>
      <c r="AA25" s="45"/>
      <c r="AB25" s="43">
        <v>933</v>
      </c>
      <c r="AC25" s="44"/>
      <c r="AD25" s="44"/>
      <c r="AE25" s="44"/>
      <c r="AF25" s="44"/>
      <c r="AG25" s="44"/>
      <c r="AH25" s="44"/>
      <c r="AI25" s="44"/>
      <c r="AJ25" s="44">
        <v>933</v>
      </c>
      <c r="AK25" s="44"/>
      <c r="AL25" s="44"/>
      <c r="AM25" s="44"/>
      <c r="AN25" s="44"/>
      <c r="AO25" s="44"/>
      <c r="AP25" s="44"/>
      <c r="AQ25" s="44"/>
      <c r="AR25" s="44">
        <v>933</v>
      </c>
      <c r="AS25" s="44"/>
      <c r="AT25" s="44"/>
      <c r="AU25" s="44"/>
      <c r="AV25" s="44"/>
      <c r="AW25" s="44"/>
      <c r="AX25" s="44"/>
      <c r="AY25" s="45"/>
      <c r="AZ25" s="43">
        <v>933</v>
      </c>
      <c r="BA25" s="44"/>
      <c r="BB25" s="44"/>
      <c r="BC25" s="44"/>
      <c r="BD25" s="44"/>
      <c r="BE25" s="44"/>
      <c r="BF25" s="44"/>
      <c r="BG25" s="44"/>
      <c r="BH25" s="44">
        <v>933</v>
      </c>
      <c r="BI25" s="44"/>
      <c r="BJ25" s="44"/>
      <c r="BK25" s="44"/>
      <c r="BL25" s="44"/>
      <c r="BM25" s="44"/>
      <c r="BN25" s="44"/>
      <c r="BO25" s="44"/>
      <c r="BP25" s="44">
        <v>933</v>
      </c>
      <c r="BQ25" s="44"/>
      <c r="BR25" s="44"/>
      <c r="BS25" s="44"/>
      <c r="BT25" s="44"/>
      <c r="BU25" s="44"/>
      <c r="BV25" s="44"/>
      <c r="BW25" s="45"/>
      <c r="BX25" s="43">
        <v>886</v>
      </c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5"/>
      <c r="CV25" s="43">
        <v>1171</v>
      </c>
      <c r="CW25" s="44"/>
      <c r="CX25" s="44"/>
      <c r="CY25" s="44"/>
      <c r="CZ25" s="44"/>
      <c r="DA25" s="44"/>
      <c r="DB25" s="44"/>
      <c r="DC25" s="44"/>
      <c r="DD25" s="44">
        <v>1109</v>
      </c>
      <c r="DE25" s="44"/>
      <c r="DF25" s="44"/>
      <c r="DG25" s="44"/>
      <c r="DH25" s="44"/>
      <c r="DI25" s="44"/>
      <c r="DJ25" s="44"/>
      <c r="DK25" s="44"/>
      <c r="DL25" s="44">
        <v>1109</v>
      </c>
      <c r="DM25" s="44"/>
      <c r="DN25" s="44"/>
      <c r="DO25" s="44"/>
      <c r="DP25" s="44"/>
      <c r="DQ25" s="44"/>
      <c r="DR25" s="44"/>
      <c r="DS25" s="45"/>
      <c r="DT25" s="43">
        <v>1109</v>
      </c>
      <c r="DU25" s="44"/>
      <c r="DV25" s="44"/>
      <c r="DW25" s="44"/>
      <c r="DX25" s="44"/>
      <c r="DY25" s="44"/>
      <c r="DZ25" s="44"/>
      <c r="EA25" s="44"/>
      <c r="EB25" s="44">
        <v>1109</v>
      </c>
      <c r="EC25" s="44"/>
      <c r="ED25" s="44"/>
      <c r="EE25" s="44"/>
      <c r="EF25" s="44"/>
      <c r="EG25" s="44"/>
      <c r="EH25" s="44"/>
      <c r="EI25" s="44"/>
      <c r="EJ25" s="44">
        <v>1109</v>
      </c>
      <c r="EK25" s="44"/>
      <c r="EL25" s="44"/>
      <c r="EM25" s="44"/>
      <c r="EN25" s="44"/>
      <c r="EO25" s="44"/>
      <c r="EP25" s="44"/>
      <c r="EQ25" s="45"/>
      <c r="ER25" s="43">
        <v>1109</v>
      </c>
      <c r="ES25" s="44"/>
      <c r="ET25" s="44"/>
      <c r="EU25" s="44"/>
      <c r="EV25" s="44"/>
      <c r="EW25" s="44"/>
      <c r="EX25" s="44"/>
      <c r="EY25" s="44"/>
      <c r="EZ25" s="44">
        <v>1109</v>
      </c>
      <c r="FA25" s="44"/>
      <c r="FB25" s="44"/>
      <c r="FC25" s="44"/>
      <c r="FD25" s="44"/>
      <c r="FE25" s="44"/>
      <c r="FF25" s="44"/>
      <c r="FG25" s="44"/>
      <c r="FH25" s="44">
        <v>1066</v>
      </c>
      <c r="FI25" s="44"/>
      <c r="FJ25" s="44"/>
      <c r="FK25" s="44"/>
      <c r="FL25" s="44"/>
      <c r="FM25" s="44"/>
      <c r="FN25" s="44"/>
      <c r="FO25" s="45"/>
      <c r="FP25" s="37"/>
      <c r="FQ25" s="37"/>
      <c r="FR25" s="37"/>
      <c r="FS25" s="37"/>
      <c r="FT25" s="37"/>
    </row>
    <row r="26" spans="1:176" s="3" customFormat="1" ht="60" customHeight="1" x14ac:dyDescent="0.35">
      <c r="A26" s="43" t="s">
        <v>28</v>
      </c>
      <c r="B26" s="44"/>
      <c r="C26" s="44"/>
      <c r="D26" s="33">
        <v>2799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  <c r="AB26" s="33">
        <v>2799</v>
      </c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5"/>
      <c r="AZ26" s="33">
        <v>2799</v>
      </c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5"/>
      <c r="BX26" s="33">
        <v>886</v>
      </c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5"/>
      <c r="CV26" s="33">
        <v>3389</v>
      </c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5"/>
      <c r="DT26" s="33">
        <v>3327</v>
      </c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5"/>
      <c r="ER26" s="33">
        <v>3284</v>
      </c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5"/>
      <c r="FP26" s="37"/>
      <c r="FQ26" s="37"/>
      <c r="FR26" s="37"/>
      <c r="FS26" s="37"/>
      <c r="FT26" s="37"/>
    </row>
    <row r="27" spans="1:176" s="3" customFormat="1" ht="60" customHeight="1" x14ac:dyDescent="0.35">
      <c r="A27" s="43" t="s">
        <v>50</v>
      </c>
      <c r="B27" s="44"/>
      <c r="C27" s="44"/>
      <c r="D27" s="43"/>
      <c r="E27" s="44"/>
      <c r="F27" s="44"/>
      <c r="G27" s="44"/>
      <c r="H27" s="44"/>
      <c r="I27" s="44"/>
      <c r="J27" s="44"/>
      <c r="K27" s="44"/>
      <c r="L27" s="44"/>
      <c r="M27" s="44"/>
      <c r="N27" s="44" t="s">
        <v>31</v>
      </c>
      <c r="O27" s="58" t="s">
        <v>113</v>
      </c>
      <c r="P27" s="44"/>
      <c r="Q27" s="44"/>
      <c r="R27" s="44"/>
      <c r="S27" s="44"/>
      <c r="T27" s="58" t="s">
        <v>113</v>
      </c>
      <c r="U27" s="44"/>
      <c r="V27" s="44"/>
      <c r="W27" s="44"/>
      <c r="X27" s="44"/>
      <c r="Y27" s="44"/>
      <c r="Z27" s="44"/>
      <c r="AA27" s="45"/>
      <c r="AB27" s="43"/>
      <c r="AC27" s="44"/>
      <c r="AD27" s="44"/>
      <c r="AE27" s="44"/>
      <c r="AF27" s="44"/>
      <c r="AG27" s="44"/>
      <c r="AH27" s="44"/>
      <c r="AI27" s="44"/>
      <c r="AJ27" s="44"/>
      <c r="AK27" s="44"/>
      <c r="AL27" s="44" t="s">
        <v>31</v>
      </c>
      <c r="AM27" s="53" t="s">
        <v>51</v>
      </c>
      <c r="AN27" s="44"/>
      <c r="AO27" s="44"/>
      <c r="AP27" s="44"/>
      <c r="AQ27" s="44"/>
      <c r="AR27" s="53" t="s">
        <v>51</v>
      </c>
      <c r="AS27" s="44"/>
      <c r="AT27" s="44"/>
      <c r="AU27" s="44"/>
      <c r="AV27" s="44"/>
      <c r="AW27" s="44"/>
      <c r="AX27" s="44"/>
      <c r="AY27" s="45"/>
      <c r="AZ27" s="43"/>
      <c r="BA27" s="44"/>
      <c r="BB27" s="44"/>
      <c r="BC27" s="44"/>
      <c r="BD27" s="44"/>
      <c r="BE27" s="44"/>
      <c r="BF27" s="44"/>
      <c r="BG27" s="44"/>
      <c r="BH27" s="44"/>
      <c r="BI27" s="44"/>
      <c r="BJ27" s="44" t="s">
        <v>31</v>
      </c>
      <c r="BK27" s="53" t="s">
        <v>51</v>
      </c>
      <c r="BL27" s="44"/>
      <c r="BM27" s="44"/>
      <c r="BN27" s="44"/>
      <c r="BO27" s="44"/>
      <c r="BP27" s="53" t="s">
        <v>51</v>
      </c>
      <c r="BQ27" s="44"/>
      <c r="BR27" s="44"/>
      <c r="BS27" s="44"/>
      <c r="BT27" s="44"/>
      <c r="BU27" s="44"/>
      <c r="BV27" s="44"/>
      <c r="BW27" s="45"/>
      <c r="BX27" s="43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5"/>
      <c r="CV27" s="43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5"/>
      <c r="DT27" s="43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5"/>
      <c r="ER27" s="43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  <c r="FI27" s="44"/>
      <c r="FJ27" s="44"/>
      <c r="FK27" s="44"/>
      <c r="FL27" s="44"/>
      <c r="FM27" s="44"/>
      <c r="FN27" s="44"/>
      <c r="FO27" s="45"/>
      <c r="FP27" s="36">
        <v>5000</v>
      </c>
      <c r="FQ27" s="37"/>
      <c r="FR27" s="37"/>
      <c r="FS27" s="37"/>
      <c r="FT27" s="37"/>
    </row>
    <row r="28" spans="1:176" s="3" customFormat="1" ht="109.95" customHeight="1" x14ac:dyDescent="0.35">
      <c r="A28" s="43" t="s">
        <v>25</v>
      </c>
      <c r="B28" s="44"/>
      <c r="C28" s="44"/>
      <c r="D28" s="43"/>
      <c r="E28" s="44"/>
      <c r="F28" s="44"/>
      <c r="G28" s="44"/>
      <c r="H28" s="44"/>
      <c r="I28" s="44"/>
      <c r="J28" s="44"/>
      <c r="K28" s="44"/>
      <c r="L28" s="48"/>
      <c r="M28" s="44"/>
      <c r="N28" s="49" t="s">
        <v>46</v>
      </c>
      <c r="O28" s="48" t="s">
        <v>52</v>
      </c>
      <c r="P28" s="44"/>
      <c r="Q28" s="44"/>
      <c r="R28" s="44"/>
      <c r="S28" s="44"/>
      <c r="T28" s="44" t="s">
        <v>52</v>
      </c>
      <c r="U28" s="44"/>
      <c r="V28" s="44"/>
      <c r="W28" s="44"/>
      <c r="X28" s="44"/>
      <c r="Y28" s="44"/>
      <c r="Z28" s="48"/>
      <c r="AA28" s="45"/>
      <c r="AB28" s="43"/>
      <c r="AC28" s="44"/>
      <c r="AD28" s="44"/>
      <c r="AE28" s="44"/>
      <c r="AF28" s="44"/>
      <c r="AG28" s="44"/>
      <c r="AH28" s="44"/>
      <c r="AI28" s="44"/>
      <c r="AJ28" s="48"/>
      <c r="AK28" s="44"/>
      <c r="AL28" s="49" t="s">
        <v>46</v>
      </c>
      <c r="AM28" s="48" t="s">
        <v>52</v>
      </c>
      <c r="AN28" s="44"/>
      <c r="AO28" s="44"/>
      <c r="AP28" s="44"/>
      <c r="AQ28" s="44"/>
      <c r="AR28" s="44" t="s">
        <v>52</v>
      </c>
      <c r="AS28" s="44"/>
      <c r="AT28" s="44"/>
      <c r="AU28" s="44"/>
      <c r="AV28" s="44"/>
      <c r="AW28" s="44"/>
      <c r="AX28" s="48"/>
      <c r="AY28" s="45"/>
      <c r="AZ28" s="43"/>
      <c r="BA28" s="44"/>
      <c r="BB28" s="44"/>
      <c r="BC28" s="44"/>
      <c r="BD28" s="44"/>
      <c r="BE28" s="44"/>
      <c r="BF28" s="44"/>
      <c r="BG28" s="44"/>
      <c r="BH28" s="48"/>
      <c r="BI28" s="44"/>
      <c r="BJ28" s="49" t="s">
        <v>46</v>
      </c>
      <c r="BK28" s="48" t="s">
        <v>52</v>
      </c>
      <c r="BL28" s="44"/>
      <c r="BM28" s="44"/>
      <c r="BN28" s="44"/>
      <c r="BO28" s="44"/>
      <c r="BP28" s="44" t="s">
        <v>52</v>
      </c>
      <c r="BQ28" s="44"/>
      <c r="BR28" s="44"/>
      <c r="BS28" s="44"/>
      <c r="BT28" s="44"/>
      <c r="BU28" s="44"/>
      <c r="BV28" s="44"/>
      <c r="BW28" s="45"/>
      <c r="BX28" s="43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5"/>
      <c r="CV28" s="43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5"/>
      <c r="DT28" s="43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5"/>
      <c r="ER28" s="43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  <c r="FK28" s="44"/>
      <c r="FL28" s="44"/>
      <c r="FM28" s="44"/>
      <c r="FN28" s="44"/>
      <c r="FO28" s="45"/>
      <c r="FP28" s="37"/>
      <c r="FQ28" s="37"/>
      <c r="FR28" s="37"/>
      <c r="FS28" s="37"/>
      <c r="FT28" s="37"/>
    </row>
    <row r="29" spans="1:176" s="3" customFormat="1" ht="60" customHeight="1" x14ac:dyDescent="0.35">
      <c r="A29" s="43" t="s">
        <v>27</v>
      </c>
      <c r="B29" s="44"/>
      <c r="C29" s="44"/>
      <c r="D29" s="43"/>
      <c r="E29" s="44"/>
      <c r="F29" s="44"/>
      <c r="G29" s="44"/>
      <c r="H29" s="44"/>
      <c r="I29" s="44"/>
      <c r="J29" s="44"/>
      <c r="K29" s="44"/>
      <c r="L29" s="48"/>
      <c r="M29" s="44"/>
      <c r="N29" s="48"/>
      <c r="O29" s="48">
        <v>697</v>
      </c>
      <c r="P29" s="44"/>
      <c r="Q29" s="44"/>
      <c r="R29" s="44"/>
      <c r="S29" s="44"/>
      <c r="T29" s="44">
        <v>903</v>
      </c>
      <c r="U29" s="44"/>
      <c r="V29" s="44"/>
      <c r="W29" s="44"/>
      <c r="X29" s="44"/>
      <c r="Y29" s="44"/>
      <c r="Z29" s="48"/>
      <c r="AA29" s="45"/>
      <c r="AB29" s="43"/>
      <c r="AC29" s="44"/>
      <c r="AD29" s="44"/>
      <c r="AE29" s="44"/>
      <c r="AF29" s="44"/>
      <c r="AG29" s="44"/>
      <c r="AH29" s="44"/>
      <c r="AI29" s="44"/>
      <c r="AJ29" s="48"/>
      <c r="AK29" s="44"/>
      <c r="AL29" s="48"/>
      <c r="AM29" s="48">
        <v>697</v>
      </c>
      <c r="AN29" s="44"/>
      <c r="AO29" s="44"/>
      <c r="AP29" s="44"/>
      <c r="AQ29" s="44"/>
      <c r="AR29" s="44">
        <v>903</v>
      </c>
      <c r="AS29" s="44"/>
      <c r="AT29" s="44"/>
      <c r="AU29" s="44"/>
      <c r="AV29" s="44"/>
      <c r="AW29" s="44"/>
      <c r="AX29" s="48"/>
      <c r="AY29" s="45"/>
      <c r="AZ29" s="43"/>
      <c r="BA29" s="44"/>
      <c r="BB29" s="44"/>
      <c r="BC29" s="44"/>
      <c r="BD29" s="44"/>
      <c r="BE29" s="44"/>
      <c r="BF29" s="44"/>
      <c r="BG29" s="44"/>
      <c r="BH29" s="48"/>
      <c r="BI29" s="44"/>
      <c r="BJ29" s="48"/>
      <c r="BK29" s="48">
        <v>697</v>
      </c>
      <c r="BL29" s="44"/>
      <c r="BM29" s="44"/>
      <c r="BN29" s="44"/>
      <c r="BO29" s="44"/>
      <c r="BP29" s="44">
        <v>1103</v>
      </c>
      <c r="BQ29" s="44"/>
      <c r="BR29" s="44"/>
      <c r="BS29" s="44"/>
      <c r="BT29" s="44"/>
      <c r="BU29" s="44"/>
      <c r="BV29" s="44"/>
      <c r="BW29" s="45"/>
      <c r="BX29" s="43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5"/>
      <c r="CV29" s="43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5"/>
      <c r="DT29" s="43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5"/>
      <c r="ER29" s="43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  <c r="FI29" s="44"/>
      <c r="FJ29" s="44"/>
      <c r="FK29" s="44"/>
      <c r="FL29" s="44"/>
      <c r="FM29" s="44"/>
      <c r="FN29" s="44"/>
      <c r="FO29" s="45"/>
      <c r="FP29" s="37"/>
      <c r="FQ29" s="37"/>
      <c r="FR29" s="37"/>
      <c r="FS29" s="37"/>
      <c r="FT29" s="37"/>
    </row>
    <row r="30" spans="1:176" s="3" customFormat="1" ht="60" customHeight="1" x14ac:dyDescent="0.35">
      <c r="A30" s="43" t="s">
        <v>28</v>
      </c>
      <c r="B30" s="44"/>
      <c r="C30" s="44"/>
      <c r="D30" s="33">
        <v>1600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5"/>
      <c r="AB30" s="33">
        <v>1600</v>
      </c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5"/>
      <c r="AZ30" s="33">
        <v>1800</v>
      </c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5"/>
      <c r="BX30" s="33">
        <v>0</v>
      </c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5"/>
      <c r="CV30" s="33">
        <v>0</v>
      </c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5"/>
      <c r="DT30" s="33">
        <v>0</v>
      </c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  <c r="EM30" s="34"/>
      <c r="EN30" s="34"/>
      <c r="EO30" s="34"/>
      <c r="EP30" s="34"/>
      <c r="EQ30" s="35"/>
      <c r="ER30" s="33">
        <v>0</v>
      </c>
      <c r="ES30" s="34"/>
      <c r="ET30" s="34"/>
      <c r="EU30" s="34"/>
      <c r="EV30" s="34"/>
      <c r="EW30" s="34"/>
      <c r="EX30" s="34"/>
      <c r="EY30" s="34"/>
      <c r="EZ30" s="34"/>
      <c r="FA30" s="34"/>
      <c r="FB30" s="34"/>
      <c r="FC30" s="34"/>
      <c r="FD30" s="34"/>
      <c r="FE30" s="34"/>
      <c r="FF30" s="34"/>
      <c r="FG30" s="34"/>
      <c r="FH30" s="34"/>
      <c r="FI30" s="34"/>
      <c r="FJ30" s="34"/>
      <c r="FK30" s="34"/>
      <c r="FL30" s="34"/>
      <c r="FM30" s="34"/>
      <c r="FN30" s="34"/>
      <c r="FO30" s="35"/>
      <c r="FP30" s="37"/>
      <c r="FQ30" s="37"/>
      <c r="FR30" s="37"/>
      <c r="FS30" s="37"/>
      <c r="FT30" s="37"/>
    </row>
    <row r="31" spans="1:176" s="3" customFormat="1" ht="60" customHeight="1" x14ac:dyDescent="0.35">
      <c r="A31" s="43" t="s">
        <v>53</v>
      </c>
      <c r="B31" s="44"/>
      <c r="C31" s="44"/>
      <c r="D31" s="43"/>
      <c r="E31" s="44"/>
      <c r="F31" s="44"/>
      <c r="G31" s="44"/>
      <c r="H31" s="44"/>
      <c r="I31" s="44"/>
      <c r="J31" s="44"/>
      <c r="K31" s="44"/>
      <c r="L31" s="44" t="s">
        <v>31</v>
      </c>
      <c r="M31" s="52" t="s">
        <v>54</v>
      </c>
      <c r="N31" s="44"/>
      <c r="O31" s="44"/>
      <c r="P31" s="44"/>
      <c r="Q31" s="44"/>
      <c r="R31" s="44"/>
      <c r="S31" s="44"/>
      <c r="T31" s="52" t="s">
        <v>54</v>
      </c>
      <c r="U31" s="44"/>
      <c r="V31" s="44"/>
      <c r="W31" s="44"/>
      <c r="X31" s="44"/>
      <c r="Y31" s="44"/>
      <c r="Z31" s="44"/>
      <c r="AA31" s="45"/>
      <c r="AB31" s="51" t="s">
        <v>54</v>
      </c>
      <c r="AC31" s="44"/>
      <c r="AD31" s="44" t="s">
        <v>31</v>
      </c>
      <c r="AE31" s="89" t="s">
        <v>114</v>
      </c>
      <c r="AF31" s="44"/>
      <c r="AG31" s="44"/>
      <c r="AH31" s="44"/>
      <c r="AI31" s="44"/>
      <c r="AJ31" s="89" t="s">
        <v>114</v>
      </c>
      <c r="AK31" s="44"/>
      <c r="AL31" s="44"/>
      <c r="AM31" s="44"/>
      <c r="AN31" s="44"/>
      <c r="AO31" s="44"/>
      <c r="AP31" s="44" t="s">
        <v>31</v>
      </c>
      <c r="AQ31" s="44"/>
      <c r="AR31" s="89" t="s">
        <v>147</v>
      </c>
      <c r="AS31" s="44"/>
      <c r="AT31" s="44"/>
      <c r="AU31" s="44"/>
      <c r="AV31" s="44" t="s">
        <v>31</v>
      </c>
      <c r="AW31" s="44"/>
      <c r="AX31" s="52" t="s">
        <v>54</v>
      </c>
      <c r="AY31" s="45"/>
      <c r="AZ31" s="51" t="s">
        <v>54</v>
      </c>
      <c r="BA31" s="44"/>
      <c r="BB31" s="44"/>
      <c r="BC31" s="44"/>
      <c r="BD31" s="44"/>
      <c r="BE31" s="44"/>
      <c r="BF31" s="44"/>
      <c r="BG31" s="44"/>
      <c r="BH31" s="52" t="s">
        <v>54</v>
      </c>
      <c r="BI31" s="44"/>
      <c r="BJ31" s="44"/>
      <c r="BK31" s="44"/>
      <c r="BL31" s="44"/>
      <c r="BM31" s="44"/>
      <c r="BN31" s="44"/>
      <c r="BO31" s="44"/>
      <c r="BP31" s="52" t="s">
        <v>54</v>
      </c>
      <c r="BQ31" s="44"/>
      <c r="BR31" s="44"/>
      <c r="BS31" s="44"/>
      <c r="BT31" s="44"/>
      <c r="BU31" s="44"/>
      <c r="BV31" s="44"/>
      <c r="BW31" s="45"/>
      <c r="BX31" s="51" t="s">
        <v>54</v>
      </c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5"/>
      <c r="CV31" s="43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5"/>
      <c r="DT31" s="43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4"/>
      <c r="EH31" s="44"/>
      <c r="EI31" s="44"/>
      <c r="EJ31" s="44"/>
      <c r="EK31" s="44"/>
      <c r="EL31" s="44"/>
      <c r="EM31" s="44"/>
      <c r="EN31" s="44"/>
      <c r="EO31" s="44"/>
      <c r="EP31" s="44"/>
      <c r="EQ31" s="45"/>
      <c r="ER31" s="43"/>
      <c r="ES31" s="44"/>
      <c r="ET31" s="44"/>
      <c r="EU31" s="44"/>
      <c r="EV31" s="44"/>
      <c r="EW31" s="44"/>
      <c r="EX31" s="44"/>
      <c r="EY31" s="44"/>
      <c r="EZ31" s="44"/>
      <c r="FA31" s="44"/>
      <c r="FB31" s="44"/>
      <c r="FC31" s="44"/>
      <c r="FD31" s="44"/>
      <c r="FE31" s="44"/>
      <c r="FF31" s="44"/>
      <c r="FG31" s="44"/>
      <c r="FH31" s="44"/>
      <c r="FI31" s="44"/>
      <c r="FJ31" s="44"/>
      <c r="FK31" s="44"/>
      <c r="FL31" s="44"/>
      <c r="FM31" s="44"/>
      <c r="FN31" s="44"/>
      <c r="FO31" s="45"/>
      <c r="FP31" s="36">
        <v>10800</v>
      </c>
      <c r="FQ31" s="37"/>
      <c r="FR31" s="37"/>
      <c r="FS31" s="37"/>
      <c r="FT31" s="37"/>
    </row>
    <row r="32" spans="1:176" s="3" customFormat="1" ht="109.95" customHeight="1" x14ac:dyDescent="0.35">
      <c r="A32" s="43" t="s">
        <v>25</v>
      </c>
      <c r="B32" s="44"/>
      <c r="C32" s="44"/>
      <c r="D32" s="43"/>
      <c r="E32" s="44"/>
      <c r="F32" s="44"/>
      <c r="G32" s="44"/>
      <c r="H32" s="44"/>
      <c r="I32" s="44"/>
      <c r="J32" s="44"/>
      <c r="K32" s="44"/>
      <c r="L32" s="49" t="s">
        <v>46</v>
      </c>
      <c r="M32" s="44" t="s">
        <v>56</v>
      </c>
      <c r="N32" s="44"/>
      <c r="O32" s="44"/>
      <c r="P32" s="44"/>
      <c r="Q32" s="44"/>
      <c r="R32" s="44"/>
      <c r="S32" s="44"/>
      <c r="T32" s="44" t="s">
        <v>56</v>
      </c>
      <c r="U32" s="44"/>
      <c r="V32" s="44"/>
      <c r="W32" s="44"/>
      <c r="X32" s="44"/>
      <c r="Y32" s="44"/>
      <c r="Z32" s="44"/>
      <c r="AA32" s="45"/>
      <c r="AB32" s="46" t="s">
        <v>56</v>
      </c>
      <c r="AC32" s="44"/>
      <c r="AD32" s="49" t="s">
        <v>34</v>
      </c>
      <c r="AE32" s="48" t="s">
        <v>56</v>
      </c>
      <c r="AF32" s="44"/>
      <c r="AG32" s="44"/>
      <c r="AH32" s="44"/>
      <c r="AI32" s="44"/>
      <c r="AJ32" s="44" t="s">
        <v>56</v>
      </c>
      <c r="AK32" s="44"/>
      <c r="AL32" s="44"/>
      <c r="AM32" s="44"/>
      <c r="AN32" s="44"/>
      <c r="AO32" s="44"/>
      <c r="AP32" s="49" t="s">
        <v>48</v>
      </c>
      <c r="AQ32" s="44"/>
      <c r="AR32" s="48" t="s">
        <v>117</v>
      </c>
      <c r="AS32" s="44"/>
      <c r="AT32" s="44"/>
      <c r="AU32" s="44"/>
      <c r="AV32" s="49" t="s">
        <v>48</v>
      </c>
      <c r="AW32" s="44"/>
      <c r="AX32" s="48" t="s">
        <v>47</v>
      </c>
      <c r="AY32" s="45"/>
      <c r="AZ32" s="43" t="s">
        <v>47</v>
      </c>
      <c r="BA32" s="44"/>
      <c r="BB32" s="44"/>
      <c r="BC32" s="44"/>
      <c r="BD32" s="44"/>
      <c r="BE32" s="44"/>
      <c r="BF32" s="44"/>
      <c r="BG32" s="44"/>
      <c r="BH32" s="44" t="s">
        <v>47</v>
      </c>
      <c r="BI32" s="44"/>
      <c r="BJ32" s="44"/>
      <c r="BK32" s="44"/>
      <c r="BL32" s="44"/>
      <c r="BM32" s="44"/>
      <c r="BN32" s="44"/>
      <c r="BO32" s="44"/>
      <c r="BP32" s="44" t="s">
        <v>47</v>
      </c>
      <c r="BQ32" s="44"/>
      <c r="BR32" s="44"/>
      <c r="BS32" s="44"/>
      <c r="BT32" s="44"/>
      <c r="BU32" s="44"/>
      <c r="BV32" s="44"/>
      <c r="BW32" s="45"/>
      <c r="BX32" s="46" t="s">
        <v>47</v>
      </c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5"/>
      <c r="CV32" s="43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5"/>
      <c r="DT32" s="43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O32" s="44"/>
      <c r="EP32" s="44"/>
      <c r="EQ32" s="45"/>
      <c r="ER32" s="43"/>
      <c r="ES32" s="44"/>
      <c r="ET32" s="44"/>
      <c r="EU32" s="44"/>
      <c r="EV32" s="44"/>
      <c r="EW32" s="44"/>
      <c r="EX32" s="44"/>
      <c r="EY32" s="44"/>
      <c r="EZ32" s="44"/>
      <c r="FA32" s="44"/>
      <c r="FB32" s="44"/>
      <c r="FC32" s="44"/>
      <c r="FD32" s="44"/>
      <c r="FE32" s="44"/>
      <c r="FF32" s="44"/>
      <c r="FG32" s="44"/>
      <c r="FH32" s="44"/>
      <c r="FI32" s="44"/>
      <c r="FJ32" s="44"/>
      <c r="FK32" s="44"/>
      <c r="FL32" s="44"/>
      <c r="FM32" s="44"/>
      <c r="FN32" s="44"/>
      <c r="FO32" s="45"/>
      <c r="FP32" s="37"/>
      <c r="FQ32" s="37"/>
      <c r="FR32" s="37"/>
      <c r="FS32" s="37"/>
      <c r="FT32" s="37"/>
    </row>
    <row r="33" spans="1:207" s="3" customFormat="1" ht="60" customHeight="1" x14ac:dyDescent="0.35">
      <c r="A33" s="43" t="s">
        <v>27</v>
      </c>
      <c r="B33" s="44"/>
      <c r="C33" s="44"/>
      <c r="D33" s="43"/>
      <c r="E33" s="44"/>
      <c r="F33" s="44"/>
      <c r="G33" s="44"/>
      <c r="H33" s="44"/>
      <c r="I33" s="44"/>
      <c r="J33" s="44"/>
      <c r="K33" s="44"/>
      <c r="L33" s="48"/>
      <c r="M33" s="44">
        <v>1509</v>
      </c>
      <c r="N33" s="44"/>
      <c r="O33" s="44"/>
      <c r="P33" s="44"/>
      <c r="Q33" s="44"/>
      <c r="R33" s="44"/>
      <c r="S33" s="44"/>
      <c r="T33" s="44">
        <v>1725</v>
      </c>
      <c r="U33" s="44"/>
      <c r="V33" s="44"/>
      <c r="W33" s="44"/>
      <c r="X33" s="44"/>
      <c r="Y33" s="44"/>
      <c r="Z33" s="44"/>
      <c r="AA33" s="45"/>
      <c r="AB33" s="46">
        <v>366</v>
      </c>
      <c r="AC33" s="44"/>
      <c r="AD33" s="48"/>
      <c r="AE33" s="48">
        <v>1143</v>
      </c>
      <c r="AF33" s="44"/>
      <c r="AG33" s="44"/>
      <c r="AH33" s="44"/>
      <c r="AI33" s="44"/>
      <c r="AJ33" s="44">
        <v>1357</v>
      </c>
      <c r="AK33" s="44"/>
      <c r="AL33" s="44"/>
      <c r="AM33" s="44"/>
      <c r="AN33" s="44"/>
      <c r="AO33" s="44"/>
      <c r="AP33" s="48"/>
      <c r="AQ33" s="44"/>
      <c r="AR33" s="48">
        <v>1100</v>
      </c>
      <c r="AS33" s="44"/>
      <c r="AT33" s="44"/>
      <c r="AU33" s="44"/>
      <c r="AV33" s="48"/>
      <c r="AW33" s="44"/>
      <c r="AX33" s="48">
        <v>305</v>
      </c>
      <c r="AY33" s="45"/>
      <c r="AZ33" s="43">
        <v>1057</v>
      </c>
      <c r="BA33" s="44"/>
      <c r="BB33" s="44"/>
      <c r="BC33" s="44"/>
      <c r="BD33" s="44"/>
      <c r="BE33" s="44"/>
      <c r="BF33" s="44"/>
      <c r="BG33" s="44"/>
      <c r="BH33" s="44">
        <v>1057</v>
      </c>
      <c r="BI33" s="44"/>
      <c r="BJ33" s="44"/>
      <c r="BK33" s="44"/>
      <c r="BL33" s="44"/>
      <c r="BM33" s="44"/>
      <c r="BN33" s="44"/>
      <c r="BO33" s="44"/>
      <c r="BP33" s="44">
        <v>1057</v>
      </c>
      <c r="BQ33" s="44"/>
      <c r="BR33" s="44"/>
      <c r="BS33" s="44"/>
      <c r="BT33" s="44"/>
      <c r="BU33" s="44"/>
      <c r="BV33" s="44"/>
      <c r="BW33" s="45"/>
      <c r="BX33" s="46">
        <v>124</v>
      </c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  <c r="CT33" s="44"/>
      <c r="CU33" s="45"/>
      <c r="CV33" s="43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4"/>
      <c r="DO33" s="44"/>
      <c r="DP33" s="44"/>
      <c r="DQ33" s="44"/>
      <c r="DR33" s="44"/>
      <c r="DS33" s="45"/>
      <c r="DT33" s="43"/>
      <c r="DU33" s="44"/>
      <c r="DV33" s="44"/>
      <c r="DW33" s="44"/>
      <c r="DX33" s="44"/>
      <c r="DY33" s="44"/>
      <c r="DZ33" s="44"/>
      <c r="EA33" s="44"/>
      <c r="EB33" s="44"/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O33" s="44"/>
      <c r="EP33" s="44"/>
      <c r="EQ33" s="45"/>
      <c r="ER33" s="43"/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44"/>
      <c r="FG33" s="44"/>
      <c r="FH33" s="44"/>
      <c r="FI33" s="44"/>
      <c r="FJ33" s="44"/>
      <c r="FK33" s="44"/>
      <c r="FL33" s="44"/>
      <c r="FM33" s="44"/>
      <c r="FN33" s="44"/>
      <c r="FO33" s="45"/>
      <c r="FP33" s="37"/>
      <c r="FQ33" s="37"/>
      <c r="FR33" s="37"/>
      <c r="FS33" s="37"/>
      <c r="FT33" s="37"/>
    </row>
    <row r="34" spans="1:207" s="3" customFormat="1" ht="60" customHeight="1" x14ac:dyDescent="0.35">
      <c r="A34" s="43" t="s">
        <v>28</v>
      </c>
      <c r="B34" s="44"/>
      <c r="C34" s="44"/>
      <c r="D34" s="33">
        <v>3234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5"/>
      <c r="AB34" s="33">
        <v>4271</v>
      </c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5"/>
      <c r="AZ34" s="33">
        <v>3171</v>
      </c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5"/>
      <c r="BX34" s="33">
        <v>124</v>
      </c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5"/>
      <c r="CV34" s="33">
        <v>0</v>
      </c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5"/>
      <c r="DT34" s="33">
        <v>0</v>
      </c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34"/>
      <c r="EH34" s="34"/>
      <c r="EI34" s="34"/>
      <c r="EJ34" s="34"/>
      <c r="EK34" s="34"/>
      <c r="EL34" s="34"/>
      <c r="EM34" s="34"/>
      <c r="EN34" s="34"/>
      <c r="EO34" s="34"/>
      <c r="EP34" s="34"/>
      <c r="EQ34" s="35"/>
      <c r="ER34" s="33">
        <v>0</v>
      </c>
      <c r="ES34" s="34"/>
      <c r="ET34" s="34"/>
      <c r="EU34" s="34"/>
      <c r="EV34" s="34"/>
      <c r="EW34" s="34"/>
      <c r="EX34" s="34"/>
      <c r="EY34" s="34"/>
      <c r="EZ34" s="34"/>
      <c r="FA34" s="34"/>
      <c r="FB34" s="34"/>
      <c r="FC34" s="34"/>
      <c r="FD34" s="34"/>
      <c r="FE34" s="34"/>
      <c r="FF34" s="34"/>
      <c r="FG34" s="34"/>
      <c r="FH34" s="34"/>
      <c r="FI34" s="34"/>
      <c r="FJ34" s="34"/>
      <c r="FK34" s="34"/>
      <c r="FL34" s="34"/>
      <c r="FM34" s="34"/>
      <c r="FN34" s="34"/>
      <c r="FO34" s="35"/>
      <c r="FP34" s="37"/>
      <c r="FQ34" s="37"/>
      <c r="FR34" s="37"/>
      <c r="FS34" s="37"/>
      <c r="FT34" s="37"/>
    </row>
    <row r="35" spans="1:207" s="3" customFormat="1" ht="60" customHeight="1" x14ac:dyDescent="0.35">
      <c r="A35" s="43" t="s">
        <v>31</v>
      </c>
      <c r="B35" s="44"/>
      <c r="C35" s="44"/>
      <c r="D35" s="43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5"/>
      <c r="AB35" s="43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5"/>
      <c r="AZ35" s="43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5"/>
      <c r="BX35" s="43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5"/>
      <c r="CV35" s="43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5"/>
      <c r="DT35" s="43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O35" s="44"/>
      <c r="EP35" s="44"/>
      <c r="EQ35" s="45"/>
      <c r="ER35" s="43"/>
      <c r="ES35" s="44"/>
      <c r="ET35" s="44"/>
      <c r="EU35" s="44"/>
      <c r="EV35" s="44"/>
      <c r="EW35" s="44"/>
      <c r="EX35" s="44"/>
      <c r="EY35" s="44"/>
      <c r="EZ35" s="44"/>
      <c r="FA35" s="44"/>
      <c r="FB35" s="44"/>
      <c r="FC35" s="44"/>
      <c r="FD35" s="44"/>
      <c r="FE35" s="44"/>
      <c r="FF35" s="44"/>
      <c r="FG35" s="44"/>
      <c r="FH35" s="44"/>
      <c r="FI35" s="44"/>
      <c r="FJ35" s="44"/>
      <c r="FK35" s="44"/>
      <c r="FL35" s="44"/>
      <c r="FM35" s="44"/>
      <c r="FN35" s="44"/>
      <c r="FO35" s="45"/>
      <c r="FP35" s="36">
        <v>0</v>
      </c>
      <c r="FQ35" s="37"/>
      <c r="FR35" s="37"/>
      <c r="FS35" s="37"/>
      <c r="FT35" s="37"/>
    </row>
    <row r="36" spans="1:207" s="3" customFormat="1" ht="109.95" customHeight="1" x14ac:dyDescent="0.35">
      <c r="A36" s="43" t="s">
        <v>25</v>
      </c>
      <c r="B36" s="44"/>
      <c r="C36" s="44"/>
      <c r="D36" s="43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5"/>
      <c r="AB36" s="43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5"/>
      <c r="AZ36" s="43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5"/>
      <c r="BX36" s="43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5"/>
      <c r="CV36" s="43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5"/>
      <c r="DT36" s="43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5"/>
      <c r="ER36" s="43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4"/>
      <c r="FN36" s="44"/>
      <c r="FO36" s="45"/>
      <c r="FP36" s="37"/>
      <c r="FQ36" s="37"/>
      <c r="FR36" s="37"/>
      <c r="FS36" s="37"/>
      <c r="FT36" s="37"/>
    </row>
    <row r="37" spans="1:207" s="3" customFormat="1" ht="60" customHeight="1" x14ac:dyDescent="0.35">
      <c r="A37" s="43" t="s">
        <v>27</v>
      </c>
      <c r="B37" s="44"/>
      <c r="C37" s="44"/>
      <c r="D37" s="43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5"/>
      <c r="AB37" s="43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5"/>
      <c r="AZ37" s="43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5"/>
      <c r="BX37" s="43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5"/>
      <c r="CV37" s="43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5"/>
      <c r="DT37" s="43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  <c r="EL37" s="44"/>
      <c r="EM37" s="44"/>
      <c r="EN37" s="44"/>
      <c r="EO37" s="44"/>
      <c r="EP37" s="44"/>
      <c r="EQ37" s="45"/>
      <c r="ER37" s="43"/>
      <c r="ES37" s="44"/>
      <c r="ET37" s="44"/>
      <c r="EU37" s="44"/>
      <c r="EV37" s="44"/>
      <c r="EW37" s="44"/>
      <c r="EX37" s="44"/>
      <c r="EY37" s="44"/>
      <c r="EZ37" s="44"/>
      <c r="FA37" s="44"/>
      <c r="FB37" s="44"/>
      <c r="FC37" s="44"/>
      <c r="FD37" s="44"/>
      <c r="FE37" s="44"/>
      <c r="FF37" s="44"/>
      <c r="FG37" s="44"/>
      <c r="FH37" s="44"/>
      <c r="FI37" s="44"/>
      <c r="FJ37" s="44"/>
      <c r="FK37" s="44"/>
      <c r="FL37" s="44"/>
      <c r="FM37" s="44"/>
      <c r="FN37" s="44"/>
      <c r="FO37" s="45"/>
      <c r="FP37" s="37"/>
      <c r="FQ37" s="37"/>
      <c r="FR37" s="37"/>
      <c r="FS37" s="37"/>
      <c r="FT37" s="37"/>
    </row>
    <row r="38" spans="1:207" s="3" customFormat="1" ht="60" customHeight="1" x14ac:dyDescent="0.35">
      <c r="A38" s="43" t="s">
        <v>28</v>
      </c>
      <c r="B38" s="44"/>
      <c r="C38" s="44"/>
      <c r="D38" s="33">
        <v>0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5"/>
      <c r="AB38" s="33">
        <v>0</v>
      </c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5"/>
      <c r="AZ38" s="33">
        <v>0</v>
      </c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5"/>
      <c r="BX38" s="33">
        <v>0</v>
      </c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5"/>
      <c r="CV38" s="33">
        <v>0</v>
      </c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5"/>
      <c r="DT38" s="33">
        <v>0</v>
      </c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5"/>
      <c r="ER38" s="33">
        <v>0</v>
      </c>
      <c r="ES38" s="34"/>
      <c r="ET38" s="34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  <c r="FI38" s="34"/>
      <c r="FJ38" s="34"/>
      <c r="FK38" s="34"/>
      <c r="FL38" s="34"/>
      <c r="FM38" s="34"/>
      <c r="FN38" s="34"/>
      <c r="FO38" s="35"/>
      <c r="FP38" s="37"/>
      <c r="FQ38" s="37"/>
      <c r="FR38" s="37"/>
      <c r="FS38" s="37"/>
      <c r="FT38" s="37"/>
    </row>
    <row r="39" spans="1:207" s="3" customFormat="1" ht="64.95" customHeight="1" x14ac:dyDescent="0.35">
      <c r="A39" s="38" t="s">
        <v>57</v>
      </c>
      <c r="B39" s="39"/>
      <c r="C39" s="39"/>
      <c r="D39" s="40">
        <v>13795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2"/>
      <c r="AB39" s="40">
        <v>13401</v>
      </c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2"/>
      <c r="AZ39" s="40">
        <v>13857</v>
      </c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2"/>
      <c r="BX39" s="40">
        <v>10477</v>
      </c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2"/>
      <c r="CV39" s="40">
        <v>11149</v>
      </c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2"/>
      <c r="DT39" s="40">
        <v>11583</v>
      </c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2"/>
      <c r="ER39" s="40">
        <v>12382</v>
      </c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2"/>
      <c r="FP39" s="37">
        <v>86644</v>
      </c>
      <c r="FQ39" s="37"/>
      <c r="FR39" s="37"/>
      <c r="FS39" s="37"/>
      <c r="FT39" s="37"/>
    </row>
    <row r="41" spans="1:207" x14ac:dyDescent="0.35">
      <c r="A41" s="21" t="s">
        <v>58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BB41" s="21" t="s">
        <v>59</v>
      </c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X41" s="21" t="s">
        <v>60</v>
      </c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</row>
    <row r="42" spans="1:207" x14ac:dyDescent="0.35">
      <c r="A42" s="21" t="s">
        <v>61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 t="s">
        <v>62</v>
      </c>
      <c r="M42" s="21"/>
      <c r="N42" s="21"/>
      <c r="O42" s="21"/>
      <c r="P42" s="21"/>
      <c r="Q42" s="21"/>
      <c r="R42" s="21"/>
      <c r="S42" s="21"/>
      <c r="T42" s="21" t="s">
        <v>63</v>
      </c>
      <c r="U42" s="21"/>
      <c r="V42" s="21"/>
      <c r="W42" s="21"/>
      <c r="X42" s="21"/>
      <c r="Y42" s="21"/>
      <c r="Z42" s="21"/>
      <c r="AA42" s="21"/>
      <c r="AB42" s="21" t="s">
        <v>64</v>
      </c>
      <c r="AC42" s="21"/>
      <c r="AD42" s="21"/>
      <c r="AE42" s="21"/>
      <c r="AF42" s="21"/>
      <c r="AG42" s="21"/>
      <c r="AH42" s="21"/>
      <c r="AI42" s="21"/>
      <c r="AJ42" s="21" t="s">
        <v>65</v>
      </c>
      <c r="AK42" s="21"/>
      <c r="AL42" s="21"/>
      <c r="AM42" s="21"/>
      <c r="AN42" s="21"/>
      <c r="AO42" s="21"/>
      <c r="AP42" s="21"/>
      <c r="AQ42" s="21"/>
      <c r="AR42" s="21" t="s">
        <v>66</v>
      </c>
      <c r="AS42" s="21"/>
      <c r="AT42" s="21"/>
      <c r="AU42" s="21"/>
      <c r="AV42" s="21"/>
      <c r="AW42" s="21"/>
      <c r="AX42" s="21"/>
      <c r="AY42" s="21"/>
      <c r="BB42" s="21" t="s">
        <v>67</v>
      </c>
      <c r="BC42" s="21"/>
      <c r="BD42" s="21"/>
      <c r="BE42" s="21"/>
      <c r="BF42" s="21"/>
      <c r="BG42" s="21"/>
      <c r="BH42" s="21"/>
      <c r="BI42" s="21"/>
      <c r="BJ42" s="21" t="s">
        <v>61</v>
      </c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 t="s">
        <v>62</v>
      </c>
      <c r="CA42" s="21"/>
      <c r="CB42" s="21"/>
      <c r="CC42" s="21"/>
      <c r="CD42" s="21"/>
      <c r="CE42" s="21"/>
      <c r="CF42" s="21"/>
      <c r="CG42" s="21"/>
      <c r="CH42" s="21" t="s">
        <v>68</v>
      </c>
      <c r="CI42" s="21"/>
      <c r="CJ42" s="21"/>
      <c r="CK42" s="21"/>
      <c r="CL42" s="21"/>
      <c r="CM42" s="21"/>
      <c r="CN42" s="21"/>
      <c r="CO42" s="21"/>
      <c r="CP42" s="21" t="s">
        <v>63</v>
      </c>
      <c r="CQ42" s="21"/>
      <c r="CR42" s="21"/>
      <c r="CS42" s="21"/>
      <c r="CT42" s="21"/>
      <c r="CU42" s="21"/>
      <c r="CV42" s="21"/>
      <c r="CW42" s="21"/>
      <c r="CX42" s="21" t="s">
        <v>64</v>
      </c>
      <c r="CY42" s="21"/>
      <c r="CZ42" s="21"/>
      <c r="DA42" s="21"/>
      <c r="DB42" s="21"/>
      <c r="DC42" s="21"/>
      <c r="DD42" s="21"/>
      <c r="DE42" s="21"/>
      <c r="DF42" s="21" t="s">
        <v>65</v>
      </c>
      <c r="DG42" s="21"/>
      <c r="DH42" s="21"/>
      <c r="DI42" s="21"/>
      <c r="DJ42" s="21"/>
      <c r="DK42" s="21"/>
      <c r="DL42" s="21"/>
      <c r="DM42" s="21"/>
      <c r="DN42" s="21" t="s">
        <v>66</v>
      </c>
      <c r="DO42" s="21"/>
      <c r="DP42" s="21"/>
      <c r="DQ42" s="21"/>
      <c r="DR42" s="21"/>
      <c r="DS42" s="21"/>
      <c r="DT42" s="21"/>
      <c r="DU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 t="s">
        <v>23</v>
      </c>
      <c r="EO42" s="21"/>
      <c r="EP42" s="21"/>
      <c r="EQ42" s="21"/>
      <c r="ER42" s="21"/>
      <c r="ES42" s="21"/>
      <c r="ET42" s="21"/>
      <c r="EU42" s="21"/>
      <c r="EV42" s="21" t="s">
        <v>29</v>
      </c>
      <c r="EW42" s="21"/>
      <c r="EX42" s="21"/>
      <c r="EY42" s="21"/>
      <c r="EZ42" s="21"/>
      <c r="FA42" s="21"/>
      <c r="FB42" s="21"/>
      <c r="FC42" s="21"/>
      <c r="FD42" s="21" t="s">
        <v>36</v>
      </c>
      <c r="FE42" s="21"/>
      <c r="FF42" s="21"/>
      <c r="FG42" s="21"/>
      <c r="FH42" s="21"/>
      <c r="FI42" s="21"/>
      <c r="FJ42" s="21"/>
      <c r="FK42" s="21"/>
      <c r="FL42" s="21" t="s">
        <v>41</v>
      </c>
      <c r="FM42" s="21"/>
      <c r="FN42" s="21"/>
      <c r="FO42" s="21"/>
      <c r="FP42" s="21"/>
      <c r="FQ42" s="21"/>
      <c r="FR42" s="21"/>
      <c r="FS42" s="21"/>
      <c r="FT42" s="21" t="s">
        <v>50</v>
      </c>
      <c r="FU42" s="21"/>
      <c r="FV42" s="21"/>
      <c r="FW42" s="21"/>
      <c r="FX42" s="21"/>
      <c r="FY42" s="21"/>
      <c r="FZ42" s="21"/>
      <c r="GA42" s="21"/>
      <c r="GB42" s="21" t="s">
        <v>53</v>
      </c>
      <c r="GC42" s="21"/>
      <c r="GD42" s="21"/>
      <c r="GE42" s="21"/>
      <c r="GF42" s="21"/>
      <c r="GG42" s="21"/>
      <c r="GH42" s="21"/>
      <c r="GI42" s="21"/>
      <c r="GJ42" s="21" t="s">
        <v>31</v>
      </c>
      <c r="GK42" s="21"/>
      <c r="GL42" s="21"/>
      <c r="GM42" s="21"/>
      <c r="GN42" s="21"/>
      <c r="GO42" s="21"/>
      <c r="GP42" s="21"/>
      <c r="GQ42" s="21"/>
      <c r="GR42" s="21" t="s">
        <v>69</v>
      </c>
      <c r="GS42" s="21"/>
      <c r="GT42" s="21"/>
      <c r="GU42" s="21"/>
      <c r="GV42" s="21"/>
      <c r="GW42" s="21"/>
      <c r="GX42" s="21"/>
      <c r="GY42" s="21"/>
    </row>
    <row r="43" spans="1:207" ht="25.2" x14ac:dyDescent="0.35">
      <c r="A43" s="21" t="s">
        <v>70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6">
        <v>9494</v>
      </c>
      <c r="M43" s="26"/>
      <c r="N43" s="26"/>
      <c r="O43" s="26"/>
      <c r="P43" s="26"/>
      <c r="Q43" s="26"/>
      <c r="R43" s="26"/>
      <c r="S43" s="26"/>
      <c r="T43" s="26">
        <v>1000</v>
      </c>
      <c r="U43" s="26"/>
      <c r="V43" s="26"/>
      <c r="W43" s="26"/>
      <c r="X43" s="26"/>
      <c r="Y43" s="26"/>
      <c r="Z43" s="26"/>
      <c r="AA43" s="26"/>
      <c r="AB43" s="26">
        <v>13</v>
      </c>
      <c r="AC43" s="26"/>
      <c r="AD43" s="26"/>
      <c r="AE43" s="26"/>
      <c r="AF43" s="26"/>
      <c r="AG43" s="26"/>
      <c r="AH43" s="26"/>
      <c r="AI43" s="26"/>
      <c r="AJ43" s="26">
        <v>3400</v>
      </c>
      <c r="AK43" s="26"/>
      <c r="AL43" s="26"/>
      <c r="AM43" s="26"/>
      <c r="AN43" s="26"/>
      <c r="AO43" s="26"/>
      <c r="AP43" s="26"/>
      <c r="AQ43" s="26"/>
      <c r="AR43" s="26">
        <v>340000</v>
      </c>
      <c r="AS43" s="26"/>
      <c r="AT43" s="26"/>
      <c r="AU43" s="26"/>
      <c r="AV43" s="26"/>
      <c r="AW43" s="26"/>
      <c r="AX43" s="26"/>
      <c r="AY43" s="26"/>
      <c r="BB43" s="21" t="s">
        <v>23</v>
      </c>
      <c r="BC43" s="21"/>
      <c r="BD43" s="21"/>
      <c r="BE43" s="21"/>
      <c r="BF43" s="21"/>
      <c r="BG43" s="21"/>
      <c r="BH43" s="21"/>
      <c r="BI43" s="21"/>
      <c r="BJ43" s="21" t="s">
        <v>71</v>
      </c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6">
        <v>3617</v>
      </c>
      <c r="CA43" s="26"/>
      <c r="CB43" s="26"/>
      <c r="CC43" s="26"/>
      <c r="CD43" s="26"/>
      <c r="CE43" s="26"/>
      <c r="CF43" s="26"/>
      <c r="CG43" s="26"/>
      <c r="CH43" s="26">
        <v>80</v>
      </c>
      <c r="CI43" s="26"/>
      <c r="CJ43" s="26"/>
      <c r="CK43" s="26"/>
      <c r="CL43" s="26"/>
      <c r="CM43" s="26"/>
      <c r="CN43" s="26"/>
      <c r="CO43" s="26"/>
      <c r="CP43" s="26">
        <v>175</v>
      </c>
      <c r="CQ43" s="26"/>
      <c r="CR43" s="26"/>
      <c r="CS43" s="26"/>
      <c r="CT43" s="26"/>
      <c r="CU43" s="26"/>
      <c r="CV43" s="26"/>
      <c r="CW43" s="26"/>
      <c r="CX43" s="26">
        <v>38</v>
      </c>
      <c r="CY43" s="26"/>
      <c r="CZ43" s="26"/>
      <c r="DA43" s="26"/>
      <c r="DB43" s="26"/>
      <c r="DC43" s="26"/>
      <c r="DD43" s="26"/>
      <c r="DE43" s="26"/>
      <c r="DF43" s="26">
        <v>12937</v>
      </c>
      <c r="DG43" s="26"/>
      <c r="DH43" s="26"/>
      <c r="DI43" s="26"/>
      <c r="DJ43" s="26"/>
      <c r="DK43" s="26"/>
      <c r="DL43" s="26"/>
      <c r="DM43" s="26"/>
      <c r="DN43" s="26">
        <v>7392338</v>
      </c>
      <c r="DO43" s="26"/>
      <c r="DP43" s="26"/>
      <c r="DQ43" s="26"/>
      <c r="DR43" s="26"/>
      <c r="DS43" s="26"/>
      <c r="DT43" s="26"/>
      <c r="DU43" s="26"/>
      <c r="DX43" s="21" t="s">
        <v>48</v>
      </c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4">
        <v>0</v>
      </c>
      <c r="EO43" s="21"/>
      <c r="EP43" s="21"/>
      <c r="EQ43" s="21"/>
      <c r="ER43" s="21"/>
      <c r="ES43" s="21"/>
      <c r="ET43" s="21"/>
      <c r="EU43" s="21"/>
      <c r="EV43" s="24">
        <v>2</v>
      </c>
      <c r="EW43" s="21"/>
      <c r="EX43" s="21"/>
      <c r="EY43" s="21"/>
      <c r="EZ43" s="21"/>
      <c r="FA43" s="21"/>
      <c r="FB43" s="21"/>
      <c r="FC43" s="21"/>
      <c r="FD43" s="24">
        <v>8</v>
      </c>
      <c r="FE43" s="21"/>
      <c r="FF43" s="21"/>
      <c r="FG43" s="21"/>
      <c r="FH43" s="21"/>
      <c r="FI43" s="21"/>
      <c r="FJ43" s="21"/>
      <c r="FK43" s="21"/>
      <c r="FL43" s="24">
        <v>6</v>
      </c>
      <c r="FM43" s="21"/>
      <c r="FN43" s="21"/>
      <c r="FO43" s="21"/>
      <c r="FP43" s="21"/>
      <c r="FQ43" s="21"/>
      <c r="FR43" s="21"/>
      <c r="FS43" s="21"/>
      <c r="FT43" s="24">
        <v>0</v>
      </c>
      <c r="FU43" s="21"/>
      <c r="FV43" s="21"/>
      <c r="FW43" s="21"/>
      <c r="FX43" s="21"/>
      <c r="FY43" s="21"/>
      <c r="FZ43" s="21"/>
      <c r="GA43" s="21"/>
      <c r="GB43" s="24">
        <v>4</v>
      </c>
      <c r="GC43" s="21"/>
      <c r="GD43" s="21"/>
      <c r="GE43" s="21"/>
      <c r="GF43" s="21"/>
      <c r="GG43" s="21"/>
      <c r="GH43" s="21"/>
      <c r="GI43" s="21"/>
      <c r="GJ43" s="24">
        <v>0</v>
      </c>
      <c r="GK43" s="21"/>
      <c r="GL43" s="21"/>
      <c r="GM43" s="21"/>
      <c r="GN43" s="21"/>
      <c r="GO43" s="21"/>
      <c r="GP43" s="21"/>
      <c r="GQ43" s="21"/>
      <c r="GR43" s="24">
        <f t="shared" ref="GR43:GR49" si="0">SUM(EN43:GQ43)</f>
        <v>20</v>
      </c>
      <c r="GS43" s="21"/>
      <c r="GT43" s="21"/>
      <c r="GU43" s="21"/>
      <c r="GV43" s="21"/>
      <c r="GW43" s="21"/>
      <c r="GX43" s="21"/>
      <c r="GY43" s="21"/>
    </row>
    <row r="44" spans="1:207" ht="25.2" x14ac:dyDescent="0.35">
      <c r="A44" s="21" t="s">
        <v>123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6">
        <v>9139</v>
      </c>
      <c r="M44" s="26"/>
      <c r="N44" s="26"/>
      <c r="O44" s="26"/>
      <c r="P44" s="26"/>
      <c r="Q44" s="26"/>
      <c r="R44" s="26"/>
      <c r="S44" s="26"/>
      <c r="T44" s="26">
        <v>250</v>
      </c>
      <c r="U44" s="26"/>
      <c r="V44" s="26"/>
      <c r="W44" s="26"/>
      <c r="X44" s="26"/>
      <c r="Y44" s="26"/>
      <c r="Z44" s="26"/>
      <c r="AA44" s="26"/>
      <c r="AB44" s="26">
        <v>38</v>
      </c>
      <c r="AC44" s="26"/>
      <c r="AD44" s="26"/>
      <c r="AE44" s="26"/>
      <c r="AF44" s="26"/>
      <c r="AG44" s="26"/>
      <c r="AH44" s="26"/>
      <c r="AI44" s="26"/>
      <c r="AJ44" s="26">
        <v>7529</v>
      </c>
      <c r="AK44" s="26"/>
      <c r="AL44" s="26"/>
      <c r="AM44" s="26"/>
      <c r="AN44" s="26"/>
      <c r="AO44" s="26"/>
      <c r="AP44" s="26"/>
      <c r="AQ44" s="26"/>
      <c r="AR44" s="26">
        <v>3011600</v>
      </c>
      <c r="AS44" s="26"/>
      <c r="AT44" s="26"/>
      <c r="AU44" s="26"/>
      <c r="AV44" s="26"/>
      <c r="AW44" s="26"/>
      <c r="AX44" s="26"/>
      <c r="AY44" s="26"/>
      <c r="BB44" s="21" t="s">
        <v>29</v>
      </c>
      <c r="BC44" s="21"/>
      <c r="BD44" s="21"/>
      <c r="BE44" s="21"/>
      <c r="BF44" s="21"/>
      <c r="BG44" s="21"/>
      <c r="BH44" s="21"/>
      <c r="BI44" s="21"/>
      <c r="BJ44" s="21" t="s">
        <v>77</v>
      </c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6">
        <v>20867</v>
      </c>
      <c r="CA44" s="26"/>
      <c r="CB44" s="26"/>
      <c r="CC44" s="26"/>
      <c r="CD44" s="26"/>
      <c r="CE44" s="26"/>
      <c r="CF44" s="26"/>
      <c r="CG44" s="26"/>
      <c r="CH44" s="26">
        <v>90</v>
      </c>
      <c r="CI44" s="26"/>
      <c r="CJ44" s="26"/>
      <c r="CK44" s="26"/>
      <c r="CL44" s="26"/>
      <c r="CM44" s="26"/>
      <c r="CN44" s="26"/>
      <c r="CO44" s="26"/>
      <c r="CP44" s="26">
        <v>330</v>
      </c>
      <c r="CQ44" s="26"/>
      <c r="CR44" s="26"/>
      <c r="CS44" s="26"/>
      <c r="CT44" s="26"/>
      <c r="CU44" s="26"/>
      <c r="CV44" s="26"/>
      <c r="CW44" s="26"/>
      <c r="CX44" s="26">
        <v>30</v>
      </c>
      <c r="CY44" s="26"/>
      <c r="CZ44" s="26"/>
      <c r="DA44" s="26"/>
      <c r="DB44" s="26"/>
      <c r="DC44" s="26"/>
      <c r="DD44" s="26"/>
      <c r="DE44" s="26"/>
      <c r="DF44" s="26">
        <v>4360</v>
      </c>
      <c r="DG44" s="26"/>
      <c r="DH44" s="26"/>
      <c r="DI44" s="26"/>
      <c r="DJ44" s="26"/>
      <c r="DK44" s="26"/>
      <c r="DL44" s="26"/>
      <c r="DM44" s="26"/>
      <c r="DN44" s="26">
        <v>1321213</v>
      </c>
      <c r="DO44" s="26"/>
      <c r="DP44" s="26"/>
      <c r="DQ44" s="26"/>
      <c r="DR44" s="26"/>
      <c r="DS44" s="26"/>
      <c r="DT44" s="26"/>
      <c r="DU44" s="26"/>
      <c r="DX44" s="21" t="s">
        <v>34</v>
      </c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4">
        <v>0</v>
      </c>
      <c r="EO44" s="21"/>
      <c r="EP44" s="21"/>
      <c r="EQ44" s="21"/>
      <c r="ER44" s="21"/>
      <c r="ES44" s="21"/>
      <c r="ET44" s="21"/>
      <c r="EU44" s="21"/>
      <c r="EV44" s="24">
        <v>4</v>
      </c>
      <c r="EW44" s="21"/>
      <c r="EX44" s="21"/>
      <c r="EY44" s="21"/>
      <c r="EZ44" s="21"/>
      <c r="FA44" s="21"/>
      <c r="FB44" s="21"/>
      <c r="FC44" s="21"/>
      <c r="FD44" s="24">
        <v>0</v>
      </c>
      <c r="FE44" s="21"/>
      <c r="FF44" s="21"/>
      <c r="FG44" s="21"/>
      <c r="FH44" s="21"/>
      <c r="FI44" s="21"/>
      <c r="FJ44" s="21"/>
      <c r="FK44" s="21"/>
      <c r="FL44" s="24">
        <v>0.29555555555555602</v>
      </c>
      <c r="FM44" s="21"/>
      <c r="FN44" s="21"/>
      <c r="FO44" s="21"/>
      <c r="FP44" s="21"/>
      <c r="FQ44" s="21"/>
      <c r="FR44" s="21"/>
      <c r="FS44" s="21"/>
      <c r="FT44" s="24">
        <v>0</v>
      </c>
      <c r="FU44" s="21"/>
      <c r="FV44" s="21"/>
      <c r="FW44" s="21"/>
      <c r="FX44" s="21"/>
      <c r="FY44" s="21"/>
      <c r="FZ44" s="21"/>
      <c r="GA44" s="21"/>
      <c r="GB44" s="24">
        <v>1</v>
      </c>
      <c r="GC44" s="21"/>
      <c r="GD44" s="21"/>
      <c r="GE44" s="21"/>
      <c r="GF44" s="21"/>
      <c r="GG44" s="21"/>
      <c r="GH44" s="21"/>
      <c r="GI44" s="21"/>
      <c r="GJ44" s="24">
        <v>0</v>
      </c>
      <c r="GK44" s="21"/>
      <c r="GL44" s="21"/>
      <c r="GM44" s="21"/>
      <c r="GN44" s="21"/>
      <c r="GO44" s="21"/>
      <c r="GP44" s="21"/>
      <c r="GQ44" s="21"/>
      <c r="GR44" s="24">
        <f t="shared" si="0"/>
        <v>5.2955555555555556</v>
      </c>
      <c r="GS44" s="21"/>
      <c r="GT44" s="21"/>
      <c r="GU44" s="21"/>
      <c r="GV44" s="21"/>
      <c r="GW44" s="21"/>
      <c r="GX44" s="21"/>
      <c r="GY44" s="21"/>
    </row>
    <row r="45" spans="1:207" ht="25.2" x14ac:dyDescent="0.35">
      <c r="A45" s="21" t="s">
        <v>124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6">
        <v>9909</v>
      </c>
      <c r="M45" s="26"/>
      <c r="N45" s="26"/>
      <c r="O45" s="26"/>
      <c r="P45" s="26"/>
      <c r="Q45" s="26"/>
      <c r="R45" s="26"/>
      <c r="S45" s="26"/>
      <c r="T45" s="26">
        <v>269</v>
      </c>
      <c r="U45" s="26"/>
      <c r="V45" s="26"/>
      <c r="W45" s="26"/>
      <c r="X45" s="26"/>
      <c r="Y45" s="26"/>
      <c r="Z45" s="26"/>
      <c r="AA45" s="26"/>
      <c r="AB45" s="26">
        <v>6</v>
      </c>
      <c r="AC45" s="26"/>
      <c r="AD45" s="26"/>
      <c r="AE45" s="26"/>
      <c r="AF45" s="26"/>
      <c r="AG45" s="26"/>
      <c r="AH45" s="26"/>
      <c r="AI45" s="26"/>
      <c r="AJ45" s="26">
        <v>9283</v>
      </c>
      <c r="AK45" s="26"/>
      <c r="AL45" s="26"/>
      <c r="AM45" s="26"/>
      <c r="AN45" s="26"/>
      <c r="AO45" s="26"/>
      <c r="AP45" s="26"/>
      <c r="AQ45" s="26"/>
      <c r="AR45" s="26">
        <v>3450928</v>
      </c>
      <c r="AS45" s="26"/>
      <c r="AT45" s="26"/>
      <c r="AU45" s="26"/>
      <c r="AV45" s="26"/>
      <c r="AW45" s="26"/>
      <c r="AX45" s="26"/>
      <c r="AY45" s="26"/>
      <c r="BB45" s="21" t="s">
        <v>29</v>
      </c>
      <c r="BC45" s="21"/>
      <c r="BD45" s="21"/>
      <c r="BE45" s="21"/>
      <c r="BF45" s="21"/>
      <c r="BG45" s="21"/>
      <c r="BH45" s="21"/>
      <c r="BI45" s="21"/>
      <c r="BJ45" s="21" t="s">
        <v>148</v>
      </c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6">
        <v>11635</v>
      </c>
      <c r="CA45" s="26"/>
      <c r="CB45" s="26"/>
      <c r="CC45" s="26"/>
      <c r="CD45" s="26"/>
      <c r="CE45" s="26"/>
      <c r="CF45" s="26"/>
      <c r="CG45" s="26"/>
      <c r="CH45" s="26">
        <v>90</v>
      </c>
      <c r="CI45" s="26"/>
      <c r="CJ45" s="26"/>
      <c r="CK45" s="26"/>
      <c r="CL45" s="26"/>
      <c r="CM45" s="26"/>
      <c r="CN45" s="26"/>
      <c r="CO45" s="26"/>
      <c r="CP45" s="26">
        <v>330</v>
      </c>
      <c r="CQ45" s="26"/>
      <c r="CR45" s="26"/>
      <c r="CS45" s="26"/>
      <c r="CT45" s="26"/>
      <c r="CU45" s="26"/>
      <c r="CV45" s="26"/>
      <c r="CW45" s="26"/>
      <c r="CX45" s="26">
        <v>30</v>
      </c>
      <c r="CY45" s="26"/>
      <c r="CZ45" s="26"/>
      <c r="DA45" s="26"/>
      <c r="DB45" s="26"/>
      <c r="DC45" s="26"/>
      <c r="DD45" s="26"/>
      <c r="DE45" s="26"/>
      <c r="DF45" s="26">
        <v>821</v>
      </c>
      <c r="DG45" s="26"/>
      <c r="DH45" s="26"/>
      <c r="DI45" s="26"/>
      <c r="DJ45" s="26"/>
      <c r="DK45" s="26"/>
      <c r="DL45" s="26"/>
      <c r="DM45" s="26"/>
      <c r="DN45" s="26">
        <v>248788</v>
      </c>
      <c r="DO45" s="26"/>
      <c r="DP45" s="26"/>
      <c r="DQ45" s="26"/>
      <c r="DR45" s="26"/>
      <c r="DS45" s="26"/>
      <c r="DT45" s="26"/>
      <c r="DU45" s="26"/>
      <c r="DX45" s="21" t="s">
        <v>75</v>
      </c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4">
        <v>8</v>
      </c>
      <c r="EO45" s="21"/>
      <c r="EP45" s="21"/>
      <c r="EQ45" s="21"/>
      <c r="ER45" s="21"/>
      <c r="ES45" s="21"/>
      <c r="ET45" s="21"/>
      <c r="EU45" s="21"/>
      <c r="EV45" s="24">
        <v>72.107500000000002</v>
      </c>
      <c r="EW45" s="21"/>
      <c r="EX45" s="21"/>
      <c r="EY45" s="21"/>
      <c r="EZ45" s="21"/>
      <c r="FA45" s="21"/>
      <c r="FB45" s="21"/>
      <c r="FC45" s="21"/>
      <c r="FD45" s="24">
        <v>8</v>
      </c>
      <c r="FE45" s="21"/>
      <c r="FF45" s="21"/>
      <c r="FG45" s="21"/>
      <c r="FH45" s="21"/>
      <c r="FI45" s="21"/>
      <c r="FJ45" s="21"/>
      <c r="FK45" s="21"/>
      <c r="FL45" s="24">
        <v>10</v>
      </c>
      <c r="FM45" s="21"/>
      <c r="FN45" s="21"/>
      <c r="FO45" s="21"/>
      <c r="FP45" s="21"/>
      <c r="FQ45" s="21"/>
      <c r="FR45" s="21"/>
      <c r="FS45" s="21"/>
      <c r="FT45" s="24">
        <v>3</v>
      </c>
      <c r="FU45" s="21"/>
      <c r="FV45" s="21"/>
      <c r="FW45" s="21"/>
      <c r="FX45" s="21"/>
      <c r="FY45" s="21"/>
      <c r="FZ45" s="21"/>
      <c r="GA45" s="21"/>
      <c r="GB45" s="24">
        <v>1</v>
      </c>
      <c r="GC45" s="21"/>
      <c r="GD45" s="21"/>
      <c r="GE45" s="21"/>
      <c r="GF45" s="21"/>
      <c r="GG45" s="21"/>
      <c r="GH45" s="21"/>
      <c r="GI45" s="21"/>
      <c r="GJ45" s="24">
        <v>0</v>
      </c>
      <c r="GK45" s="21"/>
      <c r="GL45" s="21"/>
      <c r="GM45" s="21"/>
      <c r="GN45" s="21"/>
      <c r="GO45" s="21"/>
      <c r="GP45" s="21"/>
      <c r="GQ45" s="21"/>
      <c r="GR45" s="24">
        <f t="shared" si="0"/>
        <v>102.1075</v>
      </c>
      <c r="GS45" s="21"/>
      <c r="GT45" s="21"/>
      <c r="GU45" s="21"/>
      <c r="GV45" s="21"/>
      <c r="GW45" s="21"/>
      <c r="GX45" s="21"/>
      <c r="GY45" s="21"/>
    </row>
    <row r="46" spans="1:207" ht="25.2" x14ac:dyDescent="0.35">
      <c r="A46" s="21" t="s">
        <v>72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6">
        <v>3128</v>
      </c>
      <c r="M46" s="26"/>
      <c r="N46" s="26"/>
      <c r="O46" s="26"/>
      <c r="P46" s="26"/>
      <c r="Q46" s="26"/>
      <c r="R46" s="26"/>
      <c r="S46" s="26"/>
      <c r="T46" s="26">
        <v>330</v>
      </c>
      <c r="U46" s="26"/>
      <c r="V46" s="26"/>
      <c r="W46" s="26"/>
      <c r="X46" s="26"/>
      <c r="Y46" s="26"/>
      <c r="Z46" s="26"/>
      <c r="AA46" s="26"/>
      <c r="AB46" s="26">
        <v>30</v>
      </c>
      <c r="AC46" s="26"/>
      <c r="AD46" s="26"/>
      <c r="AE46" s="26"/>
      <c r="AF46" s="26"/>
      <c r="AG46" s="26"/>
      <c r="AH46" s="26"/>
      <c r="AI46" s="26"/>
      <c r="AJ46" s="26">
        <v>5735</v>
      </c>
      <c r="AK46" s="26"/>
      <c r="AL46" s="26"/>
      <c r="AM46" s="26"/>
      <c r="AN46" s="26"/>
      <c r="AO46" s="26"/>
      <c r="AP46" s="26"/>
      <c r="AQ46" s="26"/>
      <c r="AR46" s="26">
        <v>1737880</v>
      </c>
      <c r="AS46" s="26"/>
      <c r="AT46" s="26"/>
      <c r="AU46" s="26"/>
      <c r="AV46" s="26"/>
      <c r="AW46" s="26"/>
      <c r="AX46" s="26"/>
      <c r="AY46" s="26"/>
      <c r="BB46" s="21" t="s">
        <v>29</v>
      </c>
      <c r="BC46" s="21"/>
      <c r="BD46" s="21"/>
      <c r="BE46" s="21"/>
      <c r="BF46" s="21"/>
      <c r="BG46" s="21"/>
      <c r="BH46" s="21"/>
      <c r="BI46" s="21"/>
      <c r="BJ46" s="21" t="s">
        <v>149</v>
      </c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6">
        <v>2912</v>
      </c>
      <c r="CA46" s="26"/>
      <c r="CB46" s="26"/>
      <c r="CC46" s="26"/>
      <c r="CD46" s="26"/>
      <c r="CE46" s="26"/>
      <c r="CF46" s="26"/>
      <c r="CG46" s="26"/>
      <c r="CH46" s="26">
        <v>90</v>
      </c>
      <c r="CI46" s="26"/>
      <c r="CJ46" s="26"/>
      <c r="CK46" s="26"/>
      <c r="CL46" s="26"/>
      <c r="CM46" s="26"/>
      <c r="CN46" s="26"/>
      <c r="CO46" s="26"/>
      <c r="CP46" s="26">
        <v>330</v>
      </c>
      <c r="CQ46" s="26"/>
      <c r="CR46" s="26"/>
      <c r="CS46" s="26"/>
      <c r="CT46" s="26"/>
      <c r="CU46" s="26"/>
      <c r="CV46" s="26"/>
      <c r="CW46" s="26"/>
      <c r="CX46" s="26">
        <v>30</v>
      </c>
      <c r="CY46" s="26"/>
      <c r="CZ46" s="26"/>
      <c r="DA46" s="26"/>
      <c r="DB46" s="26"/>
      <c r="DC46" s="26"/>
      <c r="DD46" s="26"/>
      <c r="DE46" s="26"/>
      <c r="DF46" s="26">
        <v>4195</v>
      </c>
      <c r="DG46" s="26"/>
      <c r="DH46" s="26"/>
      <c r="DI46" s="26"/>
      <c r="DJ46" s="26"/>
      <c r="DK46" s="26"/>
      <c r="DL46" s="26"/>
      <c r="DM46" s="26"/>
      <c r="DN46" s="26">
        <v>1271212</v>
      </c>
      <c r="DO46" s="26"/>
      <c r="DP46" s="26"/>
      <c r="DQ46" s="26"/>
      <c r="DR46" s="26"/>
      <c r="DS46" s="26"/>
      <c r="DT46" s="26"/>
      <c r="DU46" s="26"/>
      <c r="DX46" s="21" t="s">
        <v>76</v>
      </c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4">
        <v>0</v>
      </c>
      <c r="EO46" s="21"/>
      <c r="EP46" s="21"/>
      <c r="EQ46" s="21"/>
      <c r="ER46" s="21"/>
      <c r="ES46" s="21"/>
      <c r="ET46" s="21"/>
      <c r="EU46" s="21"/>
      <c r="EV46" s="24">
        <v>0</v>
      </c>
      <c r="EW46" s="21"/>
      <c r="EX46" s="21"/>
      <c r="EY46" s="21"/>
      <c r="EZ46" s="21"/>
      <c r="FA46" s="21"/>
      <c r="FB46" s="21"/>
      <c r="FC46" s="21"/>
      <c r="FD46" s="24">
        <v>0</v>
      </c>
      <c r="FE46" s="21"/>
      <c r="FF46" s="21"/>
      <c r="FG46" s="21"/>
      <c r="FH46" s="21"/>
      <c r="FI46" s="21"/>
      <c r="FJ46" s="21"/>
      <c r="FK46" s="21"/>
      <c r="FL46" s="24">
        <v>0</v>
      </c>
      <c r="FM46" s="21"/>
      <c r="FN46" s="21"/>
      <c r="FO46" s="21"/>
      <c r="FP46" s="21"/>
      <c r="FQ46" s="21"/>
      <c r="FR46" s="21"/>
      <c r="FS46" s="21"/>
      <c r="FT46" s="24">
        <v>0</v>
      </c>
      <c r="FU46" s="21"/>
      <c r="FV46" s="21"/>
      <c r="FW46" s="21"/>
      <c r="FX46" s="21"/>
      <c r="FY46" s="21"/>
      <c r="FZ46" s="21"/>
      <c r="GA46" s="21"/>
      <c r="GB46" s="24">
        <v>0</v>
      </c>
      <c r="GC46" s="21"/>
      <c r="GD46" s="21"/>
      <c r="GE46" s="21"/>
      <c r="GF46" s="21"/>
      <c r="GG46" s="21"/>
      <c r="GH46" s="21"/>
      <c r="GI46" s="21"/>
      <c r="GJ46" s="24">
        <v>0</v>
      </c>
      <c r="GK46" s="21"/>
      <c r="GL46" s="21"/>
      <c r="GM46" s="21"/>
      <c r="GN46" s="21"/>
      <c r="GO46" s="21"/>
      <c r="GP46" s="21"/>
      <c r="GQ46" s="21"/>
      <c r="GR46" s="24">
        <f t="shared" si="0"/>
        <v>0</v>
      </c>
      <c r="GS46" s="21"/>
      <c r="GT46" s="21"/>
      <c r="GU46" s="21"/>
      <c r="GV46" s="21"/>
      <c r="GW46" s="21"/>
      <c r="GX46" s="21"/>
      <c r="GY46" s="21"/>
    </row>
    <row r="47" spans="1:207" ht="25.2" x14ac:dyDescent="0.35">
      <c r="A47" s="21" t="s">
        <v>74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6">
        <v>13451</v>
      </c>
      <c r="M47" s="26"/>
      <c r="N47" s="26"/>
      <c r="O47" s="26"/>
      <c r="P47" s="26"/>
      <c r="Q47" s="26"/>
      <c r="R47" s="26"/>
      <c r="S47" s="26"/>
      <c r="T47" s="26">
        <v>320</v>
      </c>
      <c r="U47" s="26"/>
      <c r="V47" s="26"/>
      <c r="W47" s="26"/>
      <c r="X47" s="26"/>
      <c r="Y47" s="26"/>
      <c r="Z47" s="26"/>
      <c r="AA47" s="26"/>
      <c r="AB47" s="26">
        <v>30</v>
      </c>
      <c r="AC47" s="26"/>
      <c r="AD47" s="26"/>
      <c r="AE47" s="26"/>
      <c r="AF47" s="26"/>
      <c r="AG47" s="26"/>
      <c r="AH47" s="26"/>
      <c r="AI47" s="26"/>
      <c r="AJ47" s="26">
        <v>10000</v>
      </c>
      <c r="AK47" s="26"/>
      <c r="AL47" s="26"/>
      <c r="AM47" s="26"/>
      <c r="AN47" s="26"/>
      <c r="AO47" s="26"/>
      <c r="AP47" s="26"/>
      <c r="AQ47" s="26"/>
      <c r="AR47" s="26">
        <v>3125000</v>
      </c>
      <c r="AS47" s="26"/>
      <c r="AT47" s="26"/>
      <c r="AU47" s="26"/>
      <c r="AV47" s="26"/>
      <c r="AW47" s="26"/>
      <c r="AX47" s="26"/>
      <c r="AY47" s="26"/>
      <c r="BB47" s="21" t="s">
        <v>29</v>
      </c>
      <c r="BC47" s="21"/>
      <c r="BD47" s="21"/>
      <c r="BE47" s="21"/>
      <c r="BF47" s="21"/>
      <c r="BG47" s="21"/>
      <c r="BH47" s="21"/>
      <c r="BI47" s="21"/>
      <c r="BJ47" s="21" t="s">
        <v>150</v>
      </c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6">
        <v>2182</v>
      </c>
      <c r="CA47" s="26"/>
      <c r="CB47" s="26"/>
      <c r="CC47" s="26"/>
      <c r="CD47" s="26"/>
      <c r="CE47" s="26"/>
      <c r="CF47" s="26"/>
      <c r="CG47" s="26"/>
      <c r="CH47" s="26">
        <v>74</v>
      </c>
      <c r="CI47" s="26"/>
      <c r="CJ47" s="26"/>
      <c r="CK47" s="26"/>
      <c r="CL47" s="26"/>
      <c r="CM47" s="26"/>
      <c r="CN47" s="26"/>
      <c r="CO47" s="26"/>
      <c r="CP47" s="26">
        <v>330</v>
      </c>
      <c r="CQ47" s="26"/>
      <c r="CR47" s="26"/>
      <c r="CS47" s="26"/>
      <c r="CT47" s="26"/>
      <c r="CU47" s="26"/>
      <c r="CV47" s="26"/>
      <c r="CW47" s="26"/>
      <c r="CX47" s="26">
        <v>30</v>
      </c>
      <c r="CY47" s="26"/>
      <c r="CZ47" s="26"/>
      <c r="DA47" s="26"/>
      <c r="DB47" s="26"/>
      <c r="DC47" s="26"/>
      <c r="DD47" s="26"/>
      <c r="DE47" s="26"/>
      <c r="DF47" s="26">
        <v>5984</v>
      </c>
      <c r="DG47" s="26"/>
      <c r="DH47" s="26"/>
      <c r="DI47" s="26"/>
      <c r="DJ47" s="26"/>
      <c r="DK47" s="26"/>
      <c r="DL47" s="26"/>
      <c r="DM47" s="26"/>
      <c r="DN47" s="26">
        <v>1813333</v>
      </c>
      <c r="DO47" s="26"/>
      <c r="DP47" s="26"/>
      <c r="DQ47" s="26"/>
      <c r="DR47" s="26"/>
      <c r="DS47" s="26"/>
      <c r="DT47" s="26"/>
      <c r="DU47" s="26"/>
      <c r="DX47" s="21" t="s">
        <v>78</v>
      </c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4">
        <v>123.200225</v>
      </c>
      <c r="EO47" s="21"/>
      <c r="EP47" s="21"/>
      <c r="EQ47" s="21"/>
      <c r="ER47" s="21"/>
      <c r="ES47" s="21"/>
      <c r="ET47" s="21"/>
      <c r="EU47" s="21"/>
      <c r="EV47" s="24">
        <v>65.869488888888881</v>
      </c>
      <c r="EW47" s="21"/>
      <c r="EX47" s="21"/>
      <c r="EY47" s="21"/>
      <c r="EZ47" s="21"/>
      <c r="FA47" s="21"/>
      <c r="FB47" s="21"/>
      <c r="FC47" s="21"/>
      <c r="FD47" s="24">
        <v>109.36796944444446</v>
      </c>
      <c r="FE47" s="21"/>
      <c r="FF47" s="21"/>
      <c r="FG47" s="21"/>
      <c r="FH47" s="21"/>
      <c r="FI47" s="21"/>
      <c r="FJ47" s="21"/>
      <c r="FK47" s="21"/>
      <c r="FL47" s="24">
        <v>108.02286333333333</v>
      </c>
      <c r="FM47" s="21"/>
      <c r="FN47" s="21"/>
      <c r="FO47" s="21"/>
      <c r="FP47" s="21"/>
      <c r="FQ47" s="21"/>
      <c r="FR47" s="21"/>
      <c r="FS47" s="21"/>
      <c r="FT47" s="24">
        <v>29.411122222222225</v>
      </c>
      <c r="FU47" s="21"/>
      <c r="FV47" s="21"/>
      <c r="FW47" s="21"/>
      <c r="FX47" s="21"/>
      <c r="FY47" s="21"/>
      <c r="FZ47" s="21"/>
      <c r="GA47" s="21"/>
      <c r="GB47" s="24">
        <v>45.383158333333334</v>
      </c>
      <c r="GC47" s="21"/>
      <c r="GD47" s="21"/>
      <c r="GE47" s="21"/>
      <c r="GF47" s="21"/>
      <c r="GG47" s="21"/>
      <c r="GH47" s="21"/>
      <c r="GI47" s="21"/>
      <c r="GJ47" s="24">
        <v>0</v>
      </c>
      <c r="GK47" s="21"/>
      <c r="GL47" s="21"/>
      <c r="GM47" s="21"/>
      <c r="GN47" s="21"/>
      <c r="GO47" s="21"/>
      <c r="GP47" s="21"/>
      <c r="GQ47" s="21"/>
      <c r="GR47" s="24">
        <f t="shared" si="0"/>
        <v>481.25482722222222</v>
      </c>
      <c r="GS47" s="21"/>
      <c r="GT47" s="21"/>
      <c r="GU47" s="21"/>
      <c r="GV47" s="21"/>
      <c r="GW47" s="21"/>
      <c r="GX47" s="21"/>
      <c r="GY47" s="21"/>
    </row>
    <row r="48" spans="1:207" ht="25.2" x14ac:dyDescent="0.35">
      <c r="A48" s="21" t="s">
        <v>151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6">
        <v>14709</v>
      </c>
      <c r="M48" s="26"/>
      <c r="N48" s="26"/>
      <c r="O48" s="26"/>
      <c r="P48" s="26"/>
      <c r="Q48" s="26"/>
      <c r="R48" s="26"/>
      <c r="S48" s="26"/>
      <c r="T48" s="26">
        <v>330</v>
      </c>
      <c r="U48" s="26"/>
      <c r="V48" s="26"/>
      <c r="W48" s="26"/>
      <c r="X48" s="26"/>
      <c r="Y48" s="26"/>
      <c r="Z48" s="26"/>
      <c r="AA48" s="26"/>
      <c r="AB48" s="26">
        <v>6</v>
      </c>
      <c r="AC48" s="26"/>
      <c r="AD48" s="26"/>
      <c r="AE48" s="26"/>
      <c r="AF48" s="26"/>
      <c r="AG48" s="26"/>
      <c r="AH48" s="26"/>
      <c r="AI48" s="26"/>
      <c r="AJ48" s="26">
        <v>10000</v>
      </c>
      <c r="AK48" s="26"/>
      <c r="AL48" s="26"/>
      <c r="AM48" s="26"/>
      <c r="AN48" s="26"/>
      <c r="AO48" s="26"/>
      <c r="AP48" s="26"/>
      <c r="AQ48" s="26"/>
      <c r="AR48" s="26">
        <v>3030306</v>
      </c>
      <c r="AS48" s="26"/>
      <c r="AT48" s="26"/>
      <c r="AU48" s="26"/>
      <c r="AV48" s="26"/>
      <c r="AW48" s="26"/>
      <c r="AX48" s="26"/>
      <c r="AY48" s="26"/>
      <c r="BB48" s="21" t="s">
        <v>36</v>
      </c>
      <c r="BC48" s="21"/>
      <c r="BD48" s="21"/>
      <c r="BE48" s="21"/>
      <c r="BF48" s="21"/>
      <c r="BG48" s="21"/>
      <c r="BH48" s="21"/>
      <c r="BI48" s="21"/>
      <c r="BJ48" s="21" t="s">
        <v>123</v>
      </c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6">
        <v>9139</v>
      </c>
      <c r="CA48" s="26"/>
      <c r="CB48" s="26"/>
      <c r="CC48" s="26"/>
      <c r="CD48" s="26"/>
      <c r="CE48" s="26"/>
      <c r="CF48" s="26"/>
      <c r="CG48" s="26"/>
      <c r="CH48" s="26">
        <v>90</v>
      </c>
      <c r="CI48" s="26"/>
      <c r="CJ48" s="26"/>
      <c r="CK48" s="26"/>
      <c r="CL48" s="26"/>
      <c r="CM48" s="26"/>
      <c r="CN48" s="26"/>
      <c r="CO48" s="26"/>
      <c r="CP48" s="26">
        <v>250</v>
      </c>
      <c r="CQ48" s="26"/>
      <c r="CR48" s="26"/>
      <c r="CS48" s="26"/>
      <c r="CT48" s="26"/>
      <c r="CU48" s="26"/>
      <c r="CV48" s="26"/>
      <c r="CW48" s="26"/>
      <c r="CX48" s="26">
        <v>38</v>
      </c>
      <c r="CY48" s="26"/>
      <c r="CZ48" s="26"/>
      <c r="DA48" s="26"/>
      <c r="DB48" s="26"/>
      <c r="DC48" s="26"/>
      <c r="DD48" s="26"/>
      <c r="DE48" s="26"/>
      <c r="DF48" s="26">
        <v>7529</v>
      </c>
      <c r="DG48" s="26"/>
      <c r="DH48" s="26"/>
      <c r="DI48" s="26"/>
      <c r="DJ48" s="26"/>
      <c r="DK48" s="26"/>
      <c r="DL48" s="26"/>
      <c r="DM48" s="26"/>
      <c r="DN48" s="26">
        <v>3011600</v>
      </c>
      <c r="DO48" s="26"/>
      <c r="DP48" s="26"/>
      <c r="DQ48" s="26"/>
      <c r="DR48" s="26"/>
      <c r="DS48" s="26"/>
      <c r="DT48" s="26"/>
      <c r="DU48" s="26"/>
      <c r="DX48" s="21" t="s">
        <v>80</v>
      </c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4">
        <v>36.799774999999997</v>
      </c>
      <c r="EO48" s="21"/>
      <c r="EP48" s="21"/>
      <c r="EQ48" s="21"/>
      <c r="ER48" s="21"/>
      <c r="ES48" s="21"/>
      <c r="ET48" s="21"/>
      <c r="EU48" s="21"/>
      <c r="EV48" s="24">
        <v>24.023011111111114</v>
      </c>
      <c r="EW48" s="21"/>
      <c r="EX48" s="21"/>
      <c r="EY48" s="21"/>
      <c r="EZ48" s="21"/>
      <c r="FA48" s="21"/>
      <c r="FB48" s="21"/>
      <c r="FC48" s="21"/>
      <c r="FD48" s="24">
        <v>42.632030555555552</v>
      </c>
      <c r="FE48" s="21"/>
      <c r="FF48" s="21"/>
      <c r="FG48" s="21"/>
      <c r="FH48" s="21"/>
      <c r="FI48" s="21"/>
      <c r="FJ48" s="21"/>
      <c r="FK48" s="21"/>
      <c r="FL48" s="24">
        <v>43.681581111111115</v>
      </c>
      <c r="FM48" s="21"/>
      <c r="FN48" s="21"/>
      <c r="FO48" s="21"/>
      <c r="FP48" s="21"/>
      <c r="FQ48" s="21"/>
      <c r="FR48" s="21"/>
      <c r="FS48" s="21"/>
      <c r="FT48" s="24">
        <v>6.4561000000000002</v>
      </c>
      <c r="FU48" s="21"/>
      <c r="FV48" s="21"/>
      <c r="FW48" s="21"/>
      <c r="FX48" s="21"/>
      <c r="FY48" s="21"/>
      <c r="FZ48" s="21"/>
      <c r="GA48" s="21"/>
      <c r="GB48" s="24">
        <v>13.556008333333333</v>
      </c>
      <c r="GC48" s="21"/>
      <c r="GD48" s="21"/>
      <c r="GE48" s="21"/>
      <c r="GF48" s="21"/>
      <c r="GG48" s="21"/>
      <c r="GH48" s="21"/>
      <c r="GI48" s="21"/>
      <c r="GJ48" s="24">
        <v>0</v>
      </c>
      <c r="GK48" s="21"/>
      <c r="GL48" s="21"/>
      <c r="GM48" s="21"/>
      <c r="GN48" s="21"/>
      <c r="GO48" s="21"/>
      <c r="GP48" s="21"/>
      <c r="GQ48" s="21"/>
      <c r="GR48" s="24">
        <f t="shared" si="0"/>
        <v>167.14850611111109</v>
      </c>
      <c r="GS48" s="21"/>
      <c r="GT48" s="21"/>
      <c r="GU48" s="21"/>
      <c r="GV48" s="21"/>
      <c r="GW48" s="21"/>
      <c r="GX48" s="21"/>
      <c r="GY48" s="21"/>
    </row>
    <row r="49" spans="1:207" ht="25.2" x14ac:dyDescent="0.35">
      <c r="A49" s="21" t="s">
        <v>77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6">
        <v>20867</v>
      </c>
      <c r="M49" s="26"/>
      <c r="N49" s="26"/>
      <c r="O49" s="26"/>
      <c r="P49" s="26"/>
      <c r="Q49" s="26"/>
      <c r="R49" s="26"/>
      <c r="S49" s="26"/>
      <c r="T49" s="26">
        <v>330</v>
      </c>
      <c r="U49" s="26"/>
      <c r="V49" s="26"/>
      <c r="W49" s="26"/>
      <c r="X49" s="26"/>
      <c r="Y49" s="26"/>
      <c r="Z49" s="26"/>
      <c r="AA49" s="26"/>
      <c r="AB49" s="26">
        <v>30</v>
      </c>
      <c r="AC49" s="26"/>
      <c r="AD49" s="26"/>
      <c r="AE49" s="26"/>
      <c r="AF49" s="26"/>
      <c r="AG49" s="26"/>
      <c r="AH49" s="26"/>
      <c r="AI49" s="26"/>
      <c r="AJ49" s="26">
        <v>4360</v>
      </c>
      <c r="AK49" s="26"/>
      <c r="AL49" s="26"/>
      <c r="AM49" s="26"/>
      <c r="AN49" s="26"/>
      <c r="AO49" s="26"/>
      <c r="AP49" s="26"/>
      <c r="AQ49" s="26"/>
      <c r="AR49" s="26">
        <v>1321213</v>
      </c>
      <c r="AS49" s="26"/>
      <c r="AT49" s="26"/>
      <c r="AU49" s="26"/>
      <c r="AV49" s="26"/>
      <c r="AW49" s="26"/>
      <c r="AX49" s="26"/>
      <c r="AY49" s="26"/>
      <c r="BB49" s="21" t="s">
        <v>36</v>
      </c>
      <c r="BC49" s="21"/>
      <c r="BD49" s="21"/>
      <c r="BE49" s="21"/>
      <c r="BF49" s="21"/>
      <c r="BG49" s="21"/>
      <c r="BH49" s="21"/>
      <c r="BI49" s="21"/>
      <c r="BJ49" s="21" t="s">
        <v>72</v>
      </c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6">
        <v>3128</v>
      </c>
      <c r="CA49" s="26"/>
      <c r="CB49" s="26"/>
      <c r="CC49" s="26"/>
      <c r="CD49" s="26"/>
      <c r="CE49" s="26"/>
      <c r="CF49" s="26"/>
      <c r="CG49" s="26"/>
      <c r="CH49" s="26">
        <v>74</v>
      </c>
      <c r="CI49" s="26"/>
      <c r="CJ49" s="26"/>
      <c r="CK49" s="26"/>
      <c r="CL49" s="26"/>
      <c r="CM49" s="26"/>
      <c r="CN49" s="26"/>
      <c r="CO49" s="26"/>
      <c r="CP49" s="26">
        <v>330</v>
      </c>
      <c r="CQ49" s="26"/>
      <c r="CR49" s="26"/>
      <c r="CS49" s="26"/>
      <c r="CT49" s="26"/>
      <c r="CU49" s="26"/>
      <c r="CV49" s="26"/>
      <c r="CW49" s="26"/>
      <c r="CX49" s="26">
        <v>30</v>
      </c>
      <c r="CY49" s="26"/>
      <c r="CZ49" s="26"/>
      <c r="DA49" s="26"/>
      <c r="DB49" s="26"/>
      <c r="DC49" s="26"/>
      <c r="DD49" s="26"/>
      <c r="DE49" s="26"/>
      <c r="DF49" s="26">
        <v>5735</v>
      </c>
      <c r="DG49" s="26"/>
      <c r="DH49" s="26"/>
      <c r="DI49" s="26"/>
      <c r="DJ49" s="26"/>
      <c r="DK49" s="26"/>
      <c r="DL49" s="26"/>
      <c r="DM49" s="26"/>
      <c r="DN49" s="26">
        <v>1737880</v>
      </c>
      <c r="DO49" s="26"/>
      <c r="DP49" s="26"/>
      <c r="DQ49" s="26"/>
      <c r="DR49" s="26"/>
      <c r="DS49" s="26"/>
      <c r="DT49" s="26"/>
      <c r="DU49" s="26"/>
      <c r="DX49" s="21" t="s">
        <v>82</v>
      </c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4">
        <f>SUM(EN43:EU48)</f>
        <v>168</v>
      </c>
      <c r="EO49" s="21"/>
      <c r="EP49" s="21"/>
      <c r="EQ49" s="21"/>
      <c r="ER49" s="21"/>
      <c r="ES49" s="21"/>
      <c r="ET49" s="21"/>
      <c r="EU49" s="21"/>
      <c r="EV49" s="24">
        <f>SUM(EV43:FC48)</f>
        <v>168</v>
      </c>
      <c r="EW49" s="21"/>
      <c r="EX49" s="21"/>
      <c r="EY49" s="21"/>
      <c r="EZ49" s="21"/>
      <c r="FA49" s="21"/>
      <c r="FB49" s="21"/>
      <c r="FC49" s="21"/>
      <c r="FD49" s="24">
        <f>SUM(FD43:FK48)</f>
        <v>168</v>
      </c>
      <c r="FE49" s="21"/>
      <c r="FF49" s="21"/>
      <c r="FG49" s="21"/>
      <c r="FH49" s="21"/>
      <c r="FI49" s="21"/>
      <c r="FJ49" s="21"/>
      <c r="FK49" s="21"/>
      <c r="FL49" s="24">
        <f>SUM(FL43:FS48)</f>
        <v>168</v>
      </c>
      <c r="FM49" s="21"/>
      <c r="FN49" s="21"/>
      <c r="FO49" s="21"/>
      <c r="FP49" s="21"/>
      <c r="FQ49" s="21"/>
      <c r="FR49" s="21"/>
      <c r="FS49" s="21"/>
      <c r="FT49" s="24">
        <f>SUM(FT43:GA48)</f>
        <v>38.867222222222225</v>
      </c>
      <c r="FU49" s="21"/>
      <c r="FV49" s="21"/>
      <c r="FW49" s="21"/>
      <c r="FX49" s="21"/>
      <c r="FY49" s="21"/>
      <c r="FZ49" s="21"/>
      <c r="GA49" s="21"/>
      <c r="GB49" s="24">
        <f>SUM(GB43:GI48)</f>
        <v>64.939166666666665</v>
      </c>
      <c r="GC49" s="21"/>
      <c r="GD49" s="21"/>
      <c r="GE49" s="21"/>
      <c r="GF49" s="21"/>
      <c r="GG49" s="21"/>
      <c r="GH49" s="21"/>
      <c r="GI49" s="21"/>
      <c r="GJ49" s="24">
        <f>SUM(GJ43:GQ48)</f>
        <v>0</v>
      </c>
      <c r="GK49" s="21"/>
      <c r="GL49" s="21"/>
      <c r="GM49" s="21"/>
      <c r="GN49" s="21"/>
      <c r="GO49" s="21"/>
      <c r="GP49" s="21"/>
      <c r="GQ49" s="21"/>
      <c r="GR49" s="24">
        <f t="shared" si="0"/>
        <v>775.80638888888893</v>
      </c>
      <c r="GS49" s="21"/>
      <c r="GT49" s="21"/>
      <c r="GU49" s="21"/>
      <c r="GV49" s="21"/>
      <c r="GW49" s="21"/>
      <c r="GX49" s="21"/>
      <c r="GY49" s="21"/>
    </row>
    <row r="50" spans="1:207" ht="25.2" x14ac:dyDescent="0.35">
      <c r="A50" s="21" t="s">
        <v>71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6">
        <v>3617</v>
      </c>
      <c r="M50" s="26"/>
      <c r="N50" s="26"/>
      <c r="O50" s="26"/>
      <c r="P50" s="26"/>
      <c r="Q50" s="26"/>
      <c r="R50" s="26"/>
      <c r="S50" s="26"/>
      <c r="T50" s="26">
        <v>175</v>
      </c>
      <c r="U50" s="26"/>
      <c r="V50" s="26"/>
      <c r="W50" s="26"/>
      <c r="X50" s="26"/>
      <c r="Y50" s="26"/>
      <c r="Z50" s="26"/>
      <c r="AA50" s="26"/>
      <c r="AB50" s="26">
        <v>38</v>
      </c>
      <c r="AC50" s="26"/>
      <c r="AD50" s="26"/>
      <c r="AE50" s="26"/>
      <c r="AF50" s="26"/>
      <c r="AG50" s="26"/>
      <c r="AH50" s="26"/>
      <c r="AI50" s="26"/>
      <c r="AJ50" s="26">
        <v>12937</v>
      </c>
      <c r="AK50" s="26"/>
      <c r="AL50" s="26"/>
      <c r="AM50" s="26"/>
      <c r="AN50" s="26"/>
      <c r="AO50" s="26"/>
      <c r="AP50" s="26"/>
      <c r="AQ50" s="26"/>
      <c r="AR50" s="26">
        <v>7392338</v>
      </c>
      <c r="AS50" s="26"/>
      <c r="AT50" s="26"/>
      <c r="AU50" s="26"/>
      <c r="AV50" s="26"/>
      <c r="AW50" s="26"/>
      <c r="AX50" s="26"/>
      <c r="AY50" s="26"/>
      <c r="BB50" s="21" t="s">
        <v>36</v>
      </c>
      <c r="BC50" s="21"/>
      <c r="BD50" s="21"/>
      <c r="BE50" s="21"/>
      <c r="BF50" s="21"/>
      <c r="BG50" s="21"/>
      <c r="BH50" s="21"/>
      <c r="BI50" s="21"/>
      <c r="BJ50" s="21" t="s">
        <v>74</v>
      </c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6">
        <v>13451</v>
      </c>
      <c r="CA50" s="26"/>
      <c r="CB50" s="26"/>
      <c r="CC50" s="26"/>
      <c r="CD50" s="26"/>
      <c r="CE50" s="26"/>
      <c r="CF50" s="26"/>
      <c r="CG50" s="26"/>
      <c r="CH50" s="26">
        <v>90</v>
      </c>
      <c r="CI50" s="26"/>
      <c r="CJ50" s="26"/>
      <c r="CK50" s="26"/>
      <c r="CL50" s="26"/>
      <c r="CM50" s="26"/>
      <c r="CN50" s="26"/>
      <c r="CO50" s="26"/>
      <c r="CP50" s="26">
        <v>320</v>
      </c>
      <c r="CQ50" s="26"/>
      <c r="CR50" s="26"/>
      <c r="CS50" s="26"/>
      <c r="CT50" s="26"/>
      <c r="CU50" s="26"/>
      <c r="CV50" s="26"/>
      <c r="CW50" s="26"/>
      <c r="CX50" s="26">
        <v>30</v>
      </c>
      <c r="CY50" s="26"/>
      <c r="CZ50" s="26"/>
      <c r="DA50" s="26"/>
      <c r="DB50" s="26"/>
      <c r="DC50" s="26"/>
      <c r="DD50" s="26"/>
      <c r="DE50" s="26"/>
      <c r="DF50" s="26">
        <v>10000</v>
      </c>
      <c r="DG50" s="26"/>
      <c r="DH50" s="26"/>
      <c r="DI50" s="26"/>
      <c r="DJ50" s="26"/>
      <c r="DK50" s="26"/>
      <c r="DL50" s="26"/>
      <c r="DM50" s="26"/>
      <c r="DN50" s="26">
        <v>3125000</v>
      </c>
      <c r="DO50" s="26"/>
      <c r="DP50" s="26"/>
      <c r="DQ50" s="26"/>
      <c r="DR50" s="26"/>
      <c r="DS50" s="26"/>
      <c r="DT50" s="26"/>
      <c r="DU50" s="26"/>
      <c r="DX50" s="21" t="s">
        <v>84</v>
      </c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5">
        <f>IF(EN49=0,0,EN47/EN49)</f>
        <v>0.73333467261904761</v>
      </c>
      <c r="EO50" s="25"/>
      <c r="EP50" s="25"/>
      <c r="EQ50" s="25"/>
      <c r="ER50" s="25"/>
      <c r="ES50" s="25"/>
      <c r="ET50" s="25"/>
      <c r="EU50" s="25"/>
      <c r="EV50" s="25">
        <f>IF(EV49=0,0,EV47/EV49)</f>
        <v>0.39208029100529096</v>
      </c>
      <c r="EW50" s="25"/>
      <c r="EX50" s="25"/>
      <c r="EY50" s="25"/>
      <c r="EZ50" s="25"/>
      <c r="FA50" s="25"/>
      <c r="FB50" s="25"/>
      <c r="FC50" s="25"/>
      <c r="FD50" s="25">
        <f>IF(FD49=0,0,FD47/FD49)</f>
        <v>0.65099981812169316</v>
      </c>
      <c r="FE50" s="25"/>
      <c r="FF50" s="25"/>
      <c r="FG50" s="25"/>
      <c r="FH50" s="25"/>
      <c r="FI50" s="25"/>
      <c r="FJ50" s="25"/>
      <c r="FK50" s="25"/>
      <c r="FL50" s="25">
        <f>IF(FL49=0,0,FL47/FL49)</f>
        <v>0.64299323412698417</v>
      </c>
      <c r="FM50" s="25"/>
      <c r="FN50" s="25"/>
      <c r="FO50" s="25"/>
      <c r="FP50" s="25"/>
      <c r="FQ50" s="25"/>
      <c r="FR50" s="25"/>
      <c r="FS50" s="25"/>
      <c r="FT50" s="25">
        <f>IF(FT49=0,0,FT47/FT49)</f>
        <v>0.75670759423107159</v>
      </c>
      <c r="FU50" s="25"/>
      <c r="FV50" s="25"/>
      <c r="FW50" s="25"/>
      <c r="FX50" s="25"/>
      <c r="FY50" s="25"/>
      <c r="FZ50" s="25"/>
      <c r="GA50" s="25"/>
      <c r="GB50" s="25">
        <f>IF(GB49=0,0,GB47/GB49)</f>
        <v>0.69885649389813542</v>
      </c>
      <c r="GC50" s="25"/>
      <c r="GD50" s="25"/>
      <c r="GE50" s="25"/>
      <c r="GF50" s="25"/>
      <c r="GG50" s="25"/>
      <c r="GH50" s="25"/>
      <c r="GI50" s="25"/>
      <c r="GJ50" s="25">
        <f>IF(GJ49=0,0,GJ47/GJ49)</f>
        <v>0</v>
      </c>
      <c r="GK50" s="25"/>
      <c r="GL50" s="25"/>
      <c r="GM50" s="25"/>
      <c r="GN50" s="25"/>
      <c r="GO50" s="25"/>
      <c r="GP50" s="25"/>
      <c r="GQ50" s="25"/>
      <c r="GR50" s="25">
        <f>IF(GR49=0,0,GR47/GR49)</f>
        <v>0.62032851767497832</v>
      </c>
      <c r="GS50" s="25"/>
      <c r="GT50" s="25"/>
      <c r="GU50" s="25"/>
      <c r="GV50" s="25"/>
      <c r="GW50" s="25"/>
      <c r="GX50" s="25"/>
      <c r="GY50" s="25"/>
    </row>
    <row r="51" spans="1:207" ht="25.2" x14ac:dyDescent="0.35">
      <c r="A51" s="21" t="s">
        <v>129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6">
        <v>9480</v>
      </c>
      <c r="M51" s="26"/>
      <c r="N51" s="26"/>
      <c r="O51" s="26"/>
      <c r="P51" s="26"/>
      <c r="Q51" s="26"/>
      <c r="R51" s="26"/>
      <c r="S51" s="26"/>
      <c r="T51" s="26">
        <v>1000</v>
      </c>
      <c r="U51" s="26"/>
      <c r="V51" s="26"/>
      <c r="W51" s="26"/>
      <c r="X51" s="26"/>
      <c r="Y51" s="26"/>
      <c r="Z51" s="26"/>
      <c r="AA51" s="26"/>
      <c r="AB51" s="26">
        <v>13</v>
      </c>
      <c r="AC51" s="26"/>
      <c r="AD51" s="26"/>
      <c r="AE51" s="26"/>
      <c r="AF51" s="26"/>
      <c r="AG51" s="26"/>
      <c r="AH51" s="26"/>
      <c r="AI51" s="26"/>
      <c r="AJ51" s="26">
        <v>1600</v>
      </c>
      <c r="AK51" s="26"/>
      <c r="AL51" s="26"/>
      <c r="AM51" s="26"/>
      <c r="AN51" s="26"/>
      <c r="AO51" s="26"/>
      <c r="AP51" s="26"/>
      <c r="AQ51" s="26"/>
      <c r="AR51" s="26">
        <v>160000</v>
      </c>
      <c r="AS51" s="26"/>
      <c r="AT51" s="26"/>
      <c r="AU51" s="26"/>
      <c r="AV51" s="26"/>
      <c r="AW51" s="26"/>
      <c r="AX51" s="26"/>
      <c r="AY51" s="26"/>
      <c r="BB51" s="21" t="s">
        <v>41</v>
      </c>
      <c r="BC51" s="21"/>
      <c r="BD51" s="21"/>
      <c r="BE51" s="21"/>
      <c r="BF51" s="21"/>
      <c r="BG51" s="21"/>
      <c r="BH51" s="21"/>
      <c r="BI51" s="21"/>
      <c r="BJ51" s="21" t="s">
        <v>124</v>
      </c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6">
        <v>9909</v>
      </c>
      <c r="CA51" s="26"/>
      <c r="CB51" s="26"/>
      <c r="CC51" s="26"/>
      <c r="CD51" s="26"/>
      <c r="CE51" s="26"/>
      <c r="CF51" s="26"/>
      <c r="CG51" s="26"/>
      <c r="CH51" s="26">
        <v>90</v>
      </c>
      <c r="CI51" s="26"/>
      <c r="CJ51" s="26"/>
      <c r="CK51" s="26"/>
      <c r="CL51" s="26"/>
      <c r="CM51" s="26"/>
      <c r="CN51" s="26"/>
      <c r="CO51" s="26"/>
      <c r="CP51" s="26">
        <v>269</v>
      </c>
      <c r="CQ51" s="26"/>
      <c r="CR51" s="26"/>
      <c r="CS51" s="26"/>
      <c r="CT51" s="26"/>
      <c r="CU51" s="26"/>
      <c r="CV51" s="26"/>
      <c r="CW51" s="26"/>
      <c r="CX51" s="26">
        <v>6</v>
      </c>
      <c r="CY51" s="26"/>
      <c r="CZ51" s="26"/>
      <c r="DA51" s="26"/>
      <c r="DB51" s="26"/>
      <c r="DC51" s="26"/>
      <c r="DD51" s="26"/>
      <c r="DE51" s="26"/>
      <c r="DF51" s="26">
        <v>9283</v>
      </c>
      <c r="DG51" s="26"/>
      <c r="DH51" s="26"/>
      <c r="DI51" s="26"/>
      <c r="DJ51" s="26"/>
      <c r="DK51" s="26"/>
      <c r="DL51" s="26"/>
      <c r="DM51" s="26"/>
      <c r="DN51" s="26">
        <v>3450928</v>
      </c>
      <c r="DO51" s="26"/>
      <c r="DP51" s="26"/>
      <c r="DQ51" s="26"/>
      <c r="DR51" s="26"/>
      <c r="DS51" s="26"/>
      <c r="DT51" s="26"/>
      <c r="DU51" s="26"/>
    </row>
    <row r="52" spans="1:207" ht="25.2" x14ac:dyDescent="0.35">
      <c r="A52" s="21" t="s">
        <v>148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6">
        <v>11635</v>
      </c>
      <c r="M52" s="26"/>
      <c r="N52" s="26"/>
      <c r="O52" s="26"/>
      <c r="P52" s="26"/>
      <c r="Q52" s="26"/>
      <c r="R52" s="26"/>
      <c r="S52" s="26"/>
      <c r="T52" s="26">
        <v>330</v>
      </c>
      <c r="U52" s="26"/>
      <c r="V52" s="26"/>
      <c r="W52" s="26"/>
      <c r="X52" s="26"/>
      <c r="Y52" s="26"/>
      <c r="Z52" s="26"/>
      <c r="AA52" s="26"/>
      <c r="AB52" s="26">
        <v>30</v>
      </c>
      <c r="AC52" s="26"/>
      <c r="AD52" s="26"/>
      <c r="AE52" s="26"/>
      <c r="AF52" s="26"/>
      <c r="AG52" s="26"/>
      <c r="AH52" s="26"/>
      <c r="AI52" s="26"/>
      <c r="AJ52" s="26">
        <v>821</v>
      </c>
      <c r="AK52" s="26"/>
      <c r="AL52" s="26"/>
      <c r="AM52" s="26"/>
      <c r="AN52" s="26"/>
      <c r="AO52" s="26"/>
      <c r="AP52" s="26"/>
      <c r="AQ52" s="26"/>
      <c r="AR52" s="26">
        <v>248788</v>
      </c>
      <c r="AS52" s="26"/>
      <c r="AT52" s="26"/>
      <c r="AU52" s="26"/>
      <c r="AV52" s="26"/>
      <c r="AW52" s="26"/>
      <c r="AX52" s="26"/>
      <c r="AY52" s="26"/>
      <c r="BB52" s="21" t="s">
        <v>41</v>
      </c>
      <c r="BC52" s="21"/>
      <c r="BD52" s="21"/>
      <c r="BE52" s="21"/>
      <c r="BF52" s="21"/>
      <c r="BG52" s="21"/>
      <c r="BH52" s="21"/>
      <c r="BI52" s="21"/>
      <c r="BJ52" s="21" t="s">
        <v>151</v>
      </c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6">
        <v>14709</v>
      </c>
      <c r="CA52" s="26"/>
      <c r="CB52" s="26"/>
      <c r="CC52" s="26"/>
      <c r="CD52" s="26"/>
      <c r="CE52" s="26"/>
      <c r="CF52" s="26"/>
      <c r="CG52" s="26"/>
      <c r="CH52" s="26">
        <v>90</v>
      </c>
      <c r="CI52" s="26"/>
      <c r="CJ52" s="26"/>
      <c r="CK52" s="26"/>
      <c r="CL52" s="26"/>
      <c r="CM52" s="26"/>
      <c r="CN52" s="26"/>
      <c r="CO52" s="26"/>
      <c r="CP52" s="26">
        <v>330</v>
      </c>
      <c r="CQ52" s="26"/>
      <c r="CR52" s="26"/>
      <c r="CS52" s="26"/>
      <c r="CT52" s="26"/>
      <c r="CU52" s="26"/>
      <c r="CV52" s="26"/>
      <c r="CW52" s="26"/>
      <c r="CX52" s="26">
        <v>6</v>
      </c>
      <c r="CY52" s="26"/>
      <c r="CZ52" s="26"/>
      <c r="DA52" s="26"/>
      <c r="DB52" s="26"/>
      <c r="DC52" s="26"/>
      <c r="DD52" s="26"/>
      <c r="DE52" s="26"/>
      <c r="DF52" s="26">
        <v>10000</v>
      </c>
      <c r="DG52" s="26"/>
      <c r="DH52" s="26"/>
      <c r="DI52" s="26"/>
      <c r="DJ52" s="26"/>
      <c r="DK52" s="26"/>
      <c r="DL52" s="26"/>
      <c r="DM52" s="26"/>
      <c r="DN52" s="26">
        <v>3030306</v>
      </c>
      <c r="DO52" s="26"/>
      <c r="DP52" s="26"/>
      <c r="DQ52" s="26"/>
      <c r="DR52" s="26"/>
      <c r="DS52" s="26"/>
      <c r="DT52" s="26"/>
      <c r="DU52" s="26"/>
      <c r="DX52" s="21" t="s">
        <v>86</v>
      </c>
      <c r="DY52" s="21" t="s">
        <v>86</v>
      </c>
      <c r="DZ52" s="21" t="s">
        <v>86</v>
      </c>
      <c r="EA52" s="21" t="s">
        <v>86</v>
      </c>
      <c r="EB52" s="21" t="s">
        <v>86</v>
      </c>
      <c r="EC52" s="21" t="s">
        <v>86</v>
      </c>
      <c r="ED52" s="21" t="s">
        <v>86</v>
      </c>
      <c r="EE52" s="21" t="s">
        <v>86</v>
      </c>
      <c r="EF52" s="21" t="s">
        <v>86</v>
      </c>
      <c r="EG52" s="21" t="s">
        <v>86</v>
      </c>
      <c r="EH52" s="21" t="s">
        <v>86</v>
      </c>
      <c r="EI52" s="21" t="s">
        <v>86</v>
      </c>
      <c r="EJ52" s="21" t="s">
        <v>86</v>
      </c>
      <c r="EK52" s="21" t="s">
        <v>86</v>
      </c>
      <c r="EL52" s="21" t="s">
        <v>86</v>
      </c>
      <c r="EM52" s="21" t="s">
        <v>86</v>
      </c>
      <c r="EN52" s="21" t="s">
        <v>23</v>
      </c>
      <c r="EO52" s="21"/>
      <c r="EP52" s="21"/>
      <c r="EQ52" s="21"/>
      <c r="ER52" s="21"/>
      <c r="ES52" s="21"/>
      <c r="ET52" s="21"/>
      <c r="EU52" s="21"/>
      <c r="EV52" s="21" t="s">
        <v>29</v>
      </c>
      <c r="EW52" s="21"/>
      <c r="EX52" s="21"/>
      <c r="EY52" s="21"/>
      <c r="EZ52" s="21"/>
      <c r="FA52" s="21"/>
      <c r="FB52" s="21"/>
      <c r="FC52" s="21"/>
      <c r="FD52" s="21" t="s">
        <v>36</v>
      </c>
      <c r="FE52" s="21"/>
      <c r="FF52" s="21"/>
      <c r="FG52" s="21"/>
      <c r="FH52" s="21"/>
      <c r="FI52" s="21"/>
      <c r="FJ52" s="21"/>
      <c r="FK52" s="21"/>
      <c r="FL52" s="21" t="s">
        <v>41</v>
      </c>
      <c r="FM52" s="21"/>
      <c r="FN52" s="21"/>
      <c r="FO52" s="21"/>
      <c r="FP52" s="21"/>
      <c r="FQ52" s="21"/>
      <c r="FR52" s="21"/>
      <c r="FS52" s="21"/>
      <c r="FT52" s="21" t="s">
        <v>50</v>
      </c>
      <c r="FU52" s="21"/>
      <c r="FV52" s="21"/>
      <c r="FW52" s="21"/>
      <c r="FX52" s="21"/>
      <c r="FY52" s="21"/>
      <c r="FZ52" s="21"/>
      <c r="GA52" s="21"/>
      <c r="GB52" s="21" t="s">
        <v>53</v>
      </c>
      <c r="GC52" s="21"/>
      <c r="GD52" s="21"/>
      <c r="GE52" s="21"/>
      <c r="GF52" s="21"/>
      <c r="GG52" s="21"/>
      <c r="GH52" s="21"/>
      <c r="GI52" s="21"/>
      <c r="GJ52" s="21" t="s">
        <v>31</v>
      </c>
      <c r="GK52" s="21"/>
      <c r="GL52" s="21"/>
      <c r="GM52" s="21"/>
      <c r="GN52" s="21"/>
      <c r="GO52" s="21"/>
      <c r="GP52" s="21"/>
      <c r="GQ52" s="21"/>
      <c r="GR52" s="21" t="s">
        <v>69</v>
      </c>
      <c r="GS52" s="21"/>
      <c r="GT52" s="21"/>
      <c r="GU52" s="21"/>
      <c r="GV52" s="21"/>
      <c r="GW52" s="21"/>
      <c r="GX52" s="21"/>
      <c r="GY52" s="21"/>
    </row>
    <row r="53" spans="1:207" ht="25.2" x14ac:dyDescent="0.35">
      <c r="A53" s="21" t="s">
        <v>149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6">
        <v>2912</v>
      </c>
      <c r="M53" s="26"/>
      <c r="N53" s="26"/>
      <c r="O53" s="26"/>
      <c r="P53" s="26"/>
      <c r="Q53" s="26"/>
      <c r="R53" s="26"/>
      <c r="S53" s="26"/>
      <c r="T53" s="26">
        <v>330</v>
      </c>
      <c r="U53" s="26"/>
      <c r="V53" s="26"/>
      <c r="W53" s="26"/>
      <c r="X53" s="26"/>
      <c r="Y53" s="26"/>
      <c r="Z53" s="26"/>
      <c r="AA53" s="26"/>
      <c r="AB53" s="26">
        <v>30</v>
      </c>
      <c r="AC53" s="26"/>
      <c r="AD53" s="26"/>
      <c r="AE53" s="26"/>
      <c r="AF53" s="26"/>
      <c r="AG53" s="26"/>
      <c r="AH53" s="26"/>
      <c r="AI53" s="26"/>
      <c r="AJ53" s="26">
        <v>4195</v>
      </c>
      <c r="AK53" s="26"/>
      <c r="AL53" s="26"/>
      <c r="AM53" s="26"/>
      <c r="AN53" s="26"/>
      <c r="AO53" s="26"/>
      <c r="AP53" s="26"/>
      <c r="AQ53" s="26"/>
      <c r="AR53" s="26">
        <v>1271212</v>
      </c>
      <c r="AS53" s="26"/>
      <c r="AT53" s="26"/>
      <c r="AU53" s="26"/>
      <c r="AV53" s="26"/>
      <c r="AW53" s="26"/>
      <c r="AX53" s="26"/>
      <c r="AY53" s="26"/>
      <c r="BB53" s="21" t="s">
        <v>50</v>
      </c>
      <c r="BC53" s="21"/>
      <c r="BD53" s="21"/>
      <c r="BE53" s="21"/>
      <c r="BF53" s="21"/>
      <c r="BG53" s="21"/>
      <c r="BH53" s="21"/>
      <c r="BI53" s="21"/>
      <c r="BJ53" s="21" t="s">
        <v>70</v>
      </c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6">
        <v>9494</v>
      </c>
      <c r="CA53" s="26"/>
      <c r="CB53" s="26"/>
      <c r="CC53" s="26"/>
      <c r="CD53" s="26"/>
      <c r="CE53" s="26"/>
      <c r="CF53" s="26"/>
      <c r="CG53" s="26"/>
      <c r="CH53" s="26">
        <v>90</v>
      </c>
      <c r="CI53" s="26"/>
      <c r="CJ53" s="26"/>
      <c r="CK53" s="26"/>
      <c r="CL53" s="26"/>
      <c r="CM53" s="26"/>
      <c r="CN53" s="26"/>
      <c r="CO53" s="26"/>
      <c r="CP53" s="26">
        <v>1000</v>
      </c>
      <c r="CQ53" s="26"/>
      <c r="CR53" s="26"/>
      <c r="CS53" s="26"/>
      <c r="CT53" s="26"/>
      <c r="CU53" s="26"/>
      <c r="CV53" s="26"/>
      <c r="CW53" s="26"/>
      <c r="CX53" s="26">
        <v>13</v>
      </c>
      <c r="CY53" s="26"/>
      <c r="CZ53" s="26"/>
      <c r="DA53" s="26"/>
      <c r="DB53" s="26"/>
      <c r="DC53" s="26"/>
      <c r="DD53" s="26"/>
      <c r="DE53" s="26"/>
      <c r="DF53" s="26">
        <v>3400</v>
      </c>
      <c r="DG53" s="26"/>
      <c r="DH53" s="26"/>
      <c r="DI53" s="26"/>
      <c r="DJ53" s="26"/>
      <c r="DK53" s="26"/>
      <c r="DL53" s="26"/>
      <c r="DM53" s="26"/>
      <c r="DN53" s="26">
        <v>340000</v>
      </c>
      <c r="DO53" s="26"/>
      <c r="DP53" s="26"/>
      <c r="DQ53" s="26"/>
      <c r="DR53" s="26"/>
      <c r="DS53" s="26"/>
      <c r="DT53" s="26"/>
      <c r="DU53" s="26"/>
      <c r="DX53" s="21" t="s">
        <v>86</v>
      </c>
      <c r="DY53" s="21" t="s">
        <v>86</v>
      </c>
      <c r="DZ53" s="21" t="s">
        <v>86</v>
      </c>
      <c r="EA53" s="21" t="s">
        <v>86</v>
      </c>
      <c r="EB53" s="21" t="s">
        <v>86</v>
      </c>
      <c r="EC53" s="21" t="s">
        <v>86</v>
      </c>
      <c r="ED53" s="21" t="s">
        <v>86</v>
      </c>
      <c r="EE53" s="21" t="s">
        <v>86</v>
      </c>
      <c r="EF53" s="21" t="s">
        <v>86</v>
      </c>
      <c r="EG53" s="21" t="s">
        <v>86</v>
      </c>
      <c r="EH53" s="21" t="s">
        <v>86</v>
      </c>
      <c r="EI53" s="21" t="s">
        <v>86</v>
      </c>
      <c r="EJ53" s="21" t="s">
        <v>86</v>
      </c>
      <c r="EK53" s="21" t="s">
        <v>86</v>
      </c>
      <c r="EL53" s="21" t="s">
        <v>86</v>
      </c>
      <c r="EM53" s="21" t="s">
        <v>86</v>
      </c>
      <c r="EN53" s="21" t="s">
        <v>88</v>
      </c>
      <c r="EO53" s="21"/>
      <c r="EP53" s="21"/>
      <c r="EQ53" s="21" t="s">
        <v>89</v>
      </c>
      <c r="ER53" s="21"/>
      <c r="ES53" s="21" t="s">
        <v>84</v>
      </c>
      <c r="ET53" s="21"/>
      <c r="EU53" s="21"/>
      <c r="EV53" s="21" t="s">
        <v>88</v>
      </c>
      <c r="EW53" s="21"/>
      <c r="EX53" s="21"/>
      <c r="EY53" s="21" t="s">
        <v>89</v>
      </c>
      <c r="EZ53" s="21"/>
      <c r="FA53" s="21" t="s">
        <v>84</v>
      </c>
      <c r="FB53" s="21"/>
      <c r="FC53" s="21"/>
      <c r="FD53" s="21" t="s">
        <v>88</v>
      </c>
      <c r="FE53" s="21"/>
      <c r="FF53" s="21"/>
      <c r="FG53" s="21" t="s">
        <v>89</v>
      </c>
      <c r="FH53" s="21"/>
      <c r="FI53" s="21" t="s">
        <v>84</v>
      </c>
      <c r="FJ53" s="21"/>
      <c r="FK53" s="21"/>
      <c r="FL53" s="21" t="s">
        <v>88</v>
      </c>
      <c r="FM53" s="21"/>
      <c r="FN53" s="21"/>
      <c r="FO53" s="21" t="s">
        <v>89</v>
      </c>
      <c r="FP53" s="21"/>
      <c r="FQ53" s="21" t="s">
        <v>84</v>
      </c>
      <c r="FR53" s="21"/>
      <c r="FS53" s="21"/>
      <c r="FT53" s="21" t="s">
        <v>88</v>
      </c>
      <c r="FU53" s="21"/>
      <c r="FV53" s="21"/>
      <c r="FW53" s="21" t="s">
        <v>89</v>
      </c>
      <c r="FX53" s="21"/>
      <c r="FY53" s="21" t="s">
        <v>84</v>
      </c>
      <c r="FZ53" s="21"/>
      <c r="GA53" s="21"/>
      <c r="GB53" s="21" t="s">
        <v>88</v>
      </c>
      <c r="GC53" s="21"/>
      <c r="GD53" s="21"/>
      <c r="GE53" s="21" t="s">
        <v>89</v>
      </c>
      <c r="GF53" s="21"/>
      <c r="GG53" s="21" t="s">
        <v>84</v>
      </c>
      <c r="GH53" s="21"/>
      <c r="GI53" s="21"/>
      <c r="GJ53" s="21" t="s">
        <v>88</v>
      </c>
      <c r="GK53" s="21"/>
      <c r="GL53" s="21"/>
      <c r="GM53" s="21" t="s">
        <v>89</v>
      </c>
      <c r="GN53" s="21"/>
      <c r="GO53" s="21" t="s">
        <v>84</v>
      </c>
      <c r="GP53" s="21"/>
      <c r="GQ53" s="21"/>
      <c r="GR53" s="21" t="s">
        <v>88</v>
      </c>
      <c r="GS53" s="21"/>
      <c r="GT53" s="21"/>
      <c r="GU53" s="21" t="s">
        <v>89</v>
      </c>
      <c r="GV53" s="21"/>
      <c r="GW53" s="21" t="s">
        <v>84</v>
      </c>
      <c r="GX53" s="21"/>
      <c r="GY53" s="21"/>
    </row>
    <row r="54" spans="1:207" ht="25.2" x14ac:dyDescent="0.35">
      <c r="A54" s="21" t="s">
        <v>152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6">
        <v>21959</v>
      </c>
      <c r="M54" s="26"/>
      <c r="N54" s="26"/>
      <c r="O54" s="26"/>
      <c r="P54" s="26"/>
      <c r="Q54" s="26"/>
      <c r="R54" s="26"/>
      <c r="S54" s="26"/>
      <c r="T54" s="26">
        <v>1500</v>
      </c>
      <c r="U54" s="26"/>
      <c r="V54" s="26"/>
      <c r="W54" s="26"/>
      <c r="X54" s="26"/>
      <c r="Y54" s="26"/>
      <c r="Z54" s="26"/>
      <c r="AA54" s="26"/>
      <c r="AB54" s="26">
        <v>6</v>
      </c>
      <c r="AC54" s="26"/>
      <c r="AD54" s="26"/>
      <c r="AE54" s="26"/>
      <c r="AF54" s="26"/>
      <c r="AG54" s="26"/>
      <c r="AH54" s="26"/>
      <c r="AI54" s="26"/>
      <c r="AJ54" s="26">
        <v>1100</v>
      </c>
      <c r="AK54" s="26"/>
      <c r="AL54" s="26"/>
      <c r="AM54" s="26"/>
      <c r="AN54" s="26"/>
      <c r="AO54" s="26"/>
      <c r="AP54" s="26"/>
      <c r="AQ54" s="26"/>
      <c r="AR54" s="26">
        <v>73333</v>
      </c>
      <c r="AS54" s="26"/>
      <c r="AT54" s="26"/>
      <c r="AU54" s="26"/>
      <c r="AV54" s="26"/>
      <c r="AW54" s="26"/>
      <c r="AX54" s="26"/>
      <c r="AY54" s="26"/>
      <c r="BB54" s="21" t="s">
        <v>50</v>
      </c>
      <c r="BC54" s="21"/>
      <c r="BD54" s="21"/>
      <c r="BE54" s="21"/>
      <c r="BF54" s="21"/>
      <c r="BG54" s="21"/>
      <c r="BH54" s="21"/>
      <c r="BI54" s="21"/>
      <c r="BJ54" s="21" t="s">
        <v>129</v>
      </c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6">
        <v>9480</v>
      </c>
      <c r="CA54" s="26"/>
      <c r="CB54" s="26"/>
      <c r="CC54" s="26"/>
      <c r="CD54" s="26"/>
      <c r="CE54" s="26"/>
      <c r="CF54" s="26"/>
      <c r="CG54" s="26"/>
      <c r="CH54" s="26">
        <v>85</v>
      </c>
      <c r="CI54" s="26"/>
      <c r="CJ54" s="26"/>
      <c r="CK54" s="26"/>
      <c r="CL54" s="26"/>
      <c r="CM54" s="26"/>
      <c r="CN54" s="26"/>
      <c r="CO54" s="26"/>
      <c r="CP54" s="26">
        <v>1000</v>
      </c>
      <c r="CQ54" s="26"/>
      <c r="CR54" s="26"/>
      <c r="CS54" s="26"/>
      <c r="CT54" s="26"/>
      <c r="CU54" s="26"/>
      <c r="CV54" s="26"/>
      <c r="CW54" s="26"/>
      <c r="CX54" s="26">
        <v>13</v>
      </c>
      <c r="CY54" s="26"/>
      <c r="CZ54" s="26"/>
      <c r="DA54" s="26"/>
      <c r="DB54" s="26"/>
      <c r="DC54" s="26"/>
      <c r="DD54" s="26"/>
      <c r="DE54" s="26"/>
      <c r="DF54" s="26">
        <v>1600</v>
      </c>
      <c r="DG54" s="26"/>
      <c r="DH54" s="26"/>
      <c r="DI54" s="26"/>
      <c r="DJ54" s="26"/>
      <c r="DK54" s="26"/>
      <c r="DL54" s="26"/>
      <c r="DM54" s="26"/>
      <c r="DN54" s="26">
        <v>160000</v>
      </c>
      <c r="DO54" s="26"/>
      <c r="DP54" s="26"/>
      <c r="DQ54" s="26"/>
      <c r="DR54" s="26"/>
      <c r="DS54" s="26"/>
      <c r="DT54" s="26"/>
      <c r="DU54" s="26"/>
      <c r="DX54" s="20">
        <v>46265</v>
      </c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19">
        <v>18.48</v>
      </c>
      <c r="EO54" s="18"/>
      <c r="EP54" s="18"/>
      <c r="EQ54" s="19">
        <v>24</v>
      </c>
      <c r="ER54" s="18"/>
      <c r="ES54" s="17">
        <f t="shared" ref="ES54:ES61" si="1">IF(EQ54=0,0,EN54/EQ54)</f>
        <v>0.77</v>
      </c>
      <c r="ET54" s="18"/>
      <c r="EU54" s="18"/>
      <c r="EV54" s="19">
        <v>0</v>
      </c>
      <c r="EW54" s="18"/>
      <c r="EX54" s="18"/>
      <c r="EY54" s="19">
        <v>24</v>
      </c>
      <c r="EZ54" s="18"/>
      <c r="FA54" s="17">
        <f t="shared" ref="FA54:FA61" si="2">IF(EY54=0,0,EV54/EY54)</f>
        <v>0</v>
      </c>
      <c r="FB54" s="18"/>
      <c r="FC54" s="18"/>
      <c r="FD54" s="19">
        <v>17.760000000000002</v>
      </c>
      <c r="FE54" s="18"/>
      <c r="FF54" s="18"/>
      <c r="FG54" s="19">
        <v>24</v>
      </c>
      <c r="FH54" s="18"/>
      <c r="FI54" s="17">
        <f t="shared" ref="FI54:FI61" si="3">IF(FG54=0,0,FD54/FG54)</f>
        <v>0.7400000000000001</v>
      </c>
      <c r="FJ54" s="18"/>
      <c r="FK54" s="18"/>
      <c r="FL54" s="19">
        <v>17.352</v>
      </c>
      <c r="FM54" s="18"/>
      <c r="FN54" s="18"/>
      <c r="FO54" s="19">
        <v>24</v>
      </c>
      <c r="FP54" s="18"/>
      <c r="FQ54" s="17">
        <f t="shared" ref="FQ54:FQ61" si="4">IF(FO54=0,0,FL54/FO54)</f>
        <v>0.72299999999999998</v>
      </c>
      <c r="FR54" s="18"/>
      <c r="FS54" s="18"/>
      <c r="FT54" s="19">
        <v>9.4115500000000001</v>
      </c>
      <c r="FU54" s="18"/>
      <c r="FV54" s="18"/>
      <c r="FW54" s="19">
        <v>12.477499999999999</v>
      </c>
      <c r="FX54" s="18"/>
      <c r="FY54" s="17">
        <f t="shared" ref="FY54:FY61" si="5">IF(FW54=0,0,FT54/FW54)</f>
        <v>0.75428170707273101</v>
      </c>
      <c r="FZ54" s="18"/>
      <c r="GA54" s="18"/>
      <c r="GB54" s="19">
        <v>11.55</v>
      </c>
      <c r="GC54" s="18"/>
      <c r="GD54" s="18"/>
      <c r="GE54" s="19">
        <v>16</v>
      </c>
      <c r="GF54" s="18"/>
      <c r="GG54" s="17">
        <f t="shared" ref="GG54:GG61" si="6">IF(GE54=0,0,GB54/GE54)</f>
        <v>0.72187500000000004</v>
      </c>
      <c r="GH54" s="18"/>
      <c r="GI54" s="18"/>
      <c r="GJ54" s="19">
        <v>0</v>
      </c>
      <c r="GK54" s="18"/>
      <c r="GL54" s="18"/>
      <c r="GM54" s="19">
        <v>0</v>
      </c>
      <c r="GN54" s="18"/>
      <c r="GO54" s="17">
        <f t="shared" ref="GO54:GO61" si="7">IF(GM54=0,0,GJ54/GM54)</f>
        <v>0</v>
      </c>
      <c r="GP54" s="18"/>
      <c r="GQ54" s="18"/>
      <c r="GR54" s="19">
        <v>74.553550720214844</v>
      </c>
      <c r="GS54" s="18"/>
      <c r="GT54" s="18"/>
      <c r="GU54" s="19">
        <v>124.47750091552734</v>
      </c>
      <c r="GV54" s="18"/>
      <c r="GW54" s="17">
        <f t="shared" ref="GW54:GW61" si="8">IF(GU54=0,0,GR54/GU54)</f>
        <v>0.59893193687113155</v>
      </c>
      <c r="GX54" s="18"/>
      <c r="GY54" s="18"/>
    </row>
    <row r="55" spans="1:207" ht="25.2" x14ac:dyDescent="0.35">
      <c r="A55" s="21" t="s">
        <v>131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6">
        <v>21173</v>
      </c>
      <c r="M55" s="26"/>
      <c r="N55" s="26"/>
      <c r="O55" s="26"/>
      <c r="P55" s="26"/>
      <c r="Q55" s="26"/>
      <c r="R55" s="26"/>
      <c r="S55" s="26"/>
      <c r="T55" s="26">
        <v>1000</v>
      </c>
      <c r="U55" s="26"/>
      <c r="V55" s="26"/>
      <c r="W55" s="26"/>
      <c r="X55" s="26"/>
      <c r="Y55" s="26"/>
      <c r="Z55" s="26"/>
      <c r="AA55" s="26"/>
      <c r="AB55" s="26">
        <v>15</v>
      </c>
      <c r="AC55" s="26"/>
      <c r="AD55" s="26"/>
      <c r="AE55" s="26"/>
      <c r="AF55" s="26"/>
      <c r="AG55" s="26"/>
      <c r="AH55" s="26"/>
      <c r="AI55" s="26"/>
      <c r="AJ55" s="26">
        <v>2500</v>
      </c>
      <c r="AK55" s="26"/>
      <c r="AL55" s="26"/>
      <c r="AM55" s="26"/>
      <c r="AN55" s="26"/>
      <c r="AO55" s="26"/>
      <c r="AP55" s="26"/>
      <c r="AQ55" s="26"/>
      <c r="AR55" s="26">
        <v>250000</v>
      </c>
      <c r="AS55" s="26"/>
      <c r="AT55" s="26"/>
      <c r="AU55" s="26"/>
      <c r="AV55" s="26"/>
      <c r="AW55" s="26"/>
      <c r="AX55" s="26"/>
      <c r="AY55" s="26"/>
      <c r="BB55" s="21" t="s">
        <v>53</v>
      </c>
      <c r="BC55" s="21"/>
      <c r="BD55" s="21"/>
      <c r="BE55" s="21"/>
      <c r="BF55" s="21"/>
      <c r="BG55" s="21"/>
      <c r="BH55" s="21"/>
      <c r="BI55" s="21"/>
      <c r="BJ55" s="21" t="s">
        <v>152</v>
      </c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6">
        <v>21959</v>
      </c>
      <c r="CA55" s="26"/>
      <c r="CB55" s="26"/>
      <c r="CC55" s="26"/>
      <c r="CD55" s="26"/>
      <c r="CE55" s="26"/>
      <c r="CF55" s="26"/>
      <c r="CG55" s="26"/>
      <c r="CH55" s="26">
        <v>90</v>
      </c>
      <c r="CI55" s="26"/>
      <c r="CJ55" s="26"/>
      <c r="CK55" s="26"/>
      <c r="CL55" s="26"/>
      <c r="CM55" s="26"/>
      <c r="CN55" s="26"/>
      <c r="CO55" s="26"/>
      <c r="CP55" s="26">
        <v>1500</v>
      </c>
      <c r="CQ55" s="26"/>
      <c r="CR55" s="26"/>
      <c r="CS55" s="26"/>
      <c r="CT55" s="26"/>
      <c r="CU55" s="26"/>
      <c r="CV55" s="26"/>
      <c r="CW55" s="26"/>
      <c r="CX55" s="26">
        <v>6</v>
      </c>
      <c r="CY55" s="26"/>
      <c r="CZ55" s="26"/>
      <c r="DA55" s="26"/>
      <c r="DB55" s="26"/>
      <c r="DC55" s="26"/>
      <c r="DD55" s="26"/>
      <c r="DE55" s="26"/>
      <c r="DF55" s="26">
        <v>1100</v>
      </c>
      <c r="DG55" s="26"/>
      <c r="DH55" s="26"/>
      <c r="DI55" s="26"/>
      <c r="DJ55" s="26"/>
      <c r="DK55" s="26"/>
      <c r="DL55" s="26"/>
      <c r="DM55" s="26"/>
      <c r="DN55" s="26">
        <v>73333</v>
      </c>
      <c r="DO55" s="26"/>
      <c r="DP55" s="26"/>
      <c r="DQ55" s="26"/>
      <c r="DR55" s="26"/>
      <c r="DS55" s="26"/>
      <c r="DT55" s="26"/>
      <c r="DU55" s="26"/>
      <c r="DX55" s="20">
        <v>46266</v>
      </c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19">
        <v>18.48</v>
      </c>
      <c r="EO55" s="18"/>
      <c r="EP55" s="18"/>
      <c r="EQ55" s="19">
        <v>24</v>
      </c>
      <c r="ER55" s="18"/>
      <c r="ES55" s="17">
        <f t="shared" si="1"/>
        <v>0.77</v>
      </c>
      <c r="ET55" s="18"/>
      <c r="EU55" s="18"/>
      <c r="EV55" s="19">
        <v>0</v>
      </c>
      <c r="EW55" s="18"/>
      <c r="EX55" s="18"/>
      <c r="EY55" s="19">
        <v>24</v>
      </c>
      <c r="EZ55" s="18"/>
      <c r="FA55" s="17">
        <f t="shared" si="2"/>
        <v>0</v>
      </c>
      <c r="FB55" s="18"/>
      <c r="FC55" s="18"/>
      <c r="FD55" s="19">
        <v>11.913824999999999</v>
      </c>
      <c r="FE55" s="18"/>
      <c r="FF55" s="18"/>
      <c r="FG55" s="19">
        <v>24</v>
      </c>
      <c r="FH55" s="18"/>
      <c r="FI55" s="17">
        <f t="shared" si="3"/>
        <v>0.49640937499999999</v>
      </c>
      <c r="FJ55" s="18"/>
      <c r="FK55" s="18"/>
      <c r="FL55" s="19">
        <v>17.352</v>
      </c>
      <c r="FM55" s="18"/>
      <c r="FN55" s="18"/>
      <c r="FO55" s="19">
        <v>24</v>
      </c>
      <c r="FP55" s="18"/>
      <c r="FQ55" s="17">
        <f t="shared" si="4"/>
        <v>0.72299999999999998</v>
      </c>
      <c r="FR55" s="18"/>
      <c r="FS55" s="18"/>
      <c r="FT55" s="19">
        <v>9.4115500000000001</v>
      </c>
      <c r="FU55" s="18"/>
      <c r="FV55" s="18"/>
      <c r="FW55" s="19">
        <v>12.477499999999999</v>
      </c>
      <c r="FX55" s="18"/>
      <c r="FY55" s="17">
        <f t="shared" si="5"/>
        <v>0.75428170707273101</v>
      </c>
      <c r="FZ55" s="18"/>
      <c r="GA55" s="18"/>
      <c r="GB55" s="19">
        <v>14.63</v>
      </c>
      <c r="GC55" s="18"/>
      <c r="GD55" s="18"/>
      <c r="GE55" s="19">
        <v>24</v>
      </c>
      <c r="GF55" s="18"/>
      <c r="GG55" s="17">
        <f t="shared" si="6"/>
        <v>0.60958333333333337</v>
      </c>
      <c r="GH55" s="18"/>
      <c r="GI55" s="18"/>
      <c r="GJ55" s="19">
        <v>0</v>
      </c>
      <c r="GK55" s="18"/>
      <c r="GL55" s="18"/>
      <c r="GM55" s="19">
        <v>0</v>
      </c>
      <c r="GN55" s="18"/>
      <c r="GO55" s="17">
        <f t="shared" si="7"/>
        <v>0</v>
      </c>
      <c r="GP55" s="18"/>
      <c r="GQ55" s="18"/>
      <c r="GR55" s="19">
        <v>71.787376403808594</v>
      </c>
      <c r="GS55" s="18"/>
      <c r="GT55" s="18"/>
      <c r="GU55" s="19">
        <v>132.47749328613281</v>
      </c>
      <c r="GV55" s="18"/>
      <c r="GW55" s="17">
        <f t="shared" si="8"/>
        <v>0.5418835654503058</v>
      </c>
      <c r="GX55" s="18"/>
      <c r="GY55" s="18"/>
    </row>
    <row r="56" spans="1:207" ht="25.2" x14ac:dyDescent="0.35">
      <c r="A56" s="21" t="s">
        <v>87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6">
        <v>7078</v>
      </c>
      <c r="M56" s="26"/>
      <c r="N56" s="26"/>
      <c r="O56" s="26"/>
      <c r="P56" s="26"/>
      <c r="Q56" s="26"/>
      <c r="R56" s="26"/>
      <c r="S56" s="26"/>
      <c r="T56" s="26">
        <v>1000</v>
      </c>
      <c r="U56" s="26"/>
      <c r="V56" s="26"/>
      <c r="W56" s="26"/>
      <c r="X56" s="26"/>
      <c r="Y56" s="26"/>
      <c r="Z56" s="26"/>
      <c r="AA56" s="26"/>
      <c r="AB56" s="26">
        <v>15</v>
      </c>
      <c r="AC56" s="26"/>
      <c r="AD56" s="26"/>
      <c r="AE56" s="26"/>
      <c r="AF56" s="26"/>
      <c r="AG56" s="26"/>
      <c r="AH56" s="26"/>
      <c r="AI56" s="26"/>
      <c r="AJ56" s="26">
        <v>3600</v>
      </c>
      <c r="AK56" s="26"/>
      <c r="AL56" s="26"/>
      <c r="AM56" s="26"/>
      <c r="AN56" s="26"/>
      <c r="AO56" s="26"/>
      <c r="AP56" s="26"/>
      <c r="AQ56" s="26"/>
      <c r="AR56" s="26">
        <v>360000</v>
      </c>
      <c r="AS56" s="26"/>
      <c r="AT56" s="26"/>
      <c r="AU56" s="26"/>
      <c r="AV56" s="26"/>
      <c r="AW56" s="26"/>
      <c r="AX56" s="26"/>
      <c r="AY56" s="26"/>
      <c r="BB56" s="21" t="s">
        <v>53</v>
      </c>
      <c r="BC56" s="21"/>
      <c r="BD56" s="21"/>
      <c r="BE56" s="21"/>
      <c r="BF56" s="21"/>
      <c r="BG56" s="21"/>
      <c r="BH56" s="21"/>
      <c r="BI56" s="21"/>
      <c r="BJ56" s="21" t="s">
        <v>131</v>
      </c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6">
        <v>21173</v>
      </c>
      <c r="CA56" s="26"/>
      <c r="CB56" s="26"/>
      <c r="CC56" s="26"/>
      <c r="CD56" s="26"/>
      <c r="CE56" s="26"/>
      <c r="CF56" s="26"/>
      <c r="CG56" s="26"/>
      <c r="CH56" s="26">
        <v>90</v>
      </c>
      <c r="CI56" s="26"/>
      <c r="CJ56" s="26"/>
      <c r="CK56" s="26"/>
      <c r="CL56" s="26"/>
      <c r="CM56" s="26"/>
      <c r="CN56" s="26"/>
      <c r="CO56" s="26"/>
      <c r="CP56" s="26">
        <v>1000</v>
      </c>
      <c r="CQ56" s="26"/>
      <c r="CR56" s="26"/>
      <c r="CS56" s="26"/>
      <c r="CT56" s="26"/>
      <c r="CU56" s="26"/>
      <c r="CV56" s="26"/>
      <c r="CW56" s="26"/>
      <c r="CX56" s="26">
        <v>15</v>
      </c>
      <c r="CY56" s="26"/>
      <c r="CZ56" s="26"/>
      <c r="DA56" s="26"/>
      <c r="DB56" s="26"/>
      <c r="DC56" s="26"/>
      <c r="DD56" s="26"/>
      <c r="DE56" s="26"/>
      <c r="DF56" s="26">
        <v>2500</v>
      </c>
      <c r="DG56" s="26"/>
      <c r="DH56" s="26"/>
      <c r="DI56" s="26"/>
      <c r="DJ56" s="26"/>
      <c r="DK56" s="26"/>
      <c r="DL56" s="26"/>
      <c r="DM56" s="26"/>
      <c r="DN56" s="26">
        <v>250000</v>
      </c>
      <c r="DO56" s="26"/>
      <c r="DP56" s="26"/>
      <c r="DQ56" s="26"/>
      <c r="DR56" s="26"/>
      <c r="DS56" s="26"/>
      <c r="DT56" s="26"/>
      <c r="DU56" s="26"/>
      <c r="DX56" s="20">
        <v>46267</v>
      </c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19">
        <v>18.48</v>
      </c>
      <c r="EO56" s="18"/>
      <c r="EP56" s="18"/>
      <c r="EQ56" s="19">
        <v>24</v>
      </c>
      <c r="ER56" s="18"/>
      <c r="ES56" s="17">
        <f t="shared" si="1"/>
        <v>0.77</v>
      </c>
      <c r="ET56" s="18"/>
      <c r="EU56" s="18"/>
      <c r="EV56" s="19">
        <v>0</v>
      </c>
      <c r="EW56" s="18"/>
      <c r="EX56" s="18"/>
      <c r="EY56" s="19">
        <v>24</v>
      </c>
      <c r="EZ56" s="18"/>
      <c r="FA56" s="17">
        <f t="shared" si="2"/>
        <v>0</v>
      </c>
      <c r="FB56" s="18"/>
      <c r="FC56" s="18"/>
      <c r="FD56" s="19">
        <v>18</v>
      </c>
      <c r="FE56" s="18"/>
      <c r="FF56" s="18"/>
      <c r="FG56" s="19">
        <v>24</v>
      </c>
      <c r="FH56" s="18"/>
      <c r="FI56" s="17">
        <f t="shared" si="3"/>
        <v>0.75</v>
      </c>
      <c r="FJ56" s="18"/>
      <c r="FK56" s="18"/>
      <c r="FL56" s="19">
        <v>17.352</v>
      </c>
      <c r="FM56" s="18"/>
      <c r="FN56" s="18"/>
      <c r="FO56" s="19">
        <v>24</v>
      </c>
      <c r="FP56" s="18"/>
      <c r="FQ56" s="17">
        <f t="shared" si="4"/>
        <v>0.72299999999999998</v>
      </c>
      <c r="FR56" s="18"/>
      <c r="FS56" s="18"/>
      <c r="FT56" s="19">
        <v>10.588022222222222</v>
      </c>
      <c r="FU56" s="18"/>
      <c r="FV56" s="18"/>
      <c r="FW56" s="19">
        <v>13.912222222222223</v>
      </c>
      <c r="FX56" s="18"/>
      <c r="FY56" s="17">
        <f t="shared" si="5"/>
        <v>0.76105902084498034</v>
      </c>
      <c r="FZ56" s="18"/>
      <c r="GA56" s="18"/>
      <c r="GB56" s="19">
        <v>18.48</v>
      </c>
      <c r="GC56" s="18"/>
      <c r="GD56" s="18"/>
      <c r="GE56" s="19">
        <v>24</v>
      </c>
      <c r="GF56" s="18"/>
      <c r="GG56" s="17">
        <f t="shared" si="6"/>
        <v>0.77</v>
      </c>
      <c r="GH56" s="18"/>
      <c r="GI56" s="18"/>
      <c r="GJ56" s="19">
        <v>0</v>
      </c>
      <c r="GK56" s="18"/>
      <c r="GL56" s="18"/>
      <c r="GM56" s="19">
        <v>0</v>
      </c>
      <c r="GN56" s="18"/>
      <c r="GO56" s="17">
        <f t="shared" si="7"/>
        <v>0</v>
      </c>
      <c r="GP56" s="18"/>
      <c r="GQ56" s="18"/>
      <c r="GR56" s="19">
        <v>82.9000244140625</v>
      </c>
      <c r="GS56" s="18"/>
      <c r="GT56" s="18"/>
      <c r="GU56" s="19">
        <v>133.91221618652344</v>
      </c>
      <c r="GV56" s="18"/>
      <c r="GW56" s="17">
        <f t="shared" si="8"/>
        <v>0.61906244833251689</v>
      </c>
      <c r="GX56" s="18"/>
      <c r="GY56" s="18"/>
    </row>
    <row r="57" spans="1:207" ht="25.2" x14ac:dyDescent="0.35">
      <c r="A57" s="21" t="s">
        <v>150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6">
        <v>2182</v>
      </c>
      <c r="M57" s="26"/>
      <c r="N57" s="26"/>
      <c r="O57" s="26"/>
      <c r="P57" s="26"/>
      <c r="Q57" s="26"/>
      <c r="R57" s="26"/>
      <c r="S57" s="26"/>
      <c r="T57" s="26">
        <v>330</v>
      </c>
      <c r="U57" s="26"/>
      <c r="V57" s="26"/>
      <c r="W57" s="26"/>
      <c r="X57" s="26"/>
      <c r="Y57" s="26"/>
      <c r="Z57" s="26"/>
      <c r="AA57" s="26"/>
      <c r="AB57" s="26">
        <v>30</v>
      </c>
      <c r="AC57" s="26"/>
      <c r="AD57" s="26"/>
      <c r="AE57" s="26"/>
      <c r="AF57" s="26"/>
      <c r="AG57" s="26"/>
      <c r="AH57" s="26"/>
      <c r="AI57" s="26"/>
      <c r="AJ57" s="26">
        <v>5984</v>
      </c>
      <c r="AK57" s="26"/>
      <c r="AL57" s="26"/>
      <c r="AM57" s="26"/>
      <c r="AN57" s="26"/>
      <c r="AO57" s="26"/>
      <c r="AP57" s="26"/>
      <c r="AQ57" s="26"/>
      <c r="AR57" s="26">
        <v>1813333</v>
      </c>
      <c r="AS57" s="26"/>
      <c r="AT57" s="26"/>
      <c r="AU57" s="26"/>
      <c r="AV57" s="26"/>
      <c r="AW57" s="26"/>
      <c r="AX57" s="26"/>
      <c r="AY57" s="26"/>
      <c r="BB57" s="21" t="s">
        <v>53</v>
      </c>
      <c r="BC57" s="21"/>
      <c r="BD57" s="21"/>
      <c r="BE57" s="21"/>
      <c r="BF57" s="21"/>
      <c r="BG57" s="21"/>
      <c r="BH57" s="21"/>
      <c r="BI57" s="21"/>
      <c r="BJ57" s="21" t="s">
        <v>87</v>
      </c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6">
        <v>7078</v>
      </c>
      <c r="CA57" s="26"/>
      <c r="CB57" s="26"/>
      <c r="CC57" s="26"/>
      <c r="CD57" s="26"/>
      <c r="CE57" s="26"/>
      <c r="CF57" s="26"/>
      <c r="CG57" s="26"/>
      <c r="CH57" s="26">
        <v>90</v>
      </c>
      <c r="CI57" s="26"/>
      <c r="CJ57" s="26"/>
      <c r="CK57" s="26"/>
      <c r="CL57" s="26"/>
      <c r="CM57" s="26"/>
      <c r="CN57" s="26"/>
      <c r="CO57" s="26"/>
      <c r="CP57" s="26">
        <v>1000</v>
      </c>
      <c r="CQ57" s="26"/>
      <c r="CR57" s="26"/>
      <c r="CS57" s="26"/>
      <c r="CT57" s="26"/>
      <c r="CU57" s="26"/>
      <c r="CV57" s="26"/>
      <c r="CW57" s="26"/>
      <c r="CX57" s="26">
        <v>15</v>
      </c>
      <c r="CY57" s="26"/>
      <c r="CZ57" s="26"/>
      <c r="DA57" s="26"/>
      <c r="DB57" s="26"/>
      <c r="DC57" s="26"/>
      <c r="DD57" s="26"/>
      <c r="DE57" s="26"/>
      <c r="DF57" s="26">
        <v>3600</v>
      </c>
      <c r="DG57" s="26"/>
      <c r="DH57" s="26"/>
      <c r="DI57" s="26"/>
      <c r="DJ57" s="26"/>
      <c r="DK57" s="26"/>
      <c r="DL57" s="26"/>
      <c r="DM57" s="26"/>
      <c r="DN57" s="26">
        <v>360000</v>
      </c>
      <c r="DO57" s="26"/>
      <c r="DP57" s="26"/>
      <c r="DQ57" s="26"/>
      <c r="DR57" s="26"/>
      <c r="DS57" s="26"/>
      <c r="DT57" s="26"/>
      <c r="DU57" s="26"/>
      <c r="DX57" s="20">
        <v>46268</v>
      </c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19">
        <v>12.320225000000001</v>
      </c>
      <c r="EO57" s="18"/>
      <c r="EP57" s="18"/>
      <c r="EQ57" s="19">
        <v>24</v>
      </c>
      <c r="ER57" s="18"/>
      <c r="ES57" s="17">
        <f t="shared" si="1"/>
        <v>0.5133427083333334</v>
      </c>
      <c r="ET57" s="18"/>
      <c r="EU57" s="18"/>
      <c r="EV57" s="19">
        <v>17.441524999999999</v>
      </c>
      <c r="EW57" s="18"/>
      <c r="EX57" s="18"/>
      <c r="EY57" s="19">
        <v>23.892499999999998</v>
      </c>
      <c r="EZ57" s="18"/>
      <c r="FA57" s="17">
        <f t="shared" si="2"/>
        <v>0.73</v>
      </c>
      <c r="FB57" s="18"/>
      <c r="FC57" s="18"/>
      <c r="FD57" s="19">
        <v>18</v>
      </c>
      <c r="FE57" s="18"/>
      <c r="FF57" s="18"/>
      <c r="FG57" s="19">
        <v>24</v>
      </c>
      <c r="FH57" s="18"/>
      <c r="FI57" s="17">
        <f t="shared" si="3"/>
        <v>0.75</v>
      </c>
      <c r="FJ57" s="18"/>
      <c r="FK57" s="18"/>
      <c r="FL57" s="19">
        <v>5.773752222222222</v>
      </c>
      <c r="FM57" s="18"/>
      <c r="FN57" s="18"/>
      <c r="FO57" s="19">
        <v>24</v>
      </c>
      <c r="FP57" s="18"/>
      <c r="FQ57" s="17">
        <f t="shared" si="4"/>
        <v>0.24057300925925926</v>
      </c>
      <c r="FR57" s="18"/>
      <c r="FS57" s="18"/>
      <c r="FT57" s="19">
        <v>0</v>
      </c>
      <c r="FU57" s="18"/>
      <c r="FV57" s="18"/>
      <c r="FW57" s="19">
        <v>0</v>
      </c>
      <c r="FX57" s="18"/>
      <c r="FY57" s="17">
        <f t="shared" si="5"/>
        <v>0</v>
      </c>
      <c r="FZ57" s="18"/>
      <c r="GA57" s="18"/>
      <c r="GB57" s="19">
        <v>0.72315833333333301</v>
      </c>
      <c r="GC57" s="18"/>
      <c r="GD57" s="18"/>
      <c r="GE57" s="19">
        <v>0.93916666666666604</v>
      </c>
      <c r="GF57" s="18"/>
      <c r="GG57" s="17">
        <f t="shared" si="6"/>
        <v>0.77000000000000013</v>
      </c>
      <c r="GH57" s="18"/>
      <c r="GI57" s="18"/>
      <c r="GJ57" s="19">
        <v>0</v>
      </c>
      <c r="GK57" s="18"/>
      <c r="GL57" s="18"/>
      <c r="GM57" s="19">
        <v>0</v>
      </c>
      <c r="GN57" s="18"/>
      <c r="GO57" s="17">
        <f t="shared" si="7"/>
        <v>0</v>
      </c>
      <c r="GP57" s="18"/>
      <c r="GQ57" s="18"/>
      <c r="GR57" s="19">
        <v>54.258659362792969</v>
      </c>
      <c r="GS57" s="18"/>
      <c r="GT57" s="18"/>
      <c r="GU57" s="19">
        <v>96.8316650390625</v>
      </c>
      <c r="GV57" s="18"/>
      <c r="GW57" s="17">
        <f t="shared" si="8"/>
        <v>0.56034004311404417</v>
      </c>
      <c r="GX57" s="18"/>
      <c r="GY57" s="18"/>
    </row>
    <row r="58" spans="1:207" ht="25.2" x14ac:dyDescent="0.35">
      <c r="A58" s="21" t="s">
        <v>134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6">
        <v>2222</v>
      </c>
      <c r="M58" s="26"/>
      <c r="N58" s="26"/>
      <c r="O58" s="26"/>
      <c r="P58" s="26"/>
      <c r="Q58" s="26"/>
      <c r="R58" s="26"/>
      <c r="S58" s="26"/>
      <c r="T58" s="26">
        <v>330</v>
      </c>
      <c r="U58" s="26"/>
      <c r="V58" s="26"/>
      <c r="W58" s="26"/>
      <c r="X58" s="26"/>
      <c r="Y58" s="26"/>
      <c r="Z58" s="26"/>
      <c r="AA58" s="26"/>
      <c r="AB58" s="26">
        <v>24</v>
      </c>
      <c r="AC58" s="26"/>
      <c r="AD58" s="26"/>
      <c r="AE58" s="26"/>
      <c r="AF58" s="26"/>
      <c r="AG58" s="26"/>
      <c r="AH58" s="26"/>
      <c r="AI58" s="26"/>
      <c r="AJ58" s="26">
        <v>3600</v>
      </c>
      <c r="AK58" s="26"/>
      <c r="AL58" s="26"/>
      <c r="AM58" s="26"/>
      <c r="AN58" s="26"/>
      <c r="AO58" s="26"/>
      <c r="AP58" s="26"/>
      <c r="AQ58" s="26"/>
      <c r="AR58" s="26">
        <v>1090909</v>
      </c>
      <c r="AS58" s="26"/>
      <c r="AT58" s="26"/>
      <c r="AU58" s="26"/>
      <c r="AV58" s="26"/>
      <c r="AW58" s="26"/>
      <c r="AX58" s="26"/>
      <c r="AY58" s="26"/>
      <c r="BB58" s="21" t="s">
        <v>53</v>
      </c>
      <c r="BC58" s="21"/>
      <c r="BD58" s="21"/>
      <c r="BE58" s="21"/>
      <c r="BF58" s="21"/>
      <c r="BG58" s="21"/>
      <c r="BH58" s="21"/>
      <c r="BI58" s="21"/>
      <c r="BJ58" s="21" t="s">
        <v>134</v>
      </c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6">
        <v>2222</v>
      </c>
      <c r="CA58" s="26"/>
      <c r="CB58" s="26"/>
      <c r="CC58" s="26"/>
      <c r="CD58" s="26"/>
      <c r="CE58" s="26"/>
      <c r="CF58" s="26"/>
      <c r="CG58" s="26"/>
      <c r="CH58" s="26">
        <v>90</v>
      </c>
      <c r="CI58" s="26"/>
      <c r="CJ58" s="26"/>
      <c r="CK58" s="26"/>
      <c r="CL58" s="26"/>
      <c r="CM58" s="26"/>
      <c r="CN58" s="26"/>
      <c r="CO58" s="26"/>
      <c r="CP58" s="26">
        <v>330</v>
      </c>
      <c r="CQ58" s="26"/>
      <c r="CR58" s="26"/>
      <c r="CS58" s="26"/>
      <c r="CT58" s="26"/>
      <c r="CU58" s="26"/>
      <c r="CV58" s="26"/>
      <c r="CW58" s="26"/>
      <c r="CX58" s="26">
        <v>24</v>
      </c>
      <c r="CY58" s="26"/>
      <c r="CZ58" s="26"/>
      <c r="DA58" s="26"/>
      <c r="DB58" s="26"/>
      <c r="DC58" s="26"/>
      <c r="DD58" s="26"/>
      <c r="DE58" s="26"/>
      <c r="DF58" s="26">
        <v>3600</v>
      </c>
      <c r="DG58" s="26"/>
      <c r="DH58" s="26"/>
      <c r="DI58" s="26"/>
      <c r="DJ58" s="26"/>
      <c r="DK58" s="26"/>
      <c r="DL58" s="26"/>
      <c r="DM58" s="26"/>
      <c r="DN58" s="26">
        <v>1090909</v>
      </c>
      <c r="DO58" s="26"/>
      <c r="DP58" s="26"/>
      <c r="DQ58" s="26"/>
      <c r="DR58" s="26"/>
      <c r="DS58" s="26"/>
      <c r="DT58" s="26"/>
      <c r="DU58" s="26"/>
      <c r="DX58" s="20">
        <v>46269</v>
      </c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19">
        <v>18.48</v>
      </c>
      <c r="EO58" s="18"/>
      <c r="EP58" s="18"/>
      <c r="EQ58" s="19">
        <v>24</v>
      </c>
      <c r="ER58" s="18"/>
      <c r="ES58" s="17">
        <f t="shared" si="1"/>
        <v>0.77</v>
      </c>
      <c r="ET58" s="18"/>
      <c r="EU58" s="18"/>
      <c r="EV58" s="19">
        <v>16.059999999999999</v>
      </c>
      <c r="EW58" s="18"/>
      <c r="EX58" s="18"/>
      <c r="EY58" s="19">
        <v>24</v>
      </c>
      <c r="EZ58" s="18"/>
      <c r="FA58" s="17">
        <f t="shared" si="2"/>
        <v>0.66916666666666658</v>
      </c>
      <c r="FB58" s="18"/>
      <c r="FC58" s="18"/>
      <c r="FD58" s="19">
        <v>11.054144444444445</v>
      </c>
      <c r="FE58" s="18"/>
      <c r="FF58" s="18"/>
      <c r="FG58" s="19">
        <v>24</v>
      </c>
      <c r="FH58" s="18"/>
      <c r="FI58" s="17">
        <f t="shared" si="3"/>
        <v>0.46058935185185185</v>
      </c>
      <c r="FJ58" s="18"/>
      <c r="FK58" s="18"/>
      <c r="FL58" s="19">
        <v>16.8</v>
      </c>
      <c r="FM58" s="18"/>
      <c r="FN58" s="18"/>
      <c r="FO58" s="19">
        <v>24</v>
      </c>
      <c r="FP58" s="18"/>
      <c r="FQ58" s="17">
        <f t="shared" si="4"/>
        <v>0.70000000000000007</v>
      </c>
      <c r="FR58" s="18"/>
      <c r="FS58" s="18"/>
      <c r="FT58" s="19">
        <v>0</v>
      </c>
      <c r="FU58" s="18"/>
      <c r="FV58" s="18"/>
      <c r="FW58" s="19">
        <v>0</v>
      </c>
      <c r="FX58" s="18"/>
      <c r="FY58" s="17">
        <f t="shared" si="5"/>
        <v>0</v>
      </c>
      <c r="FZ58" s="18"/>
      <c r="GA58" s="18"/>
      <c r="GB58" s="19">
        <v>0</v>
      </c>
      <c r="GC58" s="18"/>
      <c r="GD58" s="18"/>
      <c r="GE58" s="19">
        <v>0</v>
      </c>
      <c r="GF58" s="18"/>
      <c r="GG58" s="17">
        <f t="shared" si="6"/>
        <v>0</v>
      </c>
      <c r="GH58" s="18"/>
      <c r="GI58" s="18"/>
      <c r="GJ58" s="19">
        <v>0</v>
      </c>
      <c r="GK58" s="18"/>
      <c r="GL58" s="18"/>
      <c r="GM58" s="19">
        <v>0</v>
      </c>
      <c r="GN58" s="18"/>
      <c r="GO58" s="17">
        <f t="shared" si="7"/>
        <v>0</v>
      </c>
      <c r="GP58" s="18"/>
      <c r="GQ58" s="18"/>
      <c r="GR58" s="19">
        <v>62.394145965576172</v>
      </c>
      <c r="GS58" s="18"/>
      <c r="GT58" s="18"/>
      <c r="GU58" s="19">
        <v>96</v>
      </c>
      <c r="GV58" s="18"/>
      <c r="GW58" s="17">
        <f t="shared" si="8"/>
        <v>0.64993902047475183</v>
      </c>
      <c r="GX58" s="18"/>
      <c r="GY58" s="18"/>
    </row>
    <row r="59" spans="1:207" ht="25.2" x14ac:dyDescent="0.35">
      <c r="A59" s="21" t="s">
        <v>91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>
        <f>SUM(AJ43:AQ58)</f>
        <v>86644</v>
      </c>
      <c r="AK59" s="26"/>
      <c r="AL59" s="26"/>
      <c r="AM59" s="26"/>
      <c r="AN59" s="26"/>
      <c r="AO59" s="26"/>
      <c r="AP59" s="26"/>
      <c r="AQ59" s="26"/>
      <c r="AR59" s="26">
        <f>SUM(AR43:AY58)</f>
        <v>28676840</v>
      </c>
      <c r="AS59" s="26"/>
      <c r="AT59" s="26"/>
      <c r="AU59" s="26"/>
      <c r="AV59" s="26"/>
      <c r="AW59" s="26"/>
      <c r="AX59" s="26"/>
      <c r="AY59" s="26"/>
      <c r="BB59" s="21" t="s">
        <v>91</v>
      </c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>
        <f>SUM(DF43:DM58)</f>
        <v>86644</v>
      </c>
      <c r="DG59" s="26"/>
      <c r="DH59" s="26"/>
      <c r="DI59" s="26"/>
      <c r="DJ59" s="26"/>
      <c r="DK59" s="26"/>
      <c r="DL59" s="26"/>
      <c r="DM59" s="26"/>
      <c r="DN59" s="26">
        <f>SUM(DN43:DU58)</f>
        <v>28676840</v>
      </c>
      <c r="DO59" s="26"/>
      <c r="DP59" s="26"/>
      <c r="DQ59" s="26"/>
      <c r="DR59" s="26"/>
      <c r="DS59" s="26"/>
      <c r="DT59" s="26"/>
      <c r="DU59" s="26"/>
      <c r="DX59" s="20">
        <v>46270</v>
      </c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19">
        <v>18.48</v>
      </c>
      <c r="EO59" s="18"/>
      <c r="EP59" s="18"/>
      <c r="EQ59" s="19">
        <v>24</v>
      </c>
      <c r="ER59" s="18"/>
      <c r="ES59" s="17">
        <f t="shared" si="1"/>
        <v>0.77</v>
      </c>
      <c r="ET59" s="18"/>
      <c r="EU59" s="18"/>
      <c r="EV59" s="19">
        <v>14.607963888888888</v>
      </c>
      <c r="EW59" s="18"/>
      <c r="EX59" s="18"/>
      <c r="EY59" s="19">
        <v>24</v>
      </c>
      <c r="EZ59" s="18"/>
      <c r="FA59" s="17">
        <f t="shared" si="2"/>
        <v>0.60866516203703702</v>
      </c>
      <c r="FB59" s="18"/>
      <c r="FC59" s="18"/>
      <c r="FD59" s="19">
        <v>16.32</v>
      </c>
      <c r="FE59" s="18"/>
      <c r="FF59" s="18"/>
      <c r="FG59" s="19">
        <v>24</v>
      </c>
      <c r="FH59" s="18"/>
      <c r="FI59" s="17">
        <f t="shared" si="3"/>
        <v>0.68</v>
      </c>
      <c r="FJ59" s="18"/>
      <c r="FK59" s="18"/>
      <c r="FL59" s="19">
        <v>16.8</v>
      </c>
      <c r="FM59" s="18"/>
      <c r="FN59" s="18"/>
      <c r="FO59" s="19">
        <v>24</v>
      </c>
      <c r="FP59" s="18"/>
      <c r="FQ59" s="17">
        <f t="shared" si="4"/>
        <v>0.70000000000000007</v>
      </c>
      <c r="FR59" s="18"/>
      <c r="FS59" s="18"/>
      <c r="FT59" s="19">
        <v>0</v>
      </c>
      <c r="FU59" s="18"/>
      <c r="FV59" s="18"/>
      <c r="FW59" s="19">
        <v>0</v>
      </c>
      <c r="FX59" s="18"/>
      <c r="FY59" s="17">
        <f t="shared" si="5"/>
        <v>0</v>
      </c>
      <c r="FZ59" s="18"/>
      <c r="GA59" s="18"/>
      <c r="GB59" s="19">
        <v>0</v>
      </c>
      <c r="GC59" s="18"/>
      <c r="GD59" s="18"/>
      <c r="GE59" s="19">
        <v>0</v>
      </c>
      <c r="GF59" s="18"/>
      <c r="GG59" s="17">
        <f t="shared" si="6"/>
        <v>0</v>
      </c>
      <c r="GH59" s="18"/>
      <c r="GI59" s="18"/>
      <c r="GJ59" s="19">
        <v>0</v>
      </c>
      <c r="GK59" s="18"/>
      <c r="GL59" s="18"/>
      <c r="GM59" s="19">
        <v>0</v>
      </c>
      <c r="GN59" s="18"/>
      <c r="GO59" s="17">
        <f t="shared" si="7"/>
        <v>0</v>
      </c>
      <c r="GP59" s="18"/>
      <c r="GQ59" s="18"/>
      <c r="GR59" s="19">
        <v>66.207962036132813</v>
      </c>
      <c r="GS59" s="18"/>
      <c r="GT59" s="18"/>
      <c r="GU59" s="19">
        <v>96</v>
      </c>
      <c r="GV59" s="18"/>
      <c r="GW59" s="17">
        <f t="shared" si="8"/>
        <v>0.6896662712097168</v>
      </c>
      <c r="GX59" s="18"/>
      <c r="GY59" s="18"/>
    </row>
    <row r="60" spans="1:207" x14ac:dyDescent="0.35">
      <c r="DX60" s="20">
        <v>46271</v>
      </c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19">
        <v>18.48</v>
      </c>
      <c r="EO60" s="18"/>
      <c r="EP60" s="18"/>
      <c r="EQ60" s="19">
        <v>24</v>
      </c>
      <c r="ER60" s="18"/>
      <c r="ES60" s="17">
        <f t="shared" si="1"/>
        <v>0.77</v>
      </c>
      <c r="ET60" s="18"/>
      <c r="EU60" s="18"/>
      <c r="EV60" s="19">
        <v>17.760000000000002</v>
      </c>
      <c r="EW60" s="18"/>
      <c r="EX60" s="18"/>
      <c r="EY60" s="19">
        <v>24</v>
      </c>
      <c r="EZ60" s="18"/>
      <c r="FA60" s="17">
        <f t="shared" si="2"/>
        <v>0.7400000000000001</v>
      </c>
      <c r="FB60" s="18"/>
      <c r="FC60" s="18"/>
      <c r="FD60" s="19">
        <v>16.32</v>
      </c>
      <c r="FE60" s="18"/>
      <c r="FF60" s="18"/>
      <c r="FG60" s="19">
        <v>24</v>
      </c>
      <c r="FH60" s="18"/>
      <c r="FI60" s="17">
        <f t="shared" si="3"/>
        <v>0.68</v>
      </c>
      <c r="FJ60" s="18"/>
      <c r="FK60" s="18"/>
      <c r="FL60" s="19">
        <v>16.59311111111111</v>
      </c>
      <c r="FM60" s="18"/>
      <c r="FN60" s="18"/>
      <c r="FO60" s="19">
        <v>23.704444444444444</v>
      </c>
      <c r="FP60" s="18"/>
      <c r="FQ60" s="17">
        <f t="shared" si="4"/>
        <v>0.7</v>
      </c>
      <c r="FR60" s="18"/>
      <c r="FS60" s="18"/>
      <c r="FT60" s="19">
        <v>0</v>
      </c>
      <c r="FU60" s="18"/>
      <c r="FV60" s="18"/>
      <c r="FW60" s="19">
        <v>0</v>
      </c>
      <c r="FX60" s="18"/>
      <c r="FY60" s="17">
        <f t="shared" si="5"/>
        <v>0</v>
      </c>
      <c r="FZ60" s="18"/>
      <c r="GA60" s="18"/>
      <c r="GB60" s="19">
        <v>0</v>
      </c>
      <c r="GC60" s="18"/>
      <c r="GD60" s="18"/>
      <c r="GE60" s="19">
        <v>0</v>
      </c>
      <c r="GF60" s="18"/>
      <c r="GG60" s="17">
        <f t="shared" si="6"/>
        <v>0</v>
      </c>
      <c r="GH60" s="18"/>
      <c r="GI60" s="18"/>
      <c r="GJ60" s="19">
        <v>0</v>
      </c>
      <c r="GK60" s="18"/>
      <c r="GL60" s="18"/>
      <c r="GM60" s="19">
        <v>0</v>
      </c>
      <c r="GN60" s="18"/>
      <c r="GO60" s="17">
        <f t="shared" si="7"/>
        <v>0</v>
      </c>
      <c r="GP60" s="18"/>
      <c r="GQ60" s="18"/>
      <c r="GR60" s="19">
        <v>69.153114318847656</v>
      </c>
      <c r="GS60" s="18"/>
      <c r="GT60" s="18"/>
      <c r="GU60" s="19">
        <v>95.704444885253906</v>
      </c>
      <c r="GV60" s="18"/>
      <c r="GW60" s="17">
        <f t="shared" si="8"/>
        <v>0.72256951494530564</v>
      </c>
      <c r="GX60" s="18"/>
      <c r="GY60" s="18"/>
    </row>
    <row r="61" spans="1:207" x14ac:dyDescent="0.35">
      <c r="DX61" s="21" t="s">
        <v>69</v>
      </c>
      <c r="DY61" s="21" t="s">
        <v>69</v>
      </c>
      <c r="DZ61" s="21" t="s">
        <v>69</v>
      </c>
      <c r="EA61" s="21" t="s">
        <v>69</v>
      </c>
      <c r="EB61" s="21" t="s">
        <v>69</v>
      </c>
      <c r="EC61" s="21" t="s">
        <v>69</v>
      </c>
      <c r="ED61" s="21" t="s">
        <v>69</v>
      </c>
      <c r="EE61" s="21" t="s">
        <v>69</v>
      </c>
      <c r="EF61" s="21" t="s">
        <v>69</v>
      </c>
      <c r="EG61" s="21" t="s">
        <v>69</v>
      </c>
      <c r="EH61" s="21" t="s">
        <v>69</v>
      </c>
      <c r="EI61" s="21" t="s">
        <v>69</v>
      </c>
      <c r="EJ61" s="21" t="s">
        <v>69</v>
      </c>
      <c r="EK61" s="21" t="s">
        <v>69</v>
      </c>
      <c r="EL61" s="21" t="s">
        <v>69</v>
      </c>
      <c r="EM61" s="21" t="s">
        <v>69</v>
      </c>
      <c r="EN61" s="22">
        <f>SUM(EN54:EP60)</f>
        <v>123.200225</v>
      </c>
      <c r="EO61" s="18"/>
      <c r="EP61" s="18"/>
      <c r="EQ61" s="22">
        <f>SUM(EQ54:ER60)</f>
        <v>168</v>
      </c>
      <c r="ER61" s="18"/>
      <c r="ES61" s="23">
        <f t="shared" si="1"/>
        <v>0.73333467261904761</v>
      </c>
      <c r="ET61" s="18"/>
      <c r="EU61" s="18"/>
      <c r="EV61" s="22">
        <f>SUM(EV54:EX60)</f>
        <v>65.869488888888895</v>
      </c>
      <c r="EW61" s="18"/>
      <c r="EX61" s="18"/>
      <c r="EY61" s="22">
        <f>SUM(EY54:EZ60)</f>
        <v>167.89249999999998</v>
      </c>
      <c r="EZ61" s="18"/>
      <c r="FA61" s="23">
        <f t="shared" si="2"/>
        <v>0.39233133635444645</v>
      </c>
      <c r="FB61" s="18"/>
      <c r="FC61" s="18"/>
      <c r="FD61" s="22">
        <f>SUM(FD54:FF60)</f>
        <v>109.36796944444444</v>
      </c>
      <c r="FE61" s="18"/>
      <c r="FF61" s="18"/>
      <c r="FG61" s="22">
        <f>SUM(FG54:FH60)</f>
        <v>168</v>
      </c>
      <c r="FH61" s="18"/>
      <c r="FI61" s="23">
        <f t="shared" si="3"/>
        <v>0.65099981812169305</v>
      </c>
      <c r="FJ61" s="18"/>
      <c r="FK61" s="18"/>
      <c r="FL61" s="22">
        <f>SUM(FL54:FN60)</f>
        <v>108.02286333333333</v>
      </c>
      <c r="FM61" s="18"/>
      <c r="FN61" s="18"/>
      <c r="FO61" s="22">
        <f>SUM(FO54:FP60)</f>
        <v>167.70444444444445</v>
      </c>
      <c r="FP61" s="18"/>
      <c r="FQ61" s="23">
        <f t="shared" si="4"/>
        <v>0.64412641949461358</v>
      </c>
      <c r="FR61" s="18"/>
      <c r="FS61" s="18"/>
      <c r="FT61" s="22">
        <f>SUM(FT54:FV60)</f>
        <v>29.411122222222222</v>
      </c>
      <c r="FU61" s="18"/>
      <c r="FV61" s="18"/>
      <c r="FW61" s="22">
        <f>SUM(FW54:FX60)</f>
        <v>38.867222222222225</v>
      </c>
      <c r="FX61" s="18"/>
      <c r="FY61" s="23">
        <f t="shared" si="5"/>
        <v>0.75670759423107159</v>
      </c>
      <c r="FZ61" s="18"/>
      <c r="GA61" s="18"/>
      <c r="GB61" s="22">
        <f>SUM(GB54:GD60)</f>
        <v>45.383158333333327</v>
      </c>
      <c r="GC61" s="18"/>
      <c r="GD61" s="18"/>
      <c r="GE61" s="22">
        <f>SUM(GE54:GF60)</f>
        <v>64.939166666666665</v>
      </c>
      <c r="GF61" s="18"/>
      <c r="GG61" s="23">
        <f t="shared" si="6"/>
        <v>0.69885649389813531</v>
      </c>
      <c r="GH61" s="18"/>
      <c r="GI61" s="18"/>
      <c r="GJ61" s="22">
        <f>SUM(GJ54:GL60)</f>
        <v>0</v>
      </c>
      <c r="GK61" s="18"/>
      <c r="GL61" s="18"/>
      <c r="GM61" s="22">
        <f>SUM(GM54:GN60)</f>
        <v>0</v>
      </c>
      <c r="GN61" s="18"/>
      <c r="GO61" s="23">
        <f t="shared" si="7"/>
        <v>0</v>
      </c>
      <c r="GP61" s="18"/>
      <c r="GQ61" s="18"/>
      <c r="GR61" s="22">
        <f>SUM(GR54:GT60)</f>
        <v>481.25483322143555</v>
      </c>
      <c r="GS61" s="18"/>
      <c r="GT61" s="18"/>
      <c r="GU61" s="22">
        <f>SUM(GU54:GV60)</f>
        <v>775.4033203125</v>
      </c>
      <c r="GV61" s="18"/>
      <c r="GW61" s="23">
        <f t="shared" si="8"/>
        <v>0.62065098331985746</v>
      </c>
      <c r="GX61" s="18"/>
      <c r="GY61" s="18"/>
    </row>
  </sheetData>
  <mergeCells count="1101">
    <mergeCell ref="AJ9:AQ9"/>
    <mergeCell ref="AR9:AY9"/>
    <mergeCell ref="A6:C6"/>
    <mergeCell ref="D6:AA6"/>
    <mergeCell ref="AB6:AI6"/>
    <mergeCell ref="AJ6:AN6"/>
    <mergeCell ref="D8:AA8"/>
    <mergeCell ref="Q1:FT4"/>
    <mergeCell ref="A1:C1"/>
    <mergeCell ref="A2:C2"/>
    <mergeCell ref="A3:C3"/>
    <mergeCell ref="A4:C4"/>
    <mergeCell ref="D1:P1"/>
    <mergeCell ref="D2:P2"/>
    <mergeCell ref="D3:P3"/>
    <mergeCell ref="D4:P4"/>
    <mergeCell ref="A11:C11"/>
    <mergeCell ref="A12:C12"/>
    <mergeCell ref="A13:C13"/>
    <mergeCell ref="A14:C14"/>
    <mergeCell ref="D11:AA11"/>
    <mergeCell ref="D14:AA14"/>
    <mergeCell ref="ER8:FO8"/>
    <mergeCell ref="ER9:EY9"/>
    <mergeCell ref="EZ9:FG9"/>
    <mergeCell ref="FH9:FO9"/>
    <mergeCell ref="FP8:FT10"/>
    <mergeCell ref="CV8:DS8"/>
    <mergeCell ref="CV9:DC9"/>
    <mergeCell ref="DD9:DK9"/>
    <mergeCell ref="DL9:DS9"/>
    <mergeCell ref="DT8:EQ8"/>
    <mergeCell ref="DT9:EA9"/>
    <mergeCell ref="EB9:EI9"/>
    <mergeCell ref="EJ9:EQ9"/>
    <mergeCell ref="AZ8:BW8"/>
    <mergeCell ref="AZ9:BG9"/>
    <mergeCell ref="BH9:BO9"/>
    <mergeCell ref="BP9:BW9"/>
    <mergeCell ref="BX8:CU8"/>
    <mergeCell ref="BX9:CE9"/>
    <mergeCell ref="CF9:CM9"/>
    <mergeCell ref="CN9:CU9"/>
    <mergeCell ref="D9:K9"/>
    <mergeCell ref="L9:S9"/>
    <mergeCell ref="T9:AA9"/>
    <mergeCell ref="AB8:AY8"/>
    <mergeCell ref="AB9:AI9"/>
    <mergeCell ref="DT11:EQ11"/>
    <mergeCell ref="ER11:FO11"/>
    <mergeCell ref="D12:K12"/>
    <mergeCell ref="D13:K13"/>
    <mergeCell ref="L12:S12"/>
    <mergeCell ref="L13:S13"/>
    <mergeCell ref="T12:AA12"/>
    <mergeCell ref="T13:AA13"/>
    <mergeCell ref="AB12:AI12"/>
    <mergeCell ref="AB13:AI13"/>
    <mergeCell ref="AJ12:AQ12"/>
    <mergeCell ref="AJ13:AQ13"/>
    <mergeCell ref="AR12:AY12"/>
    <mergeCell ref="AR13:AY13"/>
    <mergeCell ref="BP12:BW12"/>
    <mergeCell ref="AB11:AY11"/>
    <mergeCell ref="AZ11:BW11"/>
    <mergeCell ref="BX11:CE11"/>
    <mergeCell ref="CF11:CM11"/>
    <mergeCell ref="CN11:CU11"/>
    <mergeCell ref="CN12:CU12"/>
    <mergeCell ref="CN13:CU13"/>
    <mergeCell ref="BX14:CU14"/>
    <mergeCell ref="CV12:DC12"/>
    <mergeCell ref="CV13:DC13"/>
    <mergeCell ref="BP13:BW13"/>
    <mergeCell ref="AZ14:BW14"/>
    <mergeCell ref="BX12:CE12"/>
    <mergeCell ref="BX13:CE13"/>
    <mergeCell ref="CF12:CM12"/>
    <mergeCell ref="CF13:CM13"/>
    <mergeCell ref="AB14:AY14"/>
    <mergeCell ref="AZ12:BG12"/>
    <mergeCell ref="AZ13:BG13"/>
    <mergeCell ref="BH12:BO12"/>
    <mergeCell ref="BH13:BO13"/>
    <mergeCell ref="CV11:DS11"/>
    <mergeCell ref="FH12:FO12"/>
    <mergeCell ref="FH13:FO13"/>
    <mergeCell ref="ER14:FO14"/>
    <mergeCell ref="FP11:FT14"/>
    <mergeCell ref="A15:C15"/>
    <mergeCell ref="AZ15:BW15"/>
    <mergeCell ref="BX15:CU15"/>
    <mergeCell ref="CV15"/>
    <mergeCell ref="CW15"/>
    <mergeCell ref="CX15:DB15"/>
    <mergeCell ref="DC15"/>
    <mergeCell ref="DD15:DS15"/>
    <mergeCell ref="DT15:EL15"/>
    <mergeCell ref="EM15:EP15"/>
    <mergeCell ref="EQ15"/>
    <mergeCell ref="ER15:FO15"/>
    <mergeCell ref="DT14:EQ14"/>
    <mergeCell ref="ER12:EY12"/>
    <mergeCell ref="ER13:EY13"/>
    <mergeCell ref="EZ12:FG12"/>
    <mergeCell ref="EZ13:FG13"/>
    <mergeCell ref="DT12:EA12"/>
    <mergeCell ref="DT13:EA13"/>
    <mergeCell ref="EB12:EI12"/>
    <mergeCell ref="EB13:EI13"/>
    <mergeCell ref="EJ12:EQ12"/>
    <mergeCell ref="EJ13:EQ13"/>
    <mergeCell ref="DD12:DK12"/>
    <mergeCell ref="DD13:DK13"/>
    <mergeCell ref="DL12:DS12"/>
    <mergeCell ref="DL13:DS13"/>
    <mergeCell ref="CV14:DS14"/>
    <mergeCell ref="BX18:CU18"/>
    <mergeCell ref="CV16"/>
    <mergeCell ref="CV17"/>
    <mergeCell ref="CW16"/>
    <mergeCell ref="CW17"/>
    <mergeCell ref="BX16:CE16"/>
    <mergeCell ref="BX17:CE17"/>
    <mergeCell ref="CF16:CM16"/>
    <mergeCell ref="CF17:CM17"/>
    <mergeCell ref="CN16:CU16"/>
    <mergeCell ref="CN17:CU17"/>
    <mergeCell ref="A16:C16"/>
    <mergeCell ref="A17:C17"/>
    <mergeCell ref="A18:C18"/>
    <mergeCell ref="D15:AA15"/>
    <mergeCell ref="AB15:AY15"/>
    <mergeCell ref="D18:AA18"/>
    <mergeCell ref="AB18:AY18"/>
    <mergeCell ref="D16:BW16"/>
    <mergeCell ref="D17:BW17"/>
    <mergeCell ref="AZ18:BW18"/>
    <mergeCell ref="FH17:FO17"/>
    <mergeCell ref="ER18:FO18"/>
    <mergeCell ref="EQ16"/>
    <mergeCell ref="EQ17"/>
    <mergeCell ref="DT18:EQ18"/>
    <mergeCell ref="ER16:EY16"/>
    <mergeCell ref="ER17:EY17"/>
    <mergeCell ref="EB16:EI16"/>
    <mergeCell ref="EB17:EI17"/>
    <mergeCell ref="EJ16:EL16"/>
    <mergeCell ref="EJ17:EL17"/>
    <mergeCell ref="EM16:EP16"/>
    <mergeCell ref="EM17:EP17"/>
    <mergeCell ref="DL16:DS16"/>
    <mergeCell ref="DL17:DS17"/>
    <mergeCell ref="CV18:DS18"/>
    <mergeCell ref="DT16:EA16"/>
    <mergeCell ref="DT17:EA17"/>
    <mergeCell ref="CX16:DB16"/>
    <mergeCell ref="CX17:DB17"/>
    <mergeCell ref="DC16"/>
    <mergeCell ref="DC17"/>
    <mergeCell ref="DD16:DK16"/>
    <mergeCell ref="DD17:DK17"/>
    <mergeCell ref="AS21:AY21"/>
    <mergeCell ref="AB22:AY22"/>
    <mergeCell ref="D22:AA22"/>
    <mergeCell ref="AB20:AI20"/>
    <mergeCell ref="AB21:AI21"/>
    <mergeCell ref="AJ20"/>
    <mergeCell ref="AJ21"/>
    <mergeCell ref="D20:K20"/>
    <mergeCell ref="D21:K21"/>
    <mergeCell ref="L20:S20"/>
    <mergeCell ref="L21:S21"/>
    <mergeCell ref="T20:AA20"/>
    <mergeCell ref="T21:AA21"/>
    <mergeCell ref="FP15:FT18"/>
    <mergeCell ref="A19:C19"/>
    <mergeCell ref="A20:C20"/>
    <mergeCell ref="A21:C21"/>
    <mergeCell ref="A22:C22"/>
    <mergeCell ref="D19:AA19"/>
    <mergeCell ref="AB19:AJ19"/>
    <mergeCell ref="AK19:AR19"/>
    <mergeCell ref="AS19:AY19"/>
    <mergeCell ref="AZ19:BW19"/>
    <mergeCell ref="BX19:CU19"/>
    <mergeCell ref="CV19:CW19"/>
    <mergeCell ref="CX19:DE19"/>
    <mergeCell ref="DF19:DS19"/>
    <mergeCell ref="DT19:EQ19"/>
    <mergeCell ref="ER19:FO19"/>
    <mergeCell ref="EZ16:FG16"/>
    <mergeCell ref="EZ17:FG17"/>
    <mergeCell ref="FH16:FO16"/>
    <mergeCell ref="FP19:FT22"/>
    <mergeCell ref="A23:C23"/>
    <mergeCell ref="AZ23:BW23"/>
    <mergeCell ref="BX23:CE23"/>
    <mergeCell ref="CF23:CU23"/>
    <mergeCell ref="CV23:DS23"/>
    <mergeCell ref="DT23:EQ23"/>
    <mergeCell ref="ER23:FO23"/>
    <mergeCell ref="DT22:EQ22"/>
    <mergeCell ref="ER20:EY20"/>
    <mergeCell ref="ER21:EY21"/>
    <mergeCell ref="EZ20:FG20"/>
    <mergeCell ref="EZ21:FG21"/>
    <mergeCell ref="DT20:EA20"/>
    <mergeCell ref="DT21:EA21"/>
    <mergeCell ref="EB20:EI20"/>
    <mergeCell ref="EB21:EI21"/>
    <mergeCell ref="EJ20:EQ20"/>
    <mergeCell ref="EJ21:EQ21"/>
    <mergeCell ref="CX20:DE20"/>
    <mergeCell ref="CX21:DE21"/>
    <mergeCell ref="DF20:DK20"/>
    <mergeCell ref="DF21:DK21"/>
    <mergeCell ref="DL20:DS20"/>
    <mergeCell ref="DL21:DS21"/>
    <mergeCell ref="CN20:CU20"/>
    <mergeCell ref="CN21:CU21"/>
    <mergeCell ref="BX22:CU22"/>
    <mergeCell ref="CV20:CW20"/>
    <mergeCell ref="CV21:CW21"/>
    <mergeCell ref="CV22:DS22"/>
    <mergeCell ref="AZ22:BW22"/>
    <mergeCell ref="A24:C24"/>
    <mergeCell ref="A25:C25"/>
    <mergeCell ref="A26:C26"/>
    <mergeCell ref="D23:AA23"/>
    <mergeCell ref="AB23:AY23"/>
    <mergeCell ref="D24:K24"/>
    <mergeCell ref="D25:K25"/>
    <mergeCell ref="L24:S24"/>
    <mergeCell ref="L25:S25"/>
    <mergeCell ref="T24:AA24"/>
    <mergeCell ref="T25:AA25"/>
    <mergeCell ref="D26:AA26"/>
    <mergeCell ref="AB24:AI24"/>
    <mergeCell ref="AB25:AI25"/>
    <mergeCell ref="AJ24:AQ24"/>
    <mergeCell ref="AJ25:AQ25"/>
    <mergeCell ref="FH20:FO20"/>
    <mergeCell ref="FH21:FO21"/>
    <mergeCell ref="ER22:FO22"/>
    <mergeCell ref="BX20:CE20"/>
    <mergeCell ref="BX21:CE21"/>
    <mergeCell ref="CF20:CM20"/>
    <mergeCell ref="CF21:CM21"/>
    <mergeCell ref="AZ20:BG20"/>
    <mergeCell ref="AZ21:BG21"/>
    <mergeCell ref="BH20:BO20"/>
    <mergeCell ref="BH21:BO21"/>
    <mergeCell ref="BP20:BW20"/>
    <mergeCell ref="BP21:BW21"/>
    <mergeCell ref="AK20:AR20"/>
    <mergeCell ref="AK21:AR21"/>
    <mergeCell ref="AS20:AY20"/>
    <mergeCell ref="BX26:CU26"/>
    <mergeCell ref="CV24:DC24"/>
    <mergeCell ref="CV25:DC25"/>
    <mergeCell ref="DD24:DK24"/>
    <mergeCell ref="DD25:DK25"/>
    <mergeCell ref="BX24:CE24"/>
    <mergeCell ref="BX25:CE25"/>
    <mergeCell ref="CF24:CK24"/>
    <mergeCell ref="CF25:CK25"/>
    <mergeCell ref="CL24:CU24"/>
    <mergeCell ref="CL25:CU25"/>
    <mergeCell ref="BH24:BO24"/>
    <mergeCell ref="BH25:BO25"/>
    <mergeCell ref="BP24:BW24"/>
    <mergeCell ref="BP25:BW25"/>
    <mergeCell ref="AZ26:BW26"/>
    <mergeCell ref="AR24:AY24"/>
    <mergeCell ref="AR25:AY25"/>
    <mergeCell ref="AB26:AY26"/>
    <mergeCell ref="AZ24:BG24"/>
    <mergeCell ref="AZ25:BG25"/>
    <mergeCell ref="ER26:FO26"/>
    <mergeCell ref="FP23:FT26"/>
    <mergeCell ref="A27:C27"/>
    <mergeCell ref="A28:C28"/>
    <mergeCell ref="A29:C29"/>
    <mergeCell ref="AM27:AW27"/>
    <mergeCell ref="AX27:AY27"/>
    <mergeCell ref="AZ27:BJ27"/>
    <mergeCell ref="BK27:BW27"/>
    <mergeCell ref="BX27:CU27"/>
    <mergeCell ref="CV27:DS27"/>
    <mergeCell ref="DT27:EQ27"/>
    <mergeCell ref="ER27:FO27"/>
    <mergeCell ref="Z29:AA29"/>
    <mergeCell ref="AL28"/>
    <mergeCell ref="AL29"/>
    <mergeCell ref="ER24:EY24"/>
    <mergeCell ref="ER25:EY25"/>
    <mergeCell ref="EZ24:FG24"/>
    <mergeCell ref="EZ25:FG25"/>
    <mergeCell ref="FH24:FO24"/>
    <mergeCell ref="FH25:FO25"/>
    <mergeCell ref="EB24:EI24"/>
    <mergeCell ref="EB25:EI25"/>
    <mergeCell ref="EJ24:EQ24"/>
    <mergeCell ref="EJ25:EQ25"/>
    <mergeCell ref="DT26:EQ26"/>
    <mergeCell ref="DL24:DS24"/>
    <mergeCell ref="DL25:DS25"/>
    <mergeCell ref="CV26:DS26"/>
    <mergeCell ref="DT24:EA24"/>
    <mergeCell ref="DT25:EA25"/>
    <mergeCell ref="AM28:AQ28"/>
    <mergeCell ref="AM29:AQ29"/>
    <mergeCell ref="AR28:AW28"/>
    <mergeCell ref="AR29:AW29"/>
    <mergeCell ref="AX28:AY28"/>
    <mergeCell ref="AX29:AY29"/>
    <mergeCell ref="D30:AA30"/>
    <mergeCell ref="AB28:AI28"/>
    <mergeCell ref="AB29:AI29"/>
    <mergeCell ref="AJ28:AK28"/>
    <mergeCell ref="AJ29:AK29"/>
    <mergeCell ref="AB30:AY30"/>
    <mergeCell ref="A30:C30"/>
    <mergeCell ref="D27:N27"/>
    <mergeCell ref="O27:Y27"/>
    <mergeCell ref="Z27:AA27"/>
    <mergeCell ref="AB27:AL27"/>
    <mergeCell ref="D28:K28"/>
    <mergeCell ref="D29:K29"/>
    <mergeCell ref="L28:M28"/>
    <mergeCell ref="L29:M29"/>
    <mergeCell ref="N28"/>
    <mergeCell ref="N29"/>
    <mergeCell ref="O28:S28"/>
    <mergeCell ref="O29:S29"/>
    <mergeCell ref="T28:Y28"/>
    <mergeCell ref="T29:Y29"/>
    <mergeCell ref="Z28:AA28"/>
    <mergeCell ref="BX30:CU30"/>
    <mergeCell ref="CV28:DC28"/>
    <mergeCell ref="CV29:DC29"/>
    <mergeCell ref="DD28:DK28"/>
    <mergeCell ref="DD29:DK29"/>
    <mergeCell ref="BX28:CE28"/>
    <mergeCell ref="BX29:CE29"/>
    <mergeCell ref="CF28:CM28"/>
    <mergeCell ref="CF29:CM29"/>
    <mergeCell ref="CN28:CU28"/>
    <mergeCell ref="CN29:CU29"/>
    <mergeCell ref="BK28:BO28"/>
    <mergeCell ref="BK29:BO29"/>
    <mergeCell ref="BP28:BW28"/>
    <mergeCell ref="BP29:BW29"/>
    <mergeCell ref="AZ30:BW30"/>
    <mergeCell ref="AZ28:BG28"/>
    <mergeCell ref="AZ29:BG29"/>
    <mergeCell ref="BH28:BI28"/>
    <mergeCell ref="BH29:BI29"/>
    <mergeCell ref="BJ28"/>
    <mergeCell ref="BJ29"/>
    <mergeCell ref="ER30:FO30"/>
    <mergeCell ref="FP27:FT30"/>
    <mergeCell ref="A31:C31"/>
    <mergeCell ref="A32:C32"/>
    <mergeCell ref="A33:C33"/>
    <mergeCell ref="AE31:AO31"/>
    <mergeCell ref="AP31:AQ31"/>
    <mergeCell ref="AR31:AU31"/>
    <mergeCell ref="AV31:AW31"/>
    <mergeCell ref="AX31:AY31"/>
    <mergeCell ref="AZ31:BW31"/>
    <mergeCell ref="BX31"/>
    <mergeCell ref="BY31:CU31"/>
    <mergeCell ref="CV31:DS31"/>
    <mergeCell ref="DT31:EQ31"/>
    <mergeCell ref="ER31:FO31"/>
    <mergeCell ref="ER28:EY28"/>
    <mergeCell ref="ER29:EY29"/>
    <mergeCell ref="EZ28:FG28"/>
    <mergeCell ref="EZ29:FG29"/>
    <mergeCell ref="FH28:FO28"/>
    <mergeCell ref="FH29:FO29"/>
    <mergeCell ref="EB28:EI28"/>
    <mergeCell ref="EB29:EI29"/>
    <mergeCell ref="EJ28:EQ28"/>
    <mergeCell ref="EJ29:EQ29"/>
    <mergeCell ref="DT30:EQ30"/>
    <mergeCell ref="DL28:DS28"/>
    <mergeCell ref="DL29:DS29"/>
    <mergeCell ref="CV30:DS30"/>
    <mergeCell ref="DT28:EA28"/>
    <mergeCell ref="DT29:EA29"/>
    <mergeCell ref="AV32:AW32"/>
    <mergeCell ref="AV33:AW33"/>
    <mergeCell ref="AD32"/>
    <mergeCell ref="AD33"/>
    <mergeCell ref="AE32:AI32"/>
    <mergeCell ref="AE33:AI33"/>
    <mergeCell ref="AJ32:AO32"/>
    <mergeCell ref="AJ33:AO33"/>
    <mergeCell ref="A34:C34"/>
    <mergeCell ref="D31:L31"/>
    <mergeCell ref="M31:AA31"/>
    <mergeCell ref="AB31:AC31"/>
    <mergeCell ref="AD31"/>
    <mergeCell ref="D32:K32"/>
    <mergeCell ref="D33:K33"/>
    <mergeCell ref="L32"/>
    <mergeCell ref="L33"/>
    <mergeCell ref="M32:S32"/>
    <mergeCell ref="M33:S33"/>
    <mergeCell ref="T32:AA32"/>
    <mergeCell ref="T33:AA33"/>
    <mergeCell ref="D34:AA34"/>
    <mergeCell ref="AB32:AC32"/>
    <mergeCell ref="AB33:AC33"/>
    <mergeCell ref="A35:C35"/>
    <mergeCell ref="AZ35:BW35"/>
    <mergeCell ref="BX35:CU35"/>
    <mergeCell ref="CV35:DS35"/>
    <mergeCell ref="DT35:EQ35"/>
    <mergeCell ref="ER35:FO35"/>
    <mergeCell ref="DT34:EQ34"/>
    <mergeCell ref="ER32:EY32"/>
    <mergeCell ref="ER33:EY33"/>
    <mergeCell ref="EZ32:FG32"/>
    <mergeCell ref="EZ33:FG33"/>
    <mergeCell ref="DT32:EA32"/>
    <mergeCell ref="DT33:EA33"/>
    <mergeCell ref="EB32:EI32"/>
    <mergeCell ref="EB33:EI33"/>
    <mergeCell ref="EJ32:EQ32"/>
    <mergeCell ref="EJ33:EQ33"/>
    <mergeCell ref="DD32:DK32"/>
    <mergeCell ref="DD33:DK33"/>
    <mergeCell ref="DL32:DS32"/>
    <mergeCell ref="DL33:DS33"/>
    <mergeCell ref="CV34:DS34"/>
    <mergeCell ref="CN32:CU32"/>
    <mergeCell ref="CN33:CU33"/>
    <mergeCell ref="BX34:CU34"/>
    <mergeCell ref="CV32:DC32"/>
    <mergeCell ref="CV33:DC33"/>
    <mergeCell ref="BX32"/>
    <mergeCell ref="BX33"/>
    <mergeCell ref="BY32:CE32"/>
    <mergeCell ref="BY33:CE33"/>
    <mergeCell ref="CF32:CM32"/>
    <mergeCell ref="D35:AA35"/>
    <mergeCell ref="AB35:AY35"/>
    <mergeCell ref="D36:K36"/>
    <mergeCell ref="D37:K37"/>
    <mergeCell ref="L36:S36"/>
    <mergeCell ref="L37:S37"/>
    <mergeCell ref="T36:AA36"/>
    <mergeCell ref="T37:AA37"/>
    <mergeCell ref="D38:AA38"/>
    <mergeCell ref="AB36:AI36"/>
    <mergeCell ref="AB37:AI37"/>
    <mergeCell ref="AJ36:AQ36"/>
    <mergeCell ref="AJ37:AQ37"/>
    <mergeCell ref="FH32:FO32"/>
    <mergeCell ref="FH33:FO33"/>
    <mergeCell ref="ER34:FO34"/>
    <mergeCell ref="FP31:FT34"/>
    <mergeCell ref="CF33:CM33"/>
    <mergeCell ref="BH32:BO32"/>
    <mergeCell ref="BH33:BO33"/>
    <mergeCell ref="BP32:BW32"/>
    <mergeCell ref="BP33:BW33"/>
    <mergeCell ref="AZ34:BW34"/>
    <mergeCell ref="AX32:AY32"/>
    <mergeCell ref="AX33:AY33"/>
    <mergeCell ref="AB34:AY34"/>
    <mergeCell ref="AZ32:BG32"/>
    <mergeCell ref="AZ33:BG33"/>
    <mergeCell ref="AP32:AQ32"/>
    <mergeCell ref="AP33:AQ33"/>
    <mergeCell ref="AR32:AU32"/>
    <mergeCell ref="AR33:AU33"/>
    <mergeCell ref="BX36:CE36"/>
    <mergeCell ref="BX37:CE37"/>
    <mergeCell ref="CF36:CM36"/>
    <mergeCell ref="CF37:CM37"/>
    <mergeCell ref="CN36:CU36"/>
    <mergeCell ref="CN37:CU37"/>
    <mergeCell ref="BH36:BO36"/>
    <mergeCell ref="BH37:BO37"/>
    <mergeCell ref="BP36:BW36"/>
    <mergeCell ref="BP37:BW37"/>
    <mergeCell ref="AZ38:BW38"/>
    <mergeCell ref="AR36:AY36"/>
    <mergeCell ref="AR37:AY37"/>
    <mergeCell ref="AB38:AY38"/>
    <mergeCell ref="AZ36:BG36"/>
    <mergeCell ref="AZ37:BG37"/>
    <mergeCell ref="A36:C36"/>
    <mergeCell ref="A37:C37"/>
    <mergeCell ref="A38:C38"/>
    <mergeCell ref="ER38:FO38"/>
    <mergeCell ref="FP35:FT38"/>
    <mergeCell ref="A39:C39"/>
    <mergeCell ref="FP39:FT39"/>
    <mergeCell ref="D39:AA39"/>
    <mergeCell ref="AB39:AY39"/>
    <mergeCell ref="AZ39:BW39"/>
    <mergeCell ref="BX39:CU39"/>
    <mergeCell ref="CV39:DS39"/>
    <mergeCell ref="DT39:EQ39"/>
    <mergeCell ref="ER39:FO39"/>
    <mergeCell ref="ER36:EY36"/>
    <mergeCell ref="ER37:EY37"/>
    <mergeCell ref="EZ36:FG36"/>
    <mergeCell ref="EZ37:FG37"/>
    <mergeCell ref="FH36:FO36"/>
    <mergeCell ref="FH37:FO37"/>
    <mergeCell ref="EB36:EI36"/>
    <mergeCell ref="EB37:EI37"/>
    <mergeCell ref="EJ36:EQ36"/>
    <mergeCell ref="EJ37:EQ37"/>
    <mergeCell ref="DT38:EQ38"/>
    <mergeCell ref="DL36:DS36"/>
    <mergeCell ref="DL37:DS37"/>
    <mergeCell ref="CV38:DS38"/>
    <mergeCell ref="DT36:EA36"/>
    <mergeCell ref="DT37:EA37"/>
    <mergeCell ref="BX38:CU38"/>
    <mergeCell ref="CV36:DC36"/>
    <mergeCell ref="CV37:DC37"/>
    <mergeCell ref="DD36:DK36"/>
    <mergeCell ref="DD37:DK37"/>
    <mergeCell ref="A44:K44"/>
    <mergeCell ref="L44:S44"/>
    <mergeCell ref="T44:AA44"/>
    <mergeCell ref="AB44:AI44"/>
    <mergeCell ref="AJ44:AQ44"/>
    <mergeCell ref="AR44:AY44"/>
    <mergeCell ref="A43:K43"/>
    <mergeCell ref="L43:S43"/>
    <mergeCell ref="T43:AA43"/>
    <mergeCell ref="AB43:AI43"/>
    <mergeCell ref="AJ43:AQ43"/>
    <mergeCell ref="A41:AY41"/>
    <mergeCell ref="A42:K42"/>
    <mergeCell ref="L42:S42"/>
    <mergeCell ref="T42:AA42"/>
    <mergeCell ref="AB42:AI42"/>
    <mergeCell ref="AJ42:AQ42"/>
    <mergeCell ref="AR42:AY42"/>
    <mergeCell ref="A48:K48"/>
    <mergeCell ref="L48:S48"/>
    <mergeCell ref="T48:AA48"/>
    <mergeCell ref="AB48:AI48"/>
    <mergeCell ref="AJ48:AQ48"/>
    <mergeCell ref="AR48:AY48"/>
    <mergeCell ref="A47:K47"/>
    <mergeCell ref="L47:S47"/>
    <mergeCell ref="T47:AA47"/>
    <mergeCell ref="AB47:AI47"/>
    <mergeCell ref="AJ47:AQ47"/>
    <mergeCell ref="AR45:AY45"/>
    <mergeCell ref="A46:K46"/>
    <mergeCell ref="L46:S46"/>
    <mergeCell ref="T46:AA46"/>
    <mergeCell ref="AB46:AI46"/>
    <mergeCell ref="AJ46:AQ46"/>
    <mergeCell ref="AR46:AY46"/>
    <mergeCell ref="A45:K45"/>
    <mergeCell ref="L45:S45"/>
    <mergeCell ref="T45:AA45"/>
    <mergeCell ref="AB45:AI45"/>
    <mergeCell ref="AJ45:AQ45"/>
    <mergeCell ref="A52:K52"/>
    <mergeCell ref="L52:S52"/>
    <mergeCell ref="T52:AA52"/>
    <mergeCell ref="AB52:AI52"/>
    <mergeCell ref="AJ52:AQ52"/>
    <mergeCell ref="AR52:AY52"/>
    <mergeCell ref="A51:K51"/>
    <mergeCell ref="L51:S51"/>
    <mergeCell ref="T51:AA51"/>
    <mergeCell ref="AB51:AI51"/>
    <mergeCell ref="AJ51:AQ51"/>
    <mergeCell ref="AR49:AY49"/>
    <mergeCell ref="A50:K50"/>
    <mergeCell ref="L50:S50"/>
    <mergeCell ref="T50:AA50"/>
    <mergeCell ref="AB50:AI50"/>
    <mergeCell ref="AJ50:AQ50"/>
    <mergeCell ref="AR50:AY50"/>
    <mergeCell ref="A49:K49"/>
    <mergeCell ref="L49:S49"/>
    <mergeCell ref="T49:AA49"/>
    <mergeCell ref="AB49:AI49"/>
    <mergeCell ref="AJ49:AQ49"/>
    <mergeCell ref="A56:K56"/>
    <mergeCell ref="L56:S56"/>
    <mergeCell ref="T56:AA56"/>
    <mergeCell ref="AB56:AI56"/>
    <mergeCell ref="AJ56:AQ56"/>
    <mergeCell ref="AR56:AY56"/>
    <mergeCell ref="A55:K55"/>
    <mergeCell ref="L55:S55"/>
    <mergeCell ref="T55:AA55"/>
    <mergeCell ref="AB55:AI55"/>
    <mergeCell ref="AJ55:AQ55"/>
    <mergeCell ref="AR53:AY53"/>
    <mergeCell ref="A54:K54"/>
    <mergeCell ref="L54:S54"/>
    <mergeCell ref="T54:AA54"/>
    <mergeCell ref="AB54:AI54"/>
    <mergeCell ref="AJ54:AQ54"/>
    <mergeCell ref="AR54:AY54"/>
    <mergeCell ref="A53:K53"/>
    <mergeCell ref="L53:S53"/>
    <mergeCell ref="T53:AA53"/>
    <mergeCell ref="AB53:AI53"/>
    <mergeCell ref="AJ53:AQ53"/>
    <mergeCell ref="A59:K59"/>
    <mergeCell ref="L59:S59"/>
    <mergeCell ref="T59:AA59"/>
    <mergeCell ref="AB59:AI59"/>
    <mergeCell ref="AJ59:AQ59"/>
    <mergeCell ref="AR57:AY57"/>
    <mergeCell ref="A58:K58"/>
    <mergeCell ref="L58:S58"/>
    <mergeCell ref="T58:AA58"/>
    <mergeCell ref="AB58:AI58"/>
    <mergeCell ref="AJ58:AQ58"/>
    <mergeCell ref="AR58:AY58"/>
    <mergeCell ref="A57:K57"/>
    <mergeCell ref="L57:S57"/>
    <mergeCell ref="T57:AA57"/>
    <mergeCell ref="AB57:AI57"/>
    <mergeCell ref="AJ57:AQ57"/>
    <mergeCell ref="DF43:DM43"/>
    <mergeCell ref="DN43:DU43"/>
    <mergeCell ref="BB44:BI44"/>
    <mergeCell ref="BJ44:BY44"/>
    <mergeCell ref="BZ44:CG44"/>
    <mergeCell ref="CH44:CO44"/>
    <mergeCell ref="CP44:CW44"/>
    <mergeCell ref="CX44:DE44"/>
    <mergeCell ref="DF44:DM44"/>
    <mergeCell ref="DN44:DU44"/>
    <mergeCell ref="AR59:AY59"/>
    <mergeCell ref="BB41:DU41"/>
    <mergeCell ref="BB42:BI42"/>
    <mergeCell ref="BJ42:BY42"/>
    <mergeCell ref="BZ42:CG42"/>
    <mergeCell ref="CH42:CO42"/>
    <mergeCell ref="CP42:CW42"/>
    <mergeCell ref="CX42:DE42"/>
    <mergeCell ref="DF42:DM42"/>
    <mergeCell ref="DN42:DU42"/>
    <mergeCell ref="BB43:BI43"/>
    <mergeCell ref="BJ43:BY43"/>
    <mergeCell ref="BZ43:CG43"/>
    <mergeCell ref="CH43:CO43"/>
    <mergeCell ref="CP43:CW43"/>
    <mergeCell ref="CX43:DE43"/>
    <mergeCell ref="AR55:AY55"/>
    <mergeCell ref="AR51:AY51"/>
    <mergeCell ref="AR47:AY47"/>
    <mergeCell ref="AR43:AY43"/>
    <mergeCell ref="CX47:DE47"/>
    <mergeCell ref="DF47:DM47"/>
    <mergeCell ref="DN47:DU47"/>
    <mergeCell ref="BB48:BI48"/>
    <mergeCell ref="BJ48:BY48"/>
    <mergeCell ref="BZ48:CG48"/>
    <mergeCell ref="CH48:CO48"/>
    <mergeCell ref="CP48:CW48"/>
    <mergeCell ref="CX48:DE48"/>
    <mergeCell ref="DF48:DM48"/>
    <mergeCell ref="DN48:DU48"/>
    <mergeCell ref="BB47:BI47"/>
    <mergeCell ref="BJ47:BY47"/>
    <mergeCell ref="BZ47:CG47"/>
    <mergeCell ref="CH47:CO47"/>
    <mergeCell ref="CP47:CW47"/>
    <mergeCell ref="CX45:DE45"/>
    <mergeCell ref="DF45:DM45"/>
    <mergeCell ref="DN45:DU45"/>
    <mergeCell ref="BB46:BI46"/>
    <mergeCell ref="BJ46:BY46"/>
    <mergeCell ref="BZ46:CG46"/>
    <mergeCell ref="CH46:CO46"/>
    <mergeCell ref="CP46:CW46"/>
    <mergeCell ref="CX46:DE46"/>
    <mergeCell ref="DF46:DM46"/>
    <mergeCell ref="DN46:DU46"/>
    <mergeCell ref="BB45:BI45"/>
    <mergeCell ref="BJ45:BY45"/>
    <mergeCell ref="BZ45:CG45"/>
    <mergeCell ref="CH45:CO45"/>
    <mergeCell ref="CP45:CW45"/>
    <mergeCell ref="CX51:DE51"/>
    <mergeCell ref="DF51:DM51"/>
    <mergeCell ref="DN51:DU51"/>
    <mergeCell ref="BB52:BI52"/>
    <mergeCell ref="BJ52:BY52"/>
    <mergeCell ref="BZ52:CG52"/>
    <mergeCell ref="CH52:CO52"/>
    <mergeCell ref="CP52:CW52"/>
    <mergeCell ref="CX52:DE52"/>
    <mergeCell ref="DF52:DM52"/>
    <mergeCell ref="DN52:DU52"/>
    <mergeCell ref="BB51:BI51"/>
    <mergeCell ref="BJ51:BY51"/>
    <mergeCell ref="BZ51:CG51"/>
    <mergeCell ref="CH51:CO51"/>
    <mergeCell ref="CP51:CW51"/>
    <mergeCell ref="CX49:DE49"/>
    <mergeCell ref="DF49:DM49"/>
    <mergeCell ref="DN49:DU49"/>
    <mergeCell ref="BB50:BI50"/>
    <mergeCell ref="BJ50:BY50"/>
    <mergeCell ref="BZ50:CG50"/>
    <mergeCell ref="CH50:CO50"/>
    <mergeCell ref="CP50:CW50"/>
    <mergeCell ref="CX50:DE50"/>
    <mergeCell ref="DF50:DM50"/>
    <mergeCell ref="DN50:DU50"/>
    <mergeCell ref="BB49:BI49"/>
    <mergeCell ref="BJ49:BY49"/>
    <mergeCell ref="BZ49:CG49"/>
    <mergeCell ref="CH49:CO49"/>
    <mergeCell ref="CP49:CW49"/>
    <mergeCell ref="BB56:BI56"/>
    <mergeCell ref="BJ56:BY56"/>
    <mergeCell ref="BZ56:CG56"/>
    <mergeCell ref="CH56:CO56"/>
    <mergeCell ref="CP56:CW56"/>
    <mergeCell ref="CX56:DE56"/>
    <mergeCell ref="DF56:DM56"/>
    <mergeCell ref="DN56:DU56"/>
    <mergeCell ref="BB55:BI55"/>
    <mergeCell ref="BJ55:BY55"/>
    <mergeCell ref="BZ55:CG55"/>
    <mergeCell ref="CH55:CO55"/>
    <mergeCell ref="CP55:CW55"/>
    <mergeCell ref="CX53:DE53"/>
    <mergeCell ref="DF53:DM53"/>
    <mergeCell ref="DN53:DU53"/>
    <mergeCell ref="BB54:BI54"/>
    <mergeCell ref="BJ54:BY54"/>
    <mergeCell ref="BZ54:CG54"/>
    <mergeCell ref="CH54:CO54"/>
    <mergeCell ref="CP54:CW54"/>
    <mergeCell ref="CX54:DE54"/>
    <mergeCell ref="DF54:DM54"/>
    <mergeCell ref="DN54:DU54"/>
    <mergeCell ref="BB53:BI53"/>
    <mergeCell ref="BJ53:BY53"/>
    <mergeCell ref="BZ53:CG53"/>
    <mergeCell ref="CH53:CO53"/>
    <mergeCell ref="CP53:CW53"/>
    <mergeCell ref="BB59:BI59"/>
    <mergeCell ref="BJ59:BY59"/>
    <mergeCell ref="BZ59:CG59"/>
    <mergeCell ref="CH59:CO59"/>
    <mergeCell ref="CP59:CW59"/>
    <mergeCell ref="CX57:DE57"/>
    <mergeCell ref="DF57:DM57"/>
    <mergeCell ref="DN57:DU57"/>
    <mergeCell ref="BB58:BI58"/>
    <mergeCell ref="BJ58:BY58"/>
    <mergeCell ref="BZ58:CG58"/>
    <mergeCell ref="CH58:CO58"/>
    <mergeCell ref="CP58:CW58"/>
    <mergeCell ref="CX58:DE58"/>
    <mergeCell ref="DF58:DM58"/>
    <mergeCell ref="DN58:DU58"/>
    <mergeCell ref="BB57:BI57"/>
    <mergeCell ref="BJ57:BY57"/>
    <mergeCell ref="BZ57:CG57"/>
    <mergeCell ref="CH57:CO57"/>
    <mergeCell ref="CP57:CW57"/>
    <mergeCell ref="EV42:FC42"/>
    <mergeCell ref="EV43:FC43"/>
    <mergeCell ref="EV44:FC44"/>
    <mergeCell ref="EV45:FC45"/>
    <mergeCell ref="EV46:FC46"/>
    <mergeCell ref="EV47:FC47"/>
    <mergeCell ref="EV48:FC48"/>
    <mergeCell ref="EV49:FC49"/>
    <mergeCell ref="EV50:FC50"/>
    <mergeCell ref="EN42:EU42"/>
    <mergeCell ref="EN43:EU43"/>
    <mergeCell ref="EN44:EU44"/>
    <mergeCell ref="EN45:EU45"/>
    <mergeCell ref="EN46:EU46"/>
    <mergeCell ref="CX59:DE59"/>
    <mergeCell ref="DF59:DM59"/>
    <mergeCell ref="DN59:DU59"/>
    <mergeCell ref="DX42:EM42"/>
    <mergeCell ref="DX43:EM43"/>
    <mergeCell ref="DX44:EM44"/>
    <mergeCell ref="DX45:EM45"/>
    <mergeCell ref="DX46:EM46"/>
    <mergeCell ref="DX47:EM47"/>
    <mergeCell ref="DX48:EM48"/>
    <mergeCell ref="DX49:EM49"/>
    <mergeCell ref="DX50:EM50"/>
    <mergeCell ref="DX52:EM53"/>
    <mergeCell ref="DX56:EM56"/>
    <mergeCell ref="DX57:EM57"/>
    <mergeCell ref="CX55:DE55"/>
    <mergeCell ref="DF55:DM55"/>
    <mergeCell ref="DN55:DU55"/>
    <mergeCell ref="FT46:GA46"/>
    <mergeCell ref="FD47:FK47"/>
    <mergeCell ref="FD48:FK48"/>
    <mergeCell ref="FD49:FK49"/>
    <mergeCell ref="FD50:FK50"/>
    <mergeCell ref="FL42:FS42"/>
    <mergeCell ref="FL43:FS43"/>
    <mergeCell ref="FL44:FS44"/>
    <mergeCell ref="FL45:FS45"/>
    <mergeCell ref="FL46:FS46"/>
    <mergeCell ref="FL47:FS47"/>
    <mergeCell ref="FL48:FS48"/>
    <mergeCell ref="FL49:FS49"/>
    <mergeCell ref="FL50:FS50"/>
    <mergeCell ref="FD42:FK42"/>
    <mergeCell ref="FD43:FK43"/>
    <mergeCell ref="FD44:FK44"/>
    <mergeCell ref="FD45:FK45"/>
    <mergeCell ref="FD46:FK46"/>
    <mergeCell ref="DX41:GY41"/>
    <mergeCell ref="GR42:GY42"/>
    <mergeCell ref="GR43:GY43"/>
    <mergeCell ref="GR44:GY44"/>
    <mergeCell ref="GR45:GY45"/>
    <mergeCell ref="GR46:GY46"/>
    <mergeCell ref="GR47:GY47"/>
    <mergeCell ref="GR48:GY48"/>
    <mergeCell ref="GR49:GY49"/>
    <mergeCell ref="GR50:GY50"/>
    <mergeCell ref="GJ42:GQ42"/>
    <mergeCell ref="GJ43:GQ43"/>
    <mergeCell ref="GJ44:GQ44"/>
    <mergeCell ref="GJ45:GQ45"/>
    <mergeCell ref="GJ46:GQ46"/>
    <mergeCell ref="FT47:GA47"/>
    <mergeCell ref="FT48:GA48"/>
    <mergeCell ref="FT49:GA49"/>
    <mergeCell ref="FT50:GA50"/>
    <mergeCell ref="GB42:GI42"/>
    <mergeCell ref="GB43:GI43"/>
    <mergeCell ref="GB44:GI44"/>
    <mergeCell ref="GB45:GI45"/>
    <mergeCell ref="GB46:GI46"/>
    <mergeCell ref="GB47:GI47"/>
    <mergeCell ref="GB48:GI48"/>
    <mergeCell ref="GB49:GI49"/>
    <mergeCell ref="GB50:GI50"/>
    <mergeCell ref="FT42:GA42"/>
    <mergeCell ref="FT43:GA43"/>
    <mergeCell ref="FT44:GA44"/>
    <mergeCell ref="FT45:GA45"/>
    <mergeCell ref="DX61:EM61"/>
    <mergeCell ref="EN53:EP53"/>
    <mergeCell ref="EQ53:ER53"/>
    <mergeCell ref="ES53:EU53"/>
    <mergeCell ref="EN52:EU52"/>
    <mergeCell ref="EN61:EP61"/>
    <mergeCell ref="EQ61:ER61"/>
    <mergeCell ref="ES61:EU61"/>
    <mergeCell ref="DX54:EM54"/>
    <mergeCell ref="EN54:EP54"/>
    <mergeCell ref="EQ54:ER54"/>
    <mergeCell ref="ES54:EU54"/>
    <mergeCell ref="DX55:EM55"/>
    <mergeCell ref="EN55:EP55"/>
    <mergeCell ref="EQ55:ER55"/>
    <mergeCell ref="ES55:EU55"/>
    <mergeCell ref="GJ47:GQ47"/>
    <mergeCell ref="GJ48:GQ48"/>
    <mergeCell ref="GJ49:GQ49"/>
    <mergeCell ref="GJ50:GQ50"/>
    <mergeCell ref="EN47:EU47"/>
    <mergeCell ref="EN48:EU48"/>
    <mergeCell ref="EN49:EU49"/>
    <mergeCell ref="EN50:EU50"/>
    <mergeCell ref="FD53:FF53"/>
    <mergeCell ref="FG53:FH53"/>
    <mergeCell ref="FI53:FK53"/>
    <mergeCell ref="FD52:FK52"/>
    <mergeCell ref="FD61:FF61"/>
    <mergeCell ref="FG61:FH61"/>
    <mergeCell ref="FI61:FK61"/>
    <mergeCell ref="FD54:FF54"/>
    <mergeCell ref="FG54:FH54"/>
    <mergeCell ref="FI54:FK54"/>
    <mergeCell ref="FD55:FF55"/>
    <mergeCell ref="FG55:FH55"/>
    <mergeCell ref="FI55:FK55"/>
    <mergeCell ref="FD56:FF56"/>
    <mergeCell ref="FG56:FH56"/>
    <mergeCell ref="FI56:FK56"/>
    <mergeCell ref="EV53:EX53"/>
    <mergeCell ref="EY53:EZ53"/>
    <mergeCell ref="FA53:FC53"/>
    <mergeCell ref="EV52:FC52"/>
    <mergeCell ref="EV61:EX61"/>
    <mergeCell ref="EY61:EZ61"/>
    <mergeCell ref="FA61:FC61"/>
    <mergeCell ref="EV54:EX54"/>
    <mergeCell ref="EY54:EZ54"/>
    <mergeCell ref="FA54:FC54"/>
    <mergeCell ref="EV55:EX55"/>
    <mergeCell ref="EY55:EZ55"/>
    <mergeCell ref="FA55:FC55"/>
    <mergeCell ref="FA56:FC56"/>
    <mergeCell ref="FA57:FC57"/>
    <mergeCell ref="FT53:FV53"/>
    <mergeCell ref="FW53:FX53"/>
    <mergeCell ref="FY53:GA53"/>
    <mergeCell ref="FT52:GA52"/>
    <mergeCell ref="FT61:FV61"/>
    <mergeCell ref="FW61:FX61"/>
    <mergeCell ref="FY61:GA61"/>
    <mergeCell ref="FT54:FV54"/>
    <mergeCell ref="FW54:FX54"/>
    <mergeCell ref="FY54:GA54"/>
    <mergeCell ref="FT55:FV55"/>
    <mergeCell ref="FW55:FX55"/>
    <mergeCell ref="FY55:GA55"/>
    <mergeCell ref="FT56:FV56"/>
    <mergeCell ref="FW56:FX56"/>
    <mergeCell ref="FY56:GA56"/>
    <mergeCell ref="FL53:FN53"/>
    <mergeCell ref="FO53:FP53"/>
    <mergeCell ref="FQ53:FS53"/>
    <mergeCell ref="FL52:FS52"/>
    <mergeCell ref="FL61:FN61"/>
    <mergeCell ref="FO61:FP61"/>
    <mergeCell ref="FQ61:FS61"/>
    <mergeCell ref="FL54:FN54"/>
    <mergeCell ref="FO54:FP54"/>
    <mergeCell ref="FQ54:FS54"/>
    <mergeCell ref="FL55:FN55"/>
    <mergeCell ref="FO55:FP55"/>
    <mergeCell ref="FQ55:FS55"/>
    <mergeCell ref="FL56:FN56"/>
    <mergeCell ref="FO56:FP56"/>
    <mergeCell ref="FQ56:FS56"/>
    <mergeCell ref="GJ54:GL54"/>
    <mergeCell ref="GM54:GN54"/>
    <mergeCell ref="GO54:GQ54"/>
    <mergeCell ref="GJ55:GL55"/>
    <mergeCell ref="GM55:GN55"/>
    <mergeCell ref="GO55:GQ55"/>
    <mergeCell ref="GJ56:GL56"/>
    <mergeCell ref="GM56:GN56"/>
    <mergeCell ref="GO56:GQ56"/>
    <mergeCell ref="GB53:GD53"/>
    <mergeCell ref="GE53:GF53"/>
    <mergeCell ref="GG53:GI53"/>
    <mergeCell ref="GB52:GI52"/>
    <mergeCell ref="GB61:GD61"/>
    <mergeCell ref="GE61:GF61"/>
    <mergeCell ref="GG61:GI61"/>
    <mergeCell ref="GB54:GD54"/>
    <mergeCell ref="GE54:GF54"/>
    <mergeCell ref="GG54:GI54"/>
    <mergeCell ref="GB55:GD55"/>
    <mergeCell ref="GE55:GF55"/>
    <mergeCell ref="GG55:GI55"/>
    <mergeCell ref="GB56:GD56"/>
    <mergeCell ref="GE56:GF56"/>
    <mergeCell ref="GG56:GI56"/>
    <mergeCell ref="EQ57:ER57"/>
    <mergeCell ref="ES57:EU57"/>
    <mergeCell ref="EV57:EX57"/>
    <mergeCell ref="EY57:EZ57"/>
    <mergeCell ref="EN56:EP56"/>
    <mergeCell ref="EQ56:ER56"/>
    <mergeCell ref="ES56:EU56"/>
    <mergeCell ref="EV56:EX56"/>
    <mergeCell ref="EY56:EZ56"/>
    <mergeCell ref="GR53:GT53"/>
    <mergeCell ref="GU53:GV53"/>
    <mergeCell ref="GW53:GY53"/>
    <mergeCell ref="GR52:GY52"/>
    <mergeCell ref="GR61:GT61"/>
    <mergeCell ref="GU61:GV61"/>
    <mergeCell ref="GW61:GY61"/>
    <mergeCell ref="GR54:GT54"/>
    <mergeCell ref="GU54:GV54"/>
    <mergeCell ref="GW54:GY54"/>
    <mergeCell ref="GR55:GT55"/>
    <mergeCell ref="GU55:GV55"/>
    <mergeCell ref="GW55:GY55"/>
    <mergeCell ref="GR56:GT56"/>
    <mergeCell ref="GU56:GV56"/>
    <mergeCell ref="GW56:GY56"/>
    <mergeCell ref="GJ53:GL53"/>
    <mergeCell ref="GM53:GN53"/>
    <mergeCell ref="GO53:GQ53"/>
    <mergeCell ref="GJ52:GQ52"/>
    <mergeCell ref="GJ61:GL61"/>
    <mergeCell ref="GM61:GN61"/>
    <mergeCell ref="GO61:GQ61"/>
    <mergeCell ref="GR57:GT57"/>
    <mergeCell ref="GU57:GV57"/>
    <mergeCell ref="GW57:GY57"/>
    <mergeCell ref="DX58:EM58"/>
    <mergeCell ref="EN58:EP58"/>
    <mergeCell ref="EQ58:ER58"/>
    <mergeCell ref="ES58:EU58"/>
    <mergeCell ref="EV58:EX58"/>
    <mergeCell ref="EY58:EZ58"/>
    <mergeCell ref="FA58:FC58"/>
    <mergeCell ref="FD58:FF58"/>
    <mergeCell ref="FG58:FH58"/>
    <mergeCell ref="FI58:FK58"/>
    <mergeCell ref="FL58:FN58"/>
    <mergeCell ref="FO58:FP58"/>
    <mergeCell ref="FQ58:FS58"/>
    <mergeCell ref="GE57:GF57"/>
    <mergeCell ref="GG57:GI57"/>
    <mergeCell ref="GJ57:GL57"/>
    <mergeCell ref="GM57:GN57"/>
    <mergeCell ref="GO57:GQ57"/>
    <mergeCell ref="FQ57:FS57"/>
    <mergeCell ref="FT57:FV57"/>
    <mergeCell ref="FW57:FX57"/>
    <mergeCell ref="FY57:GA57"/>
    <mergeCell ref="GB57:GD57"/>
    <mergeCell ref="FD57:FF57"/>
    <mergeCell ref="FG57:FH57"/>
    <mergeCell ref="FI57:FK57"/>
    <mergeCell ref="FL57:FN57"/>
    <mergeCell ref="FO57:FP57"/>
    <mergeCell ref="EN57:EP57"/>
    <mergeCell ref="FY59:GA59"/>
    <mergeCell ref="GB59:GD59"/>
    <mergeCell ref="GE59:GF59"/>
    <mergeCell ref="GG59:GI59"/>
    <mergeCell ref="GU58:GV58"/>
    <mergeCell ref="GW58:GY58"/>
    <mergeCell ref="DX59:EM59"/>
    <mergeCell ref="EN59:EP59"/>
    <mergeCell ref="EQ59:ER59"/>
    <mergeCell ref="ES59:EU59"/>
    <mergeCell ref="EV59:EX59"/>
    <mergeCell ref="EY59:EZ59"/>
    <mergeCell ref="FA59:FC59"/>
    <mergeCell ref="FD59:FF59"/>
    <mergeCell ref="FG59:FH59"/>
    <mergeCell ref="FI59:FK59"/>
    <mergeCell ref="FL59:FN59"/>
    <mergeCell ref="FO59:FP59"/>
    <mergeCell ref="FQ59:FS59"/>
    <mergeCell ref="FT59:FV59"/>
    <mergeCell ref="GG58:GI58"/>
    <mergeCell ref="GJ58:GL58"/>
    <mergeCell ref="GM58:GN58"/>
    <mergeCell ref="GO58:GQ58"/>
    <mergeCell ref="GR58:GT58"/>
    <mergeCell ref="FT58:FV58"/>
    <mergeCell ref="FW58:FX58"/>
    <mergeCell ref="FY58:GA58"/>
    <mergeCell ref="GB58:GD58"/>
    <mergeCell ref="GE58:GF58"/>
    <mergeCell ref="GM60:GN60"/>
    <mergeCell ref="GO60:GQ60"/>
    <mergeCell ref="GR60:GT60"/>
    <mergeCell ref="GU60:GV60"/>
    <mergeCell ref="GW60:GY60"/>
    <mergeCell ref="FY60:GA60"/>
    <mergeCell ref="GB60:GD60"/>
    <mergeCell ref="GE60:GF60"/>
    <mergeCell ref="GG60:GI60"/>
    <mergeCell ref="GJ60:GL60"/>
    <mergeCell ref="GW59:GY59"/>
    <mergeCell ref="DX60:EM60"/>
    <mergeCell ref="EN60:EP60"/>
    <mergeCell ref="EQ60:ER60"/>
    <mergeCell ref="ES60:EU60"/>
    <mergeCell ref="EV60:EX60"/>
    <mergeCell ref="EY60:EZ60"/>
    <mergeCell ref="FA60:FC60"/>
    <mergeCell ref="FD60:FF60"/>
    <mergeCell ref="FG60:FH60"/>
    <mergeCell ref="FI60:FK60"/>
    <mergeCell ref="FL60:FN60"/>
    <mergeCell ref="FO60:FP60"/>
    <mergeCell ref="FQ60:FS60"/>
    <mergeCell ref="FT60:FV60"/>
    <mergeCell ref="FW60:FX60"/>
    <mergeCell ref="GJ59:GL59"/>
    <mergeCell ref="GM59:GN59"/>
    <mergeCell ref="GO59:GQ59"/>
    <mergeCell ref="GR59:GT59"/>
    <mergeCell ref="GU59:GV59"/>
    <mergeCell ref="FW59:FX5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Y70"/>
  <sheetViews>
    <sheetView tabSelected="1" topLeftCell="AQ37" zoomScale="63" workbookViewId="0">
      <selection activeCell="DN68" sqref="DN68:DU70"/>
    </sheetView>
  </sheetViews>
  <sheetFormatPr baseColWidth="10" defaultColWidth="9.109375" defaultRowHeight="24" x14ac:dyDescent="0.35"/>
  <cols>
    <col min="1" max="3" width="9.109375" style="1" customWidth="1"/>
    <col min="4" max="121" width="3" style="1" customWidth="1"/>
    <col min="122" max="122" width="15.88671875" style="1" customWidth="1"/>
    <col min="123" max="250" width="3" style="1" customWidth="1"/>
    <col min="251" max="251" width="9.109375" style="1" customWidth="1"/>
    <col min="252" max="16384" width="9.109375" style="1"/>
  </cols>
  <sheetData>
    <row r="1" spans="1:176" x14ac:dyDescent="0.35">
      <c r="A1" s="83" t="s">
        <v>0</v>
      </c>
      <c r="B1" s="69"/>
      <c r="C1" s="69"/>
      <c r="D1" s="69" t="s">
        <v>1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80" t="s">
        <v>2</v>
      </c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9"/>
      <c r="EY1" s="69"/>
      <c r="EZ1" s="69"/>
      <c r="FA1" s="69"/>
      <c r="FB1" s="69"/>
      <c r="FC1" s="69"/>
      <c r="FD1" s="69"/>
      <c r="FE1" s="69"/>
      <c r="FF1" s="69"/>
      <c r="FG1" s="69"/>
      <c r="FH1" s="69"/>
      <c r="FI1" s="69"/>
      <c r="FJ1" s="69"/>
      <c r="FK1" s="69"/>
      <c r="FL1" s="69"/>
      <c r="FM1" s="69"/>
      <c r="FN1" s="69"/>
      <c r="FO1" s="69"/>
      <c r="FP1" s="69"/>
      <c r="FQ1" s="69"/>
      <c r="FR1" s="69"/>
      <c r="FS1" s="69"/>
      <c r="FT1" s="70"/>
    </row>
    <row r="2" spans="1:176" x14ac:dyDescent="0.35">
      <c r="A2" s="84" t="s">
        <v>3</v>
      </c>
      <c r="B2" s="21"/>
      <c r="C2" s="21"/>
      <c r="D2" s="21" t="s">
        <v>4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74"/>
    </row>
    <row r="3" spans="1:176" x14ac:dyDescent="0.35">
      <c r="A3" s="84" t="s">
        <v>5</v>
      </c>
      <c r="B3" s="21"/>
      <c r="C3" s="21"/>
      <c r="D3" s="21" t="s">
        <v>6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74"/>
    </row>
    <row r="4" spans="1:176" x14ac:dyDescent="0.35">
      <c r="A4" s="85" t="s">
        <v>7</v>
      </c>
      <c r="B4" s="81"/>
      <c r="C4" s="81"/>
      <c r="D4" s="81" t="s">
        <v>153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  <c r="DF4" s="81"/>
      <c r="DG4" s="81"/>
      <c r="DH4" s="81"/>
      <c r="DI4" s="81"/>
      <c r="DJ4" s="81"/>
      <c r="DK4" s="81"/>
      <c r="DL4" s="81"/>
      <c r="DM4" s="81"/>
      <c r="DN4" s="81"/>
      <c r="DO4" s="81"/>
      <c r="DP4" s="81"/>
      <c r="DQ4" s="81"/>
      <c r="DR4" s="81"/>
      <c r="DS4" s="81"/>
      <c r="DT4" s="81"/>
      <c r="DU4" s="81"/>
      <c r="DV4" s="81"/>
      <c r="DW4" s="81"/>
      <c r="DX4" s="81"/>
      <c r="DY4" s="81"/>
      <c r="DZ4" s="81"/>
      <c r="EA4" s="81"/>
      <c r="EB4" s="81"/>
      <c r="EC4" s="81"/>
      <c r="ED4" s="81"/>
      <c r="EE4" s="81"/>
      <c r="EF4" s="81"/>
      <c r="EG4" s="81"/>
      <c r="EH4" s="81"/>
      <c r="EI4" s="81"/>
      <c r="EJ4" s="81"/>
      <c r="EK4" s="81"/>
      <c r="EL4" s="81"/>
      <c r="EM4" s="81"/>
      <c r="EN4" s="81"/>
      <c r="EO4" s="81"/>
      <c r="EP4" s="81"/>
      <c r="EQ4" s="81"/>
      <c r="ER4" s="81"/>
      <c r="ES4" s="81"/>
      <c r="ET4" s="81"/>
      <c r="EU4" s="81"/>
      <c r="EV4" s="81"/>
      <c r="EW4" s="81"/>
      <c r="EX4" s="81"/>
      <c r="EY4" s="81"/>
      <c r="EZ4" s="81"/>
      <c r="FA4" s="81"/>
      <c r="FB4" s="81"/>
      <c r="FC4" s="81"/>
      <c r="FD4" s="81"/>
      <c r="FE4" s="81"/>
      <c r="FF4" s="81"/>
      <c r="FG4" s="81"/>
      <c r="FH4" s="81"/>
      <c r="FI4" s="81"/>
      <c r="FJ4" s="81"/>
      <c r="FK4" s="81"/>
      <c r="FL4" s="81"/>
      <c r="FM4" s="81"/>
      <c r="FN4" s="81"/>
      <c r="FO4" s="81"/>
      <c r="FP4" s="81"/>
      <c r="FQ4" s="81"/>
      <c r="FR4" s="81"/>
      <c r="FS4" s="81"/>
      <c r="FT4" s="82"/>
    </row>
    <row r="5" spans="1:176" x14ac:dyDescent="0.35">
      <c r="A5" s="4"/>
      <c r="FT5" s="6"/>
    </row>
    <row r="6" spans="1:176" x14ac:dyDescent="0.35">
      <c r="A6" s="78" t="s">
        <v>5</v>
      </c>
      <c r="B6" s="79"/>
      <c r="C6" s="79"/>
      <c r="D6" s="79" t="s">
        <v>154</v>
      </c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 t="s">
        <v>10</v>
      </c>
      <c r="AC6" s="79"/>
      <c r="AD6" s="79"/>
      <c r="AE6" s="79"/>
      <c r="AF6" s="79"/>
      <c r="AG6" s="79"/>
      <c r="AH6" s="79"/>
      <c r="AI6" s="79"/>
      <c r="AJ6" s="79" t="s">
        <v>155</v>
      </c>
      <c r="AK6" s="79"/>
      <c r="AL6" s="79"/>
      <c r="AM6" s="79"/>
      <c r="AN6" s="79"/>
      <c r="FT6" s="6"/>
    </row>
    <row r="7" spans="1:176" x14ac:dyDescent="0.35">
      <c r="A7" s="4"/>
      <c r="FT7" s="6"/>
    </row>
    <row r="8" spans="1:176" x14ac:dyDescent="0.35">
      <c r="A8" s="4"/>
      <c r="D8" s="68" t="s">
        <v>156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70"/>
      <c r="AB8" s="68" t="s">
        <v>157</v>
      </c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70"/>
      <c r="AZ8" s="68" t="s">
        <v>158</v>
      </c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70"/>
      <c r="BX8" s="68" t="s">
        <v>159</v>
      </c>
      <c r="BY8" s="69"/>
      <c r="BZ8" s="69"/>
      <c r="CA8" s="69"/>
      <c r="CB8" s="69"/>
      <c r="CC8" s="69"/>
      <c r="CD8" s="69"/>
      <c r="CE8" s="69"/>
      <c r="CF8" s="69"/>
      <c r="CG8" s="69"/>
      <c r="CH8" s="69"/>
      <c r="CI8" s="69"/>
      <c r="CJ8" s="69"/>
      <c r="CK8" s="69"/>
      <c r="CL8" s="69"/>
      <c r="CM8" s="69"/>
      <c r="CN8" s="69"/>
      <c r="CO8" s="69"/>
      <c r="CP8" s="69"/>
      <c r="CQ8" s="69"/>
      <c r="CR8" s="69"/>
      <c r="CS8" s="69"/>
      <c r="CT8" s="69"/>
      <c r="CU8" s="70"/>
      <c r="CV8" s="68" t="s">
        <v>160</v>
      </c>
      <c r="CW8" s="69"/>
      <c r="CX8" s="69"/>
      <c r="CY8" s="69"/>
      <c r="CZ8" s="69"/>
      <c r="DA8" s="69"/>
      <c r="DB8" s="69"/>
      <c r="DC8" s="69"/>
      <c r="DD8" s="69"/>
      <c r="DE8" s="69"/>
      <c r="DF8" s="69"/>
      <c r="DG8" s="69"/>
      <c r="DH8" s="69"/>
      <c r="DI8" s="69"/>
      <c r="DJ8" s="69"/>
      <c r="DK8" s="69"/>
      <c r="DL8" s="69"/>
      <c r="DM8" s="69"/>
      <c r="DN8" s="69"/>
      <c r="DO8" s="69"/>
      <c r="DP8" s="69"/>
      <c r="DQ8" s="69"/>
      <c r="DR8" s="69"/>
      <c r="DS8" s="70"/>
      <c r="DT8" s="68" t="s">
        <v>161</v>
      </c>
      <c r="DU8" s="69"/>
      <c r="DV8" s="69"/>
      <c r="DW8" s="69"/>
      <c r="DX8" s="69"/>
      <c r="DY8" s="69"/>
      <c r="DZ8" s="69"/>
      <c r="EA8" s="69"/>
      <c r="EB8" s="69"/>
      <c r="EC8" s="69"/>
      <c r="ED8" s="69"/>
      <c r="EE8" s="69"/>
      <c r="EF8" s="69"/>
      <c r="EG8" s="69"/>
      <c r="EH8" s="69"/>
      <c r="EI8" s="69"/>
      <c r="EJ8" s="69"/>
      <c r="EK8" s="69"/>
      <c r="EL8" s="69"/>
      <c r="EM8" s="69"/>
      <c r="EN8" s="69"/>
      <c r="EO8" s="69"/>
      <c r="EP8" s="69"/>
      <c r="EQ8" s="70"/>
      <c r="ER8" s="68" t="s">
        <v>162</v>
      </c>
      <c r="ES8" s="69"/>
      <c r="ET8" s="69"/>
      <c r="EU8" s="69"/>
      <c r="EV8" s="69"/>
      <c r="EW8" s="69"/>
      <c r="EX8" s="69"/>
      <c r="EY8" s="69"/>
      <c r="EZ8" s="69"/>
      <c r="FA8" s="69"/>
      <c r="FB8" s="69"/>
      <c r="FC8" s="69"/>
      <c r="FD8" s="69"/>
      <c r="FE8" s="69"/>
      <c r="FF8" s="69"/>
      <c r="FG8" s="69"/>
      <c r="FH8" s="69"/>
      <c r="FI8" s="69"/>
      <c r="FJ8" s="69"/>
      <c r="FK8" s="69"/>
      <c r="FL8" s="69"/>
      <c r="FM8" s="69"/>
      <c r="FN8" s="69"/>
      <c r="FO8" s="70"/>
      <c r="FP8" s="75" t="s">
        <v>19</v>
      </c>
      <c r="FQ8" s="76"/>
      <c r="FR8" s="76"/>
      <c r="FS8" s="76"/>
      <c r="FT8" s="76"/>
    </row>
    <row r="9" spans="1:176" x14ac:dyDescent="0.35">
      <c r="A9" s="4"/>
      <c r="D9" s="71" t="s">
        <v>20</v>
      </c>
      <c r="E9" s="21"/>
      <c r="F9" s="21"/>
      <c r="G9" s="21"/>
      <c r="H9" s="21"/>
      <c r="I9" s="21"/>
      <c r="J9" s="21"/>
      <c r="K9" s="21"/>
      <c r="L9" s="72" t="s">
        <v>21</v>
      </c>
      <c r="M9" s="21"/>
      <c r="N9" s="21"/>
      <c r="O9" s="21"/>
      <c r="P9" s="21"/>
      <c r="Q9" s="21"/>
      <c r="R9" s="21"/>
      <c r="S9" s="21"/>
      <c r="T9" s="73" t="s">
        <v>22</v>
      </c>
      <c r="U9" s="21"/>
      <c r="V9" s="21"/>
      <c r="W9" s="21"/>
      <c r="X9" s="21"/>
      <c r="Y9" s="21"/>
      <c r="Z9" s="21"/>
      <c r="AA9" s="74"/>
      <c r="AB9" s="71" t="s">
        <v>20</v>
      </c>
      <c r="AC9" s="21"/>
      <c r="AD9" s="21"/>
      <c r="AE9" s="21"/>
      <c r="AF9" s="21"/>
      <c r="AG9" s="21"/>
      <c r="AH9" s="21"/>
      <c r="AI9" s="21"/>
      <c r="AJ9" s="72" t="s">
        <v>21</v>
      </c>
      <c r="AK9" s="21"/>
      <c r="AL9" s="21"/>
      <c r="AM9" s="21"/>
      <c r="AN9" s="21"/>
      <c r="AO9" s="21"/>
      <c r="AP9" s="21"/>
      <c r="AQ9" s="21"/>
      <c r="AR9" s="73" t="s">
        <v>22</v>
      </c>
      <c r="AS9" s="21"/>
      <c r="AT9" s="21"/>
      <c r="AU9" s="21"/>
      <c r="AV9" s="21"/>
      <c r="AW9" s="21"/>
      <c r="AX9" s="21"/>
      <c r="AY9" s="74"/>
      <c r="AZ9" s="71" t="s">
        <v>20</v>
      </c>
      <c r="BA9" s="21"/>
      <c r="BB9" s="21"/>
      <c r="BC9" s="21"/>
      <c r="BD9" s="21"/>
      <c r="BE9" s="21"/>
      <c r="BF9" s="21"/>
      <c r="BG9" s="21"/>
      <c r="BH9" s="72" t="s">
        <v>21</v>
      </c>
      <c r="BI9" s="21"/>
      <c r="BJ9" s="21"/>
      <c r="BK9" s="21"/>
      <c r="BL9" s="21"/>
      <c r="BM9" s="21"/>
      <c r="BN9" s="21"/>
      <c r="BO9" s="21"/>
      <c r="BP9" s="73" t="s">
        <v>22</v>
      </c>
      <c r="BQ9" s="21"/>
      <c r="BR9" s="21"/>
      <c r="BS9" s="21"/>
      <c r="BT9" s="21"/>
      <c r="BU9" s="21"/>
      <c r="BV9" s="21"/>
      <c r="BW9" s="74"/>
      <c r="BX9" s="71" t="s">
        <v>20</v>
      </c>
      <c r="BY9" s="21"/>
      <c r="BZ9" s="21"/>
      <c r="CA9" s="21"/>
      <c r="CB9" s="21"/>
      <c r="CC9" s="21"/>
      <c r="CD9" s="21"/>
      <c r="CE9" s="21"/>
      <c r="CF9" s="72" t="s">
        <v>21</v>
      </c>
      <c r="CG9" s="21"/>
      <c r="CH9" s="21"/>
      <c r="CI9" s="21"/>
      <c r="CJ9" s="21"/>
      <c r="CK9" s="21"/>
      <c r="CL9" s="21"/>
      <c r="CM9" s="21"/>
      <c r="CN9" s="73" t="s">
        <v>22</v>
      </c>
      <c r="CO9" s="21"/>
      <c r="CP9" s="21"/>
      <c r="CQ9" s="21"/>
      <c r="CR9" s="21"/>
      <c r="CS9" s="21"/>
      <c r="CT9" s="21"/>
      <c r="CU9" s="74"/>
      <c r="CV9" s="71" t="s">
        <v>20</v>
      </c>
      <c r="CW9" s="21"/>
      <c r="CX9" s="21"/>
      <c r="CY9" s="21"/>
      <c r="CZ9" s="21"/>
      <c r="DA9" s="21"/>
      <c r="DB9" s="21"/>
      <c r="DC9" s="21"/>
      <c r="DD9" s="72" t="s">
        <v>21</v>
      </c>
      <c r="DE9" s="21"/>
      <c r="DF9" s="21"/>
      <c r="DG9" s="21"/>
      <c r="DH9" s="21"/>
      <c r="DI9" s="21"/>
      <c r="DJ9" s="21"/>
      <c r="DK9" s="21"/>
      <c r="DL9" s="73" t="s">
        <v>22</v>
      </c>
      <c r="DM9" s="21"/>
      <c r="DN9" s="21"/>
      <c r="DO9" s="21"/>
      <c r="DP9" s="21"/>
      <c r="DQ9" s="21"/>
      <c r="DR9" s="21"/>
      <c r="DS9" s="74"/>
      <c r="DT9" s="71" t="s">
        <v>20</v>
      </c>
      <c r="DU9" s="21"/>
      <c r="DV9" s="21"/>
      <c r="DW9" s="21"/>
      <c r="DX9" s="21"/>
      <c r="DY9" s="21"/>
      <c r="DZ9" s="21"/>
      <c r="EA9" s="21"/>
      <c r="EB9" s="72" t="s">
        <v>21</v>
      </c>
      <c r="EC9" s="21"/>
      <c r="ED9" s="21"/>
      <c r="EE9" s="21"/>
      <c r="EF9" s="21"/>
      <c r="EG9" s="21"/>
      <c r="EH9" s="21"/>
      <c r="EI9" s="21"/>
      <c r="EJ9" s="73" t="s">
        <v>22</v>
      </c>
      <c r="EK9" s="21"/>
      <c r="EL9" s="21"/>
      <c r="EM9" s="21"/>
      <c r="EN9" s="21"/>
      <c r="EO9" s="21"/>
      <c r="EP9" s="21"/>
      <c r="EQ9" s="74"/>
      <c r="ER9" s="71" t="s">
        <v>20</v>
      </c>
      <c r="ES9" s="21"/>
      <c r="ET9" s="21"/>
      <c r="EU9" s="21"/>
      <c r="EV9" s="21"/>
      <c r="EW9" s="21"/>
      <c r="EX9" s="21"/>
      <c r="EY9" s="21"/>
      <c r="EZ9" s="72" t="s">
        <v>21</v>
      </c>
      <c r="FA9" s="21"/>
      <c r="FB9" s="21"/>
      <c r="FC9" s="21"/>
      <c r="FD9" s="21"/>
      <c r="FE9" s="21"/>
      <c r="FF9" s="21"/>
      <c r="FG9" s="21"/>
      <c r="FH9" s="73" t="s">
        <v>22</v>
      </c>
      <c r="FI9" s="21"/>
      <c r="FJ9" s="21"/>
      <c r="FK9" s="21"/>
      <c r="FL9" s="21"/>
      <c r="FM9" s="21"/>
      <c r="FN9" s="21"/>
      <c r="FO9" s="74"/>
      <c r="FP9" s="76"/>
      <c r="FQ9" s="76"/>
      <c r="FR9" s="76"/>
      <c r="FS9" s="76"/>
      <c r="FT9" s="76"/>
    </row>
    <row r="10" spans="1:176" s="2" customFormat="1" ht="58.05" customHeight="1" x14ac:dyDescent="0.3">
      <c r="A10" s="5"/>
      <c r="D10" s="7">
        <v>0</v>
      </c>
      <c r="E10" s="8">
        <v>4.1666666666666699E-2</v>
      </c>
      <c r="F10" s="8">
        <v>8.3333333333333301E-2</v>
      </c>
      <c r="G10" s="8">
        <v>0.125</v>
      </c>
      <c r="H10" s="8">
        <v>0.16666666666666699</v>
      </c>
      <c r="I10" s="8">
        <v>0.20833333333333301</v>
      </c>
      <c r="J10" s="8">
        <v>0.25</v>
      </c>
      <c r="K10" s="8">
        <v>0.29166666666666702</v>
      </c>
      <c r="L10" s="8">
        <v>0.33333333333333298</v>
      </c>
      <c r="M10" s="8">
        <v>0.375</v>
      </c>
      <c r="N10" s="8">
        <v>0.41666666666666702</v>
      </c>
      <c r="O10" s="8">
        <v>0.45833333333333298</v>
      </c>
      <c r="P10" s="8">
        <v>0.5</v>
      </c>
      <c r="Q10" s="8">
        <v>0.54166666666666696</v>
      </c>
      <c r="R10" s="8">
        <v>0.58333333333333304</v>
      </c>
      <c r="S10" s="8">
        <v>0.625</v>
      </c>
      <c r="T10" s="8">
        <v>0.66666666666666696</v>
      </c>
      <c r="U10" s="8">
        <v>0.70833333333333304</v>
      </c>
      <c r="V10" s="8">
        <v>0.75</v>
      </c>
      <c r="W10" s="8">
        <v>0.79166666666666696</v>
      </c>
      <c r="X10" s="8">
        <v>0.83333333333333304</v>
      </c>
      <c r="Y10" s="8">
        <v>0.875</v>
      </c>
      <c r="Z10" s="8">
        <v>0.91666666666666696</v>
      </c>
      <c r="AA10" s="9">
        <v>0.95833333333333304</v>
      </c>
      <c r="AB10" s="7">
        <v>0</v>
      </c>
      <c r="AC10" s="8">
        <v>4.1666666666666699E-2</v>
      </c>
      <c r="AD10" s="8">
        <v>8.3333333333333301E-2</v>
      </c>
      <c r="AE10" s="8">
        <v>0.125</v>
      </c>
      <c r="AF10" s="8">
        <v>0.16666666666666699</v>
      </c>
      <c r="AG10" s="8">
        <v>0.20833333333333301</v>
      </c>
      <c r="AH10" s="8">
        <v>0.25</v>
      </c>
      <c r="AI10" s="8">
        <v>0.29166666666666702</v>
      </c>
      <c r="AJ10" s="8">
        <v>0.33333333333333298</v>
      </c>
      <c r="AK10" s="8">
        <v>0.375</v>
      </c>
      <c r="AL10" s="8">
        <v>0.41666666666666702</v>
      </c>
      <c r="AM10" s="8">
        <v>0.45833333333333298</v>
      </c>
      <c r="AN10" s="8">
        <v>0.5</v>
      </c>
      <c r="AO10" s="8">
        <v>0.54166666666666696</v>
      </c>
      <c r="AP10" s="8">
        <v>0.58333333333333304</v>
      </c>
      <c r="AQ10" s="8">
        <v>0.625</v>
      </c>
      <c r="AR10" s="8">
        <v>0.66666666666666696</v>
      </c>
      <c r="AS10" s="8">
        <v>0.70833333333333304</v>
      </c>
      <c r="AT10" s="8">
        <v>0.75</v>
      </c>
      <c r="AU10" s="8">
        <v>0.79166666666666696</v>
      </c>
      <c r="AV10" s="8">
        <v>0.83333333333333304</v>
      </c>
      <c r="AW10" s="8">
        <v>0.875</v>
      </c>
      <c r="AX10" s="8">
        <v>0.91666666666666696</v>
      </c>
      <c r="AY10" s="9">
        <v>0.95833333333333304</v>
      </c>
      <c r="AZ10" s="7">
        <v>0</v>
      </c>
      <c r="BA10" s="8">
        <v>4.1666666666666699E-2</v>
      </c>
      <c r="BB10" s="8">
        <v>8.3333333333333301E-2</v>
      </c>
      <c r="BC10" s="8">
        <v>0.125</v>
      </c>
      <c r="BD10" s="8">
        <v>0.16666666666666699</v>
      </c>
      <c r="BE10" s="8">
        <v>0.20833333333333301</v>
      </c>
      <c r="BF10" s="8">
        <v>0.25</v>
      </c>
      <c r="BG10" s="8">
        <v>0.29166666666666702</v>
      </c>
      <c r="BH10" s="8">
        <v>0.33333333333333298</v>
      </c>
      <c r="BI10" s="8">
        <v>0.375</v>
      </c>
      <c r="BJ10" s="8">
        <v>0.41666666666666702</v>
      </c>
      <c r="BK10" s="8">
        <v>0.45833333333333298</v>
      </c>
      <c r="BL10" s="8">
        <v>0.5</v>
      </c>
      <c r="BM10" s="8">
        <v>0.54166666666666696</v>
      </c>
      <c r="BN10" s="8">
        <v>0.58333333333333304</v>
      </c>
      <c r="BO10" s="8">
        <v>0.625</v>
      </c>
      <c r="BP10" s="8">
        <v>0.66666666666666696</v>
      </c>
      <c r="BQ10" s="8">
        <v>0.70833333333333304</v>
      </c>
      <c r="BR10" s="8">
        <v>0.75</v>
      </c>
      <c r="BS10" s="8">
        <v>0.79166666666666696</v>
      </c>
      <c r="BT10" s="8">
        <v>0.83333333333333304</v>
      </c>
      <c r="BU10" s="8">
        <v>0.875</v>
      </c>
      <c r="BV10" s="8">
        <v>0.91666666666666696</v>
      </c>
      <c r="BW10" s="9">
        <v>0.95833333333333304</v>
      </c>
      <c r="BX10" s="7">
        <v>0</v>
      </c>
      <c r="BY10" s="8">
        <v>4.1666666666666699E-2</v>
      </c>
      <c r="BZ10" s="8">
        <v>8.3333333333333301E-2</v>
      </c>
      <c r="CA10" s="8">
        <v>0.125</v>
      </c>
      <c r="CB10" s="8">
        <v>0.16666666666666699</v>
      </c>
      <c r="CC10" s="8">
        <v>0.20833333333333301</v>
      </c>
      <c r="CD10" s="8">
        <v>0.25</v>
      </c>
      <c r="CE10" s="8">
        <v>0.29166666666666702</v>
      </c>
      <c r="CF10" s="8">
        <v>0.33333333333333298</v>
      </c>
      <c r="CG10" s="8">
        <v>0.375</v>
      </c>
      <c r="CH10" s="8">
        <v>0.41666666666666702</v>
      </c>
      <c r="CI10" s="8">
        <v>0.45833333333333298</v>
      </c>
      <c r="CJ10" s="8">
        <v>0.5</v>
      </c>
      <c r="CK10" s="8">
        <v>0.54166666666666696</v>
      </c>
      <c r="CL10" s="8">
        <v>0.58333333333333304</v>
      </c>
      <c r="CM10" s="8">
        <v>0.625</v>
      </c>
      <c r="CN10" s="8">
        <v>0.66666666666666696</v>
      </c>
      <c r="CO10" s="8">
        <v>0.70833333333333304</v>
      </c>
      <c r="CP10" s="8">
        <v>0.75</v>
      </c>
      <c r="CQ10" s="8">
        <v>0.79166666666666696</v>
      </c>
      <c r="CR10" s="8">
        <v>0.83333333333333304</v>
      </c>
      <c r="CS10" s="8">
        <v>0.875</v>
      </c>
      <c r="CT10" s="8">
        <v>0.91666666666666696</v>
      </c>
      <c r="CU10" s="9">
        <v>0.95833333333333304</v>
      </c>
      <c r="CV10" s="7">
        <v>0</v>
      </c>
      <c r="CW10" s="8">
        <v>4.1666666666666699E-2</v>
      </c>
      <c r="CX10" s="8">
        <v>8.3333333333333301E-2</v>
      </c>
      <c r="CY10" s="8">
        <v>0.125</v>
      </c>
      <c r="CZ10" s="8">
        <v>0.16666666666666699</v>
      </c>
      <c r="DA10" s="8">
        <v>0.20833333333333301</v>
      </c>
      <c r="DB10" s="8">
        <v>0.25</v>
      </c>
      <c r="DC10" s="8">
        <v>0.29166666666666702</v>
      </c>
      <c r="DD10" s="8">
        <v>0.33333333333333298</v>
      </c>
      <c r="DE10" s="8">
        <v>0.375</v>
      </c>
      <c r="DF10" s="8">
        <v>0.41666666666666702</v>
      </c>
      <c r="DG10" s="8">
        <v>0.45833333333333298</v>
      </c>
      <c r="DH10" s="8">
        <v>0.5</v>
      </c>
      <c r="DI10" s="8">
        <v>0.54166666666666696</v>
      </c>
      <c r="DJ10" s="8">
        <v>0.58333333333333304</v>
      </c>
      <c r="DK10" s="8">
        <v>0.625</v>
      </c>
      <c r="DL10" s="8">
        <v>0.66666666666666696</v>
      </c>
      <c r="DM10" s="8">
        <v>0.70833333333333304</v>
      </c>
      <c r="DN10" s="8">
        <v>0.75</v>
      </c>
      <c r="DO10" s="8">
        <v>0.79166666666666696</v>
      </c>
      <c r="DP10" s="8">
        <v>0.83333333333333304</v>
      </c>
      <c r="DQ10" s="8">
        <v>0.875</v>
      </c>
      <c r="DR10" s="8">
        <v>0.91666666666666696</v>
      </c>
      <c r="DS10" s="9">
        <v>0.95833333333333304</v>
      </c>
      <c r="DT10" s="7">
        <v>0</v>
      </c>
      <c r="DU10" s="8">
        <v>4.1666666666666699E-2</v>
      </c>
      <c r="DV10" s="8">
        <v>8.3333333333333301E-2</v>
      </c>
      <c r="DW10" s="8">
        <v>0.125</v>
      </c>
      <c r="DX10" s="8">
        <v>0.16666666666666699</v>
      </c>
      <c r="DY10" s="8">
        <v>0.20833333333333301</v>
      </c>
      <c r="DZ10" s="8">
        <v>0.25</v>
      </c>
      <c r="EA10" s="8">
        <v>0.29166666666666702</v>
      </c>
      <c r="EB10" s="8">
        <v>0.33333333333333298</v>
      </c>
      <c r="EC10" s="8">
        <v>0.375</v>
      </c>
      <c r="ED10" s="8">
        <v>0.41666666666666702</v>
      </c>
      <c r="EE10" s="8">
        <v>0.45833333333333298</v>
      </c>
      <c r="EF10" s="8">
        <v>0.5</v>
      </c>
      <c r="EG10" s="8">
        <v>0.54166666666666696</v>
      </c>
      <c r="EH10" s="8">
        <v>0.58333333333333304</v>
      </c>
      <c r="EI10" s="8">
        <v>0.625</v>
      </c>
      <c r="EJ10" s="8">
        <v>0.66666666666666696</v>
      </c>
      <c r="EK10" s="8">
        <v>0.70833333333333304</v>
      </c>
      <c r="EL10" s="8">
        <v>0.75</v>
      </c>
      <c r="EM10" s="8">
        <v>0.79166666666666696</v>
      </c>
      <c r="EN10" s="8">
        <v>0.83333333333333304</v>
      </c>
      <c r="EO10" s="8">
        <v>0.875</v>
      </c>
      <c r="EP10" s="8">
        <v>0.91666666666666696</v>
      </c>
      <c r="EQ10" s="9">
        <v>0.95833333333333304</v>
      </c>
      <c r="ER10" s="7">
        <v>0</v>
      </c>
      <c r="ES10" s="8">
        <v>4.1666666666666699E-2</v>
      </c>
      <c r="ET10" s="8">
        <v>8.3333333333333301E-2</v>
      </c>
      <c r="EU10" s="8">
        <v>0.125</v>
      </c>
      <c r="EV10" s="8">
        <v>0.16666666666666699</v>
      </c>
      <c r="EW10" s="8">
        <v>0.20833333333333301</v>
      </c>
      <c r="EX10" s="8">
        <v>0.25</v>
      </c>
      <c r="EY10" s="8">
        <v>0.29166666666666702</v>
      </c>
      <c r="EZ10" s="8">
        <v>0.33333333333333298</v>
      </c>
      <c r="FA10" s="8">
        <v>0.375</v>
      </c>
      <c r="FB10" s="8">
        <v>0.41666666666666702</v>
      </c>
      <c r="FC10" s="8">
        <v>0.45833333333333298</v>
      </c>
      <c r="FD10" s="8">
        <v>0.5</v>
      </c>
      <c r="FE10" s="8">
        <v>0.54166666666666696</v>
      </c>
      <c r="FF10" s="8">
        <v>0.58333333333333304</v>
      </c>
      <c r="FG10" s="8">
        <v>0.625</v>
      </c>
      <c r="FH10" s="8">
        <v>0.66666666666666696</v>
      </c>
      <c r="FI10" s="8">
        <v>0.70833333333333304</v>
      </c>
      <c r="FJ10" s="8">
        <v>0.75</v>
      </c>
      <c r="FK10" s="8">
        <v>0.79166666666666696</v>
      </c>
      <c r="FL10" s="8">
        <v>0.83333333333333304</v>
      </c>
      <c r="FM10" s="8">
        <v>0.875</v>
      </c>
      <c r="FN10" s="8">
        <v>0.91666666666666696</v>
      </c>
      <c r="FO10" s="9">
        <v>0.95833333333333304</v>
      </c>
      <c r="FP10" s="77"/>
      <c r="FQ10" s="77"/>
      <c r="FR10" s="77"/>
      <c r="FS10" s="77"/>
      <c r="FT10" s="77"/>
    </row>
    <row r="11" spans="1:176" s="3" customFormat="1" ht="60" customHeight="1" x14ac:dyDescent="0.35">
      <c r="A11" s="43" t="s">
        <v>23</v>
      </c>
      <c r="B11" s="44"/>
      <c r="C11" s="44"/>
      <c r="D11" s="66" t="s">
        <v>24</v>
      </c>
      <c r="E11" s="44"/>
      <c r="F11" s="44"/>
      <c r="G11" s="44"/>
      <c r="H11" s="44"/>
      <c r="I11" s="44"/>
      <c r="J11" s="44"/>
      <c r="K11" s="44"/>
      <c r="L11" s="67" t="s">
        <v>24</v>
      </c>
      <c r="M11" s="44"/>
      <c r="N11" s="44"/>
      <c r="O11" s="44"/>
      <c r="P11" s="44"/>
      <c r="Q11" s="44"/>
      <c r="R11" s="44"/>
      <c r="S11" s="44"/>
      <c r="T11" s="67" t="s">
        <v>24</v>
      </c>
      <c r="U11" s="44"/>
      <c r="V11" s="44"/>
      <c r="W11" s="44"/>
      <c r="X11" s="44"/>
      <c r="Y11" s="44"/>
      <c r="Z11" s="44"/>
      <c r="AA11" s="45"/>
      <c r="AB11" s="66" t="s">
        <v>24</v>
      </c>
      <c r="AC11" s="44"/>
      <c r="AD11" s="44"/>
      <c r="AE11" s="44"/>
      <c r="AF11" s="44"/>
      <c r="AG11" s="44"/>
      <c r="AH11" s="44"/>
      <c r="AI11" s="44"/>
      <c r="AJ11" s="67" t="s">
        <v>24</v>
      </c>
      <c r="AK11" s="44"/>
      <c r="AL11" s="44"/>
      <c r="AM11" s="44"/>
      <c r="AN11" s="44"/>
      <c r="AO11" s="44"/>
      <c r="AP11" s="44"/>
      <c r="AQ11" s="44"/>
      <c r="AR11" s="67" t="s">
        <v>24</v>
      </c>
      <c r="AS11" s="44"/>
      <c r="AT11" s="44"/>
      <c r="AU11" s="44"/>
      <c r="AV11" s="44"/>
      <c r="AW11" s="44"/>
      <c r="AX11" s="44"/>
      <c r="AY11" s="45"/>
      <c r="AZ11" s="66" t="s">
        <v>24</v>
      </c>
      <c r="BA11" s="44"/>
      <c r="BB11" s="44"/>
      <c r="BC11" s="44"/>
      <c r="BD11" s="44"/>
      <c r="BE11" s="44"/>
      <c r="BF11" s="44"/>
      <c r="BG11" s="44"/>
      <c r="BH11" s="67" t="s">
        <v>24</v>
      </c>
      <c r="BI11" s="44"/>
      <c r="BJ11" s="44"/>
      <c r="BK11" s="44"/>
      <c r="BL11" s="44"/>
      <c r="BM11" s="44"/>
      <c r="BN11" s="44"/>
      <c r="BO11" s="44"/>
      <c r="BP11" s="67" t="s">
        <v>24</v>
      </c>
      <c r="BQ11" s="44"/>
      <c r="BR11" s="44"/>
      <c r="BS11" s="44"/>
      <c r="BT11" s="44"/>
      <c r="BU11" s="44"/>
      <c r="BV11" s="44"/>
      <c r="BW11" s="45"/>
      <c r="BX11" s="66" t="s">
        <v>24</v>
      </c>
      <c r="BY11" s="44"/>
      <c r="BZ11" s="44"/>
      <c r="CA11" s="44"/>
      <c r="CB11" s="44"/>
      <c r="CC11" s="44"/>
      <c r="CD11" s="44"/>
      <c r="CE11" s="44"/>
      <c r="CF11" s="44" t="s">
        <v>31</v>
      </c>
      <c r="CG11" s="44"/>
      <c r="CH11" s="44"/>
      <c r="CI11" s="44"/>
      <c r="CJ11" s="44"/>
      <c r="CK11" s="44"/>
      <c r="CL11" s="44"/>
      <c r="CM11" s="44"/>
      <c r="CN11" s="44" t="s">
        <v>31</v>
      </c>
      <c r="CO11" s="44"/>
      <c r="CP11" s="44"/>
      <c r="CQ11" s="44"/>
      <c r="CR11" s="67" t="s">
        <v>24</v>
      </c>
      <c r="CS11" s="44"/>
      <c r="CT11" s="44"/>
      <c r="CU11" s="45"/>
      <c r="CV11" s="66" t="s">
        <v>24</v>
      </c>
      <c r="CW11" s="44"/>
      <c r="CX11" s="44"/>
      <c r="CY11" s="44"/>
      <c r="CZ11" s="44"/>
      <c r="DA11" s="44"/>
      <c r="DB11" s="44"/>
      <c r="DC11" s="44"/>
      <c r="DD11" s="67" t="s">
        <v>24</v>
      </c>
      <c r="DE11" s="44"/>
      <c r="DF11" s="44"/>
      <c r="DG11" s="44"/>
      <c r="DH11" s="44"/>
      <c r="DI11" s="44"/>
      <c r="DJ11" s="44"/>
      <c r="DK11" s="44"/>
      <c r="DL11" s="67" t="s">
        <v>24</v>
      </c>
      <c r="DM11" s="44"/>
      <c r="DN11" s="44"/>
      <c r="DO11" s="44"/>
      <c r="DP11" s="44"/>
      <c r="DQ11" s="44"/>
      <c r="DR11" s="44"/>
      <c r="DS11" s="45"/>
      <c r="DT11" s="66" t="s">
        <v>24</v>
      </c>
      <c r="DU11" s="44"/>
      <c r="DV11" s="44"/>
      <c r="DW11" s="44"/>
      <c r="DX11" s="44"/>
      <c r="DY11" s="44"/>
      <c r="DZ11" s="44"/>
      <c r="EA11" s="44"/>
      <c r="EB11" s="67" t="s">
        <v>24</v>
      </c>
      <c r="EC11" s="44"/>
      <c r="ED11" s="44"/>
      <c r="EE11" s="44"/>
      <c r="EF11" s="44"/>
      <c r="EG11" s="44"/>
      <c r="EH11" s="44"/>
      <c r="EI11" s="44"/>
      <c r="EJ11" s="67" t="s">
        <v>24</v>
      </c>
      <c r="EK11" s="44"/>
      <c r="EL11" s="44"/>
      <c r="EM11" s="44"/>
      <c r="EN11" s="44"/>
      <c r="EO11" s="44"/>
      <c r="EP11" s="44"/>
      <c r="EQ11" s="45"/>
      <c r="ER11" s="66" t="s">
        <v>24</v>
      </c>
      <c r="ES11" s="44"/>
      <c r="ET11" s="44"/>
      <c r="EU11" s="44"/>
      <c r="EV11" s="44"/>
      <c r="EW11" s="44"/>
      <c r="EX11" s="44"/>
      <c r="EY11" s="44"/>
      <c r="EZ11" s="67" t="s">
        <v>24</v>
      </c>
      <c r="FA11" s="44"/>
      <c r="FB11" s="44"/>
      <c r="FC11" s="44"/>
      <c r="FD11" s="44"/>
      <c r="FE11" s="44"/>
      <c r="FF11" s="44"/>
      <c r="FG11" s="44"/>
      <c r="FH11" s="67" t="s">
        <v>24</v>
      </c>
      <c r="FI11" s="44"/>
      <c r="FJ11" s="44"/>
      <c r="FK11" s="44"/>
      <c r="FL11" s="44"/>
      <c r="FM11" s="44"/>
      <c r="FN11" s="44"/>
      <c r="FO11" s="45"/>
      <c r="FP11" s="36">
        <v>12613</v>
      </c>
      <c r="FQ11" s="37"/>
      <c r="FR11" s="37"/>
      <c r="FS11" s="37"/>
      <c r="FT11" s="37"/>
    </row>
    <row r="12" spans="1:176" s="3" customFormat="1" ht="109.95" customHeight="1" x14ac:dyDescent="0.35">
      <c r="A12" s="43" t="s">
        <v>25</v>
      </c>
      <c r="B12" s="44"/>
      <c r="C12" s="44"/>
      <c r="D12" s="43" t="s">
        <v>26</v>
      </c>
      <c r="E12" s="44"/>
      <c r="F12" s="44"/>
      <c r="G12" s="44"/>
      <c r="H12" s="44"/>
      <c r="I12" s="44"/>
      <c r="J12" s="44"/>
      <c r="K12" s="44"/>
      <c r="L12" s="44" t="s">
        <v>26</v>
      </c>
      <c r="M12" s="44"/>
      <c r="N12" s="44"/>
      <c r="O12" s="44"/>
      <c r="P12" s="44"/>
      <c r="Q12" s="44"/>
      <c r="R12" s="44"/>
      <c r="S12" s="44"/>
      <c r="T12" s="44" t="s">
        <v>26</v>
      </c>
      <c r="U12" s="44"/>
      <c r="V12" s="44"/>
      <c r="W12" s="44"/>
      <c r="X12" s="44"/>
      <c r="Y12" s="44"/>
      <c r="Z12" s="44"/>
      <c r="AA12" s="45"/>
      <c r="AB12" s="43" t="s">
        <v>26</v>
      </c>
      <c r="AC12" s="44"/>
      <c r="AD12" s="44"/>
      <c r="AE12" s="44"/>
      <c r="AF12" s="44"/>
      <c r="AG12" s="44"/>
      <c r="AH12" s="44"/>
      <c r="AI12" s="44"/>
      <c r="AJ12" s="44" t="s">
        <v>26</v>
      </c>
      <c r="AK12" s="44"/>
      <c r="AL12" s="44"/>
      <c r="AM12" s="44"/>
      <c r="AN12" s="44"/>
      <c r="AO12" s="44"/>
      <c r="AP12" s="44"/>
      <c r="AQ12" s="44"/>
      <c r="AR12" s="44" t="s">
        <v>26</v>
      </c>
      <c r="AS12" s="44"/>
      <c r="AT12" s="44"/>
      <c r="AU12" s="44"/>
      <c r="AV12" s="44"/>
      <c r="AW12" s="44"/>
      <c r="AX12" s="44"/>
      <c r="AY12" s="45"/>
      <c r="AZ12" s="43" t="s">
        <v>26</v>
      </c>
      <c r="BA12" s="44"/>
      <c r="BB12" s="44"/>
      <c r="BC12" s="44"/>
      <c r="BD12" s="44"/>
      <c r="BE12" s="44"/>
      <c r="BF12" s="44"/>
      <c r="BG12" s="44"/>
      <c r="BH12" s="44" t="s">
        <v>26</v>
      </c>
      <c r="BI12" s="44"/>
      <c r="BJ12" s="44"/>
      <c r="BK12" s="44"/>
      <c r="BL12" s="44"/>
      <c r="BM12" s="44"/>
      <c r="BN12" s="44"/>
      <c r="BO12" s="44"/>
      <c r="BP12" s="44" t="s">
        <v>26</v>
      </c>
      <c r="BQ12" s="44"/>
      <c r="BR12" s="44"/>
      <c r="BS12" s="44"/>
      <c r="BT12" s="44"/>
      <c r="BU12" s="44"/>
      <c r="BV12" s="44"/>
      <c r="BW12" s="45"/>
      <c r="BX12" s="43" t="s">
        <v>26</v>
      </c>
      <c r="BY12" s="44"/>
      <c r="BZ12" s="44"/>
      <c r="CA12" s="44"/>
      <c r="CB12" s="44"/>
      <c r="CC12" s="44"/>
      <c r="CD12" s="44"/>
      <c r="CE12" s="44"/>
      <c r="CF12" s="56" t="s">
        <v>40</v>
      </c>
      <c r="CG12" s="44"/>
      <c r="CH12" s="44"/>
      <c r="CI12" s="44"/>
      <c r="CJ12" s="44"/>
      <c r="CK12" s="44"/>
      <c r="CL12" s="44"/>
      <c r="CM12" s="44"/>
      <c r="CN12" s="56" t="s">
        <v>40</v>
      </c>
      <c r="CO12" s="44"/>
      <c r="CP12" s="44"/>
      <c r="CQ12" s="44"/>
      <c r="CR12" s="48" t="s">
        <v>26</v>
      </c>
      <c r="CS12" s="44"/>
      <c r="CT12" s="44"/>
      <c r="CU12" s="45"/>
      <c r="CV12" s="43" t="s">
        <v>26</v>
      </c>
      <c r="CW12" s="44"/>
      <c r="CX12" s="44"/>
      <c r="CY12" s="44"/>
      <c r="CZ12" s="44"/>
      <c r="DA12" s="44"/>
      <c r="DB12" s="44"/>
      <c r="DC12" s="44"/>
      <c r="DD12" s="44" t="s">
        <v>26</v>
      </c>
      <c r="DE12" s="44"/>
      <c r="DF12" s="44"/>
      <c r="DG12" s="44"/>
      <c r="DH12" s="44"/>
      <c r="DI12" s="44"/>
      <c r="DJ12" s="44"/>
      <c r="DK12" s="44"/>
      <c r="DL12" s="44" t="s">
        <v>26</v>
      </c>
      <c r="DM12" s="44"/>
      <c r="DN12" s="44"/>
      <c r="DO12" s="44"/>
      <c r="DP12" s="44"/>
      <c r="DQ12" s="44"/>
      <c r="DR12" s="44"/>
      <c r="DS12" s="45"/>
      <c r="DT12" s="43" t="s">
        <v>26</v>
      </c>
      <c r="DU12" s="44"/>
      <c r="DV12" s="44"/>
      <c r="DW12" s="44"/>
      <c r="DX12" s="44"/>
      <c r="DY12" s="44"/>
      <c r="DZ12" s="44"/>
      <c r="EA12" s="44"/>
      <c r="EB12" s="44" t="s">
        <v>26</v>
      </c>
      <c r="EC12" s="44"/>
      <c r="ED12" s="44"/>
      <c r="EE12" s="44"/>
      <c r="EF12" s="44"/>
      <c r="EG12" s="44"/>
      <c r="EH12" s="44"/>
      <c r="EI12" s="44"/>
      <c r="EJ12" s="44" t="s">
        <v>26</v>
      </c>
      <c r="EK12" s="44"/>
      <c r="EL12" s="44"/>
      <c r="EM12" s="44"/>
      <c r="EN12" s="44"/>
      <c r="EO12" s="44"/>
      <c r="EP12" s="44"/>
      <c r="EQ12" s="45"/>
      <c r="ER12" s="43" t="s">
        <v>26</v>
      </c>
      <c r="ES12" s="44"/>
      <c r="ET12" s="44"/>
      <c r="EU12" s="44"/>
      <c r="EV12" s="44"/>
      <c r="EW12" s="44"/>
      <c r="EX12" s="44"/>
      <c r="EY12" s="44"/>
      <c r="EZ12" s="44" t="s">
        <v>26</v>
      </c>
      <c r="FA12" s="44"/>
      <c r="FB12" s="44"/>
      <c r="FC12" s="44"/>
      <c r="FD12" s="44"/>
      <c r="FE12" s="44"/>
      <c r="FF12" s="44"/>
      <c r="FG12" s="44"/>
      <c r="FH12" s="44" t="s">
        <v>26</v>
      </c>
      <c r="FI12" s="44"/>
      <c r="FJ12" s="44"/>
      <c r="FK12" s="44"/>
      <c r="FL12" s="44"/>
      <c r="FM12" s="44"/>
      <c r="FN12" s="44"/>
      <c r="FO12" s="45"/>
      <c r="FP12" s="37"/>
      <c r="FQ12" s="37"/>
      <c r="FR12" s="37"/>
      <c r="FS12" s="37"/>
      <c r="FT12" s="37"/>
    </row>
    <row r="13" spans="1:176" s="3" customFormat="1" ht="60" customHeight="1" x14ac:dyDescent="0.35">
      <c r="A13" s="43" t="s">
        <v>27</v>
      </c>
      <c r="B13" s="44"/>
      <c r="C13" s="44"/>
      <c r="D13" s="43">
        <v>647</v>
      </c>
      <c r="E13" s="44"/>
      <c r="F13" s="44"/>
      <c r="G13" s="44"/>
      <c r="H13" s="44"/>
      <c r="I13" s="44"/>
      <c r="J13" s="44"/>
      <c r="K13" s="44"/>
      <c r="L13" s="44">
        <v>647</v>
      </c>
      <c r="M13" s="44"/>
      <c r="N13" s="44"/>
      <c r="O13" s="44"/>
      <c r="P13" s="44"/>
      <c r="Q13" s="44"/>
      <c r="R13" s="44"/>
      <c r="S13" s="44"/>
      <c r="T13" s="44">
        <v>647</v>
      </c>
      <c r="U13" s="44"/>
      <c r="V13" s="44"/>
      <c r="W13" s="44"/>
      <c r="X13" s="44"/>
      <c r="Y13" s="44"/>
      <c r="Z13" s="44"/>
      <c r="AA13" s="45"/>
      <c r="AB13" s="43">
        <v>647</v>
      </c>
      <c r="AC13" s="44"/>
      <c r="AD13" s="44"/>
      <c r="AE13" s="44"/>
      <c r="AF13" s="44"/>
      <c r="AG13" s="44"/>
      <c r="AH13" s="44"/>
      <c r="AI13" s="44"/>
      <c r="AJ13" s="44">
        <v>647</v>
      </c>
      <c r="AK13" s="44"/>
      <c r="AL13" s="44"/>
      <c r="AM13" s="44"/>
      <c r="AN13" s="44"/>
      <c r="AO13" s="44"/>
      <c r="AP13" s="44"/>
      <c r="AQ13" s="44"/>
      <c r="AR13" s="44">
        <v>647</v>
      </c>
      <c r="AS13" s="44"/>
      <c r="AT13" s="44"/>
      <c r="AU13" s="44"/>
      <c r="AV13" s="44"/>
      <c r="AW13" s="44"/>
      <c r="AX13" s="44"/>
      <c r="AY13" s="45"/>
      <c r="AZ13" s="43">
        <v>647</v>
      </c>
      <c r="BA13" s="44"/>
      <c r="BB13" s="44"/>
      <c r="BC13" s="44"/>
      <c r="BD13" s="44"/>
      <c r="BE13" s="44"/>
      <c r="BF13" s="44"/>
      <c r="BG13" s="44"/>
      <c r="BH13" s="44">
        <v>647</v>
      </c>
      <c r="BI13" s="44"/>
      <c r="BJ13" s="44"/>
      <c r="BK13" s="44"/>
      <c r="BL13" s="44"/>
      <c r="BM13" s="44"/>
      <c r="BN13" s="44"/>
      <c r="BO13" s="44"/>
      <c r="BP13" s="44">
        <v>647</v>
      </c>
      <c r="BQ13" s="44"/>
      <c r="BR13" s="44"/>
      <c r="BS13" s="44"/>
      <c r="BT13" s="44"/>
      <c r="BU13" s="44"/>
      <c r="BV13" s="44"/>
      <c r="BW13" s="45"/>
      <c r="BX13" s="43">
        <v>645</v>
      </c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8">
        <v>323</v>
      </c>
      <c r="CS13" s="44"/>
      <c r="CT13" s="44"/>
      <c r="CU13" s="45"/>
      <c r="CV13" s="43">
        <v>647</v>
      </c>
      <c r="CW13" s="44"/>
      <c r="CX13" s="44"/>
      <c r="CY13" s="44"/>
      <c r="CZ13" s="44"/>
      <c r="DA13" s="44"/>
      <c r="DB13" s="44"/>
      <c r="DC13" s="44"/>
      <c r="DD13" s="44">
        <v>647</v>
      </c>
      <c r="DE13" s="44"/>
      <c r="DF13" s="44"/>
      <c r="DG13" s="44"/>
      <c r="DH13" s="44"/>
      <c r="DI13" s="44"/>
      <c r="DJ13" s="44"/>
      <c r="DK13" s="44"/>
      <c r="DL13" s="44">
        <v>647</v>
      </c>
      <c r="DM13" s="44"/>
      <c r="DN13" s="44"/>
      <c r="DO13" s="44"/>
      <c r="DP13" s="44"/>
      <c r="DQ13" s="44"/>
      <c r="DR13" s="44"/>
      <c r="DS13" s="45"/>
      <c r="DT13" s="43">
        <v>647</v>
      </c>
      <c r="DU13" s="44"/>
      <c r="DV13" s="44"/>
      <c r="DW13" s="44"/>
      <c r="DX13" s="44"/>
      <c r="DY13" s="44"/>
      <c r="DZ13" s="44"/>
      <c r="EA13" s="44"/>
      <c r="EB13" s="44">
        <v>647</v>
      </c>
      <c r="EC13" s="44"/>
      <c r="ED13" s="44"/>
      <c r="EE13" s="44"/>
      <c r="EF13" s="44"/>
      <c r="EG13" s="44"/>
      <c r="EH13" s="44"/>
      <c r="EI13" s="44"/>
      <c r="EJ13" s="44">
        <v>647</v>
      </c>
      <c r="EK13" s="44"/>
      <c r="EL13" s="44"/>
      <c r="EM13" s="44"/>
      <c r="EN13" s="44"/>
      <c r="EO13" s="44"/>
      <c r="EP13" s="44"/>
      <c r="EQ13" s="45"/>
      <c r="ER13" s="43">
        <v>647</v>
      </c>
      <c r="ES13" s="44"/>
      <c r="ET13" s="44"/>
      <c r="EU13" s="44"/>
      <c r="EV13" s="44"/>
      <c r="EW13" s="44"/>
      <c r="EX13" s="44"/>
      <c r="EY13" s="44"/>
      <c r="EZ13" s="44">
        <v>647</v>
      </c>
      <c r="FA13" s="44"/>
      <c r="FB13" s="44"/>
      <c r="FC13" s="44"/>
      <c r="FD13" s="44"/>
      <c r="FE13" s="44"/>
      <c r="FF13" s="44"/>
      <c r="FG13" s="44"/>
      <c r="FH13" s="44">
        <v>646</v>
      </c>
      <c r="FI13" s="44"/>
      <c r="FJ13" s="44"/>
      <c r="FK13" s="44"/>
      <c r="FL13" s="44"/>
      <c r="FM13" s="44"/>
      <c r="FN13" s="44"/>
      <c r="FO13" s="45"/>
      <c r="FP13" s="37"/>
      <c r="FQ13" s="37"/>
      <c r="FR13" s="37"/>
      <c r="FS13" s="37"/>
      <c r="FT13" s="37"/>
    </row>
    <row r="14" spans="1:176" s="3" customFormat="1" ht="60" customHeight="1" x14ac:dyDescent="0.35">
      <c r="A14" s="43" t="s">
        <v>28</v>
      </c>
      <c r="B14" s="44"/>
      <c r="C14" s="44"/>
      <c r="D14" s="33">
        <v>1941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5"/>
      <c r="AB14" s="33">
        <v>1941</v>
      </c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5"/>
      <c r="AZ14" s="33">
        <v>1941</v>
      </c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5"/>
      <c r="BX14" s="33">
        <v>968</v>
      </c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5"/>
      <c r="CV14" s="33">
        <v>1941</v>
      </c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5"/>
      <c r="DT14" s="33">
        <v>1941</v>
      </c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5"/>
      <c r="ER14" s="33">
        <v>1940</v>
      </c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5"/>
      <c r="FP14" s="37"/>
      <c r="FQ14" s="37"/>
      <c r="FR14" s="37"/>
      <c r="FS14" s="37"/>
      <c r="FT14" s="37"/>
    </row>
    <row r="15" spans="1:176" s="3" customFormat="1" ht="60" customHeight="1" x14ac:dyDescent="0.35">
      <c r="A15" s="43" t="s">
        <v>29</v>
      </c>
      <c r="B15" s="44"/>
      <c r="C15" s="44"/>
      <c r="D15" s="60" t="s">
        <v>38</v>
      </c>
      <c r="E15" s="44"/>
      <c r="F15" s="44"/>
      <c r="G15" s="44"/>
      <c r="H15" s="44"/>
      <c r="I15" s="44"/>
      <c r="J15" s="44"/>
      <c r="K15" s="44"/>
      <c r="L15" s="59" t="s">
        <v>38</v>
      </c>
      <c r="M15" s="44"/>
      <c r="N15" s="44"/>
      <c r="O15" s="44"/>
      <c r="P15" s="44"/>
      <c r="Q15" s="44"/>
      <c r="R15" s="44"/>
      <c r="S15" s="44"/>
      <c r="T15" s="59" t="s">
        <v>38</v>
      </c>
      <c r="U15" s="44"/>
      <c r="V15" s="44"/>
      <c r="W15" s="44"/>
      <c r="X15" s="44"/>
      <c r="Y15" s="44"/>
      <c r="Z15" s="44"/>
      <c r="AA15" s="45"/>
      <c r="AB15" s="60" t="s">
        <v>38</v>
      </c>
      <c r="AC15" s="44"/>
      <c r="AD15" s="44" t="s">
        <v>31</v>
      </c>
      <c r="AE15" s="58" t="s">
        <v>37</v>
      </c>
      <c r="AF15" s="44"/>
      <c r="AG15" s="44"/>
      <c r="AH15" s="44"/>
      <c r="AI15" s="44"/>
      <c r="AJ15" s="58" t="s">
        <v>37</v>
      </c>
      <c r="AK15" s="44"/>
      <c r="AL15" s="44"/>
      <c r="AM15" s="44"/>
      <c r="AN15" s="44"/>
      <c r="AO15" s="44"/>
      <c r="AP15" s="44"/>
      <c r="AQ15" s="44"/>
      <c r="AR15" s="58" t="s">
        <v>37</v>
      </c>
      <c r="AS15" s="44"/>
      <c r="AT15" s="44"/>
      <c r="AU15" s="44"/>
      <c r="AV15" s="44"/>
      <c r="AW15" s="44"/>
      <c r="AX15" s="44"/>
      <c r="AY15" s="45"/>
      <c r="AZ15" s="57" t="s">
        <v>37</v>
      </c>
      <c r="BA15" s="44"/>
      <c r="BB15" s="44"/>
      <c r="BC15" s="44"/>
      <c r="BD15" s="44"/>
      <c r="BE15" s="44"/>
      <c r="BF15" s="44"/>
      <c r="BG15" s="44"/>
      <c r="BH15" s="44" t="s">
        <v>31</v>
      </c>
      <c r="BI15" s="44"/>
      <c r="BJ15" s="44"/>
      <c r="BK15" s="44"/>
      <c r="BL15" s="44"/>
      <c r="BM15" s="44"/>
      <c r="BN15" s="44"/>
      <c r="BO15" s="44"/>
      <c r="BP15" s="64" t="s">
        <v>30</v>
      </c>
      <c r="BQ15" s="44"/>
      <c r="BR15" s="44"/>
      <c r="BS15" s="44"/>
      <c r="BT15" s="44"/>
      <c r="BU15" s="44"/>
      <c r="BV15" s="44"/>
      <c r="BW15" s="45"/>
      <c r="BX15" s="63" t="s">
        <v>30</v>
      </c>
      <c r="BY15" s="44"/>
      <c r="BZ15" s="44"/>
      <c r="CA15" s="44"/>
      <c r="CB15" s="44"/>
      <c r="CC15" s="44"/>
      <c r="CD15" s="44"/>
      <c r="CE15" s="44"/>
      <c r="CF15" s="64" t="s">
        <v>30</v>
      </c>
      <c r="CG15" s="44"/>
      <c r="CH15" s="44"/>
      <c r="CI15" s="44"/>
      <c r="CJ15" s="44"/>
      <c r="CK15" s="44"/>
      <c r="CL15" s="44"/>
      <c r="CM15" s="44"/>
      <c r="CN15" s="64" t="s">
        <v>30</v>
      </c>
      <c r="CO15" s="44"/>
      <c r="CP15" s="44"/>
      <c r="CQ15" s="44"/>
      <c r="CR15" s="44"/>
      <c r="CS15" s="44"/>
      <c r="CT15" s="44"/>
      <c r="CU15" s="45"/>
      <c r="CV15" s="63" t="s">
        <v>30</v>
      </c>
      <c r="CW15" s="44"/>
      <c r="CX15" s="44"/>
      <c r="CY15" s="44"/>
      <c r="CZ15" s="44"/>
      <c r="DA15" s="44"/>
      <c r="DB15" s="44"/>
      <c r="DC15" s="44"/>
      <c r="DD15" s="64" t="s">
        <v>30</v>
      </c>
      <c r="DE15" s="44"/>
      <c r="DF15" s="44"/>
      <c r="DG15" s="44"/>
      <c r="DH15" s="44"/>
      <c r="DI15" s="44"/>
      <c r="DJ15" s="44"/>
      <c r="DK15" s="44"/>
      <c r="DL15" s="64" t="s">
        <v>30</v>
      </c>
      <c r="DM15" s="44"/>
      <c r="DN15" s="44"/>
      <c r="DO15" s="44"/>
      <c r="DP15" s="44"/>
      <c r="DQ15" s="44"/>
      <c r="DR15" s="44"/>
      <c r="DS15" s="45"/>
      <c r="DT15" s="63" t="s">
        <v>30</v>
      </c>
      <c r="DU15" s="44"/>
      <c r="DV15" s="44" t="s">
        <v>31</v>
      </c>
      <c r="DW15" s="44"/>
      <c r="DX15" s="53" t="s">
        <v>32</v>
      </c>
      <c r="DY15" s="44"/>
      <c r="DZ15" s="44"/>
      <c r="EA15" s="44"/>
      <c r="EB15" s="53" t="s">
        <v>32</v>
      </c>
      <c r="EC15" s="44"/>
      <c r="ED15" s="44"/>
      <c r="EE15" s="44"/>
      <c r="EF15" s="44"/>
      <c r="EG15" s="44"/>
      <c r="EH15" s="44"/>
      <c r="EI15" s="44"/>
      <c r="EJ15" s="53" t="s">
        <v>32</v>
      </c>
      <c r="EK15" s="44"/>
      <c r="EL15" s="44"/>
      <c r="EM15" s="44"/>
      <c r="EN15" s="44"/>
      <c r="EO15" s="44"/>
      <c r="EP15" s="44"/>
      <c r="EQ15" s="45"/>
      <c r="ER15" s="65" t="s">
        <v>32</v>
      </c>
      <c r="ES15" s="44"/>
      <c r="ET15" s="44"/>
      <c r="EU15" s="44"/>
      <c r="EV15" s="44"/>
      <c r="EW15" s="44"/>
      <c r="EX15" s="44"/>
      <c r="EY15" s="44"/>
      <c r="EZ15" s="53" t="s">
        <v>32</v>
      </c>
      <c r="FA15" s="44"/>
      <c r="FB15" s="44"/>
      <c r="FC15" s="44"/>
      <c r="FD15" s="44"/>
      <c r="FE15" s="44"/>
      <c r="FF15" s="44"/>
      <c r="FG15" s="44"/>
      <c r="FH15" s="53" t="s">
        <v>32</v>
      </c>
      <c r="FI15" s="44"/>
      <c r="FJ15" s="44"/>
      <c r="FK15" s="44"/>
      <c r="FL15" s="44"/>
      <c r="FM15" s="44"/>
      <c r="FN15" s="44"/>
      <c r="FO15" s="45"/>
      <c r="FP15" s="36">
        <v>27430</v>
      </c>
      <c r="FQ15" s="37"/>
      <c r="FR15" s="37"/>
      <c r="FS15" s="37"/>
      <c r="FT15" s="37"/>
    </row>
    <row r="16" spans="1:176" s="3" customFormat="1" ht="109.95" customHeight="1" x14ac:dyDescent="0.35">
      <c r="A16" s="43" t="s">
        <v>25</v>
      </c>
      <c r="B16" s="44"/>
      <c r="C16" s="44"/>
      <c r="D16" s="43" t="s">
        <v>35</v>
      </c>
      <c r="E16" s="44"/>
      <c r="F16" s="44"/>
      <c r="G16" s="44"/>
      <c r="H16" s="44"/>
      <c r="I16" s="44"/>
      <c r="J16" s="44"/>
      <c r="K16" s="44"/>
      <c r="L16" s="44" t="s">
        <v>35</v>
      </c>
      <c r="M16" s="44"/>
      <c r="N16" s="44"/>
      <c r="O16" s="44"/>
      <c r="P16" s="44"/>
      <c r="Q16" s="44"/>
      <c r="R16" s="44"/>
      <c r="S16" s="44"/>
      <c r="T16" s="44" t="s">
        <v>35</v>
      </c>
      <c r="U16" s="44"/>
      <c r="V16" s="44"/>
      <c r="W16" s="44"/>
      <c r="X16" s="44"/>
      <c r="Y16" s="44"/>
      <c r="Z16" s="44"/>
      <c r="AA16" s="45"/>
      <c r="AB16" s="46" t="s">
        <v>35</v>
      </c>
      <c r="AC16" s="44"/>
      <c r="AD16" s="49" t="s">
        <v>34</v>
      </c>
      <c r="AE16" s="48" t="s">
        <v>35</v>
      </c>
      <c r="AF16" s="44"/>
      <c r="AG16" s="44"/>
      <c r="AH16" s="44"/>
      <c r="AI16" s="44"/>
      <c r="AJ16" s="44" t="s">
        <v>35</v>
      </c>
      <c r="AK16" s="44"/>
      <c r="AL16" s="44"/>
      <c r="AM16" s="44"/>
      <c r="AN16" s="44"/>
      <c r="AO16" s="44"/>
      <c r="AP16" s="44"/>
      <c r="AQ16" s="44"/>
      <c r="AR16" s="44" t="s">
        <v>35</v>
      </c>
      <c r="AS16" s="44"/>
      <c r="AT16" s="44"/>
      <c r="AU16" s="44"/>
      <c r="AV16" s="44"/>
      <c r="AW16" s="44"/>
      <c r="AX16" s="44"/>
      <c r="AY16" s="45"/>
      <c r="AZ16" s="43" t="s">
        <v>35</v>
      </c>
      <c r="BA16" s="44"/>
      <c r="BB16" s="44"/>
      <c r="BC16" s="44"/>
      <c r="BD16" s="44"/>
      <c r="BE16" s="44"/>
      <c r="BF16" s="44"/>
      <c r="BG16" s="44"/>
      <c r="BH16" s="56" t="s">
        <v>40</v>
      </c>
      <c r="BI16" s="44"/>
      <c r="BJ16" s="44"/>
      <c r="BK16" s="44"/>
      <c r="BL16" s="44"/>
      <c r="BM16" s="44"/>
      <c r="BN16" s="44"/>
      <c r="BO16" s="44"/>
      <c r="BP16" s="44" t="s">
        <v>33</v>
      </c>
      <c r="BQ16" s="44"/>
      <c r="BR16" s="44"/>
      <c r="BS16" s="44"/>
      <c r="BT16" s="44"/>
      <c r="BU16" s="44"/>
      <c r="BV16" s="44"/>
      <c r="BW16" s="45"/>
      <c r="BX16" s="43" t="s">
        <v>33</v>
      </c>
      <c r="BY16" s="44"/>
      <c r="BZ16" s="44"/>
      <c r="CA16" s="44"/>
      <c r="CB16" s="44"/>
      <c r="CC16" s="44"/>
      <c r="CD16" s="44"/>
      <c r="CE16" s="44"/>
      <c r="CF16" s="44" t="s">
        <v>33</v>
      </c>
      <c r="CG16" s="44"/>
      <c r="CH16" s="44"/>
      <c r="CI16" s="44"/>
      <c r="CJ16" s="44"/>
      <c r="CK16" s="44"/>
      <c r="CL16" s="44"/>
      <c r="CM16" s="44"/>
      <c r="CN16" s="44" t="s">
        <v>33</v>
      </c>
      <c r="CO16" s="44"/>
      <c r="CP16" s="44"/>
      <c r="CQ16" s="44"/>
      <c r="CR16" s="44"/>
      <c r="CS16" s="44"/>
      <c r="CT16" s="44"/>
      <c r="CU16" s="45"/>
      <c r="CV16" s="43" t="s">
        <v>33</v>
      </c>
      <c r="CW16" s="44"/>
      <c r="CX16" s="44"/>
      <c r="CY16" s="44"/>
      <c r="CZ16" s="44"/>
      <c r="DA16" s="44"/>
      <c r="DB16" s="44"/>
      <c r="DC16" s="44"/>
      <c r="DD16" s="44" t="s">
        <v>33</v>
      </c>
      <c r="DE16" s="44"/>
      <c r="DF16" s="44"/>
      <c r="DG16" s="44"/>
      <c r="DH16" s="44"/>
      <c r="DI16" s="44"/>
      <c r="DJ16" s="44"/>
      <c r="DK16" s="44"/>
      <c r="DL16" s="44" t="s">
        <v>33</v>
      </c>
      <c r="DM16" s="44"/>
      <c r="DN16" s="44"/>
      <c r="DO16" s="44"/>
      <c r="DP16" s="44"/>
      <c r="DQ16" s="44"/>
      <c r="DR16" s="44"/>
      <c r="DS16" s="45"/>
      <c r="DT16" s="46" t="s">
        <v>33</v>
      </c>
      <c r="DU16" s="44"/>
      <c r="DV16" s="49" t="s">
        <v>34</v>
      </c>
      <c r="DW16" s="44"/>
      <c r="DX16" s="48" t="s">
        <v>35</v>
      </c>
      <c r="DY16" s="44"/>
      <c r="DZ16" s="44"/>
      <c r="EA16" s="44"/>
      <c r="EB16" s="44" t="s">
        <v>35</v>
      </c>
      <c r="EC16" s="44"/>
      <c r="ED16" s="44"/>
      <c r="EE16" s="44"/>
      <c r="EF16" s="44"/>
      <c r="EG16" s="44"/>
      <c r="EH16" s="44"/>
      <c r="EI16" s="44"/>
      <c r="EJ16" s="44" t="s">
        <v>35</v>
      </c>
      <c r="EK16" s="44"/>
      <c r="EL16" s="44"/>
      <c r="EM16" s="44"/>
      <c r="EN16" s="44"/>
      <c r="EO16" s="44"/>
      <c r="EP16" s="44"/>
      <c r="EQ16" s="45"/>
      <c r="ER16" s="43" t="s">
        <v>35</v>
      </c>
      <c r="ES16" s="44"/>
      <c r="ET16" s="44"/>
      <c r="EU16" s="44"/>
      <c r="EV16" s="44"/>
      <c r="EW16" s="44"/>
      <c r="EX16" s="44"/>
      <c r="EY16" s="44"/>
      <c r="EZ16" s="44" t="s">
        <v>35</v>
      </c>
      <c r="FA16" s="44"/>
      <c r="FB16" s="44"/>
      <c r="FC16" s="44"/>
      <c r="FD16" s="44"/>
      <c r="FE16" s="44"/>
      <c r="FF16" s="44"/>
      <c r="FG16" s="44"/>
      <c r="FH16" s="44" t="s">
        <v>35</v>
      </c>
      <c r="FI16" s="44"/>
      <c r="FJ16" s="44"/>
      <c r="FK16" s="44"/>
      <c r="FL16" s="44"/>
      <c r="FM16" s="44"/>
      <c r="FN16" s="44"/>
      <c r="FO16" s="45"/>
      <c r="FP16" s="37"/>
      <c r="FQ16" s="37"/>
      <c r="FR16" s="37"/>
      <c r="FS16" s="37"/>
      <c r="FT16" s="37"/>
    </row>
    <row r="17" spans="1:176" s="3" customFormat="1" ht="60" customHeight="1" x14ac:dyDescent="0.35">
      <c r="A17" s="43" t="s">
        <v>27</v>
      </c>
      <c r="B17" s="44"/>
      <c r="C17" s="44"/>
      <c r="D17" s="43">
        <v>1407</v>
      </c>
      <c r="E17" s="44"/>
      <c r="F17" s="44"/>
      <c r="G17" s="44"/>
      <c r="H17" s="44"/>
      <c r="I17" s="44"/>
      <c r="J17" s="44"/>
      <c r="K17" s="44"/>
      <c r="L17" s="44">
        <v>1407</v>
      </c>
      <c r="M17" s="44"/>
      <c r="N17" s="44"/>
      <c r="O17" s="44"/>
      <c r="P17" s="44"/>
      <c r="Q17" s="44"/>
      <c r="R17" s="44"/>
      <c r="S17" s="44"/>
      <c r="T17" s="44">
        <v>1407</v>
      </c>
      <c r="U17" s="44"/>
      <c r="V17" s="44"/>
      <c r="W17" s="44"/>
      <c r="X17" s="44"/>
      <c r="Y17" s="44"/>
      <c r="Z17" s="44"/>
      <c r="AA17" s="45"/>
      <c r="AB17" s="46">
        <v>417</v>
      </c>
      <c r="AC17" s="44"/>
      <c r="AD17" s="48"/>
      <c r="AE17" s="48">
        <v>813</v>
      </c>
      <c r="AF17" s="44"/>
      <c r="AG17" s="44"/>
      <c r="AH17" s="44"/>
      <c r="AI17" s="44"/>
      <c r="AJ17" s="44">
        <v>1407</v>
      </c>
      <c r="AK17" s="44"/>
      <c r="AL17" s="44"/>
      <c r="AM17" s="44"/>
      <c r="AN17" s="44"/>
      <c r="AO17" s="44"/>
      <c r="AP17" s="44"/>
      <c r="AQ17" s="44"/>
      <c r="AR17" s="44">
        <v>1407</v>
      </c>
      <c r="AS17" s="44"/>
      <c r="AT17" s="44"/>
      <c r="AU17" s="44"/>
      <c r="AV17" s="44"/>
      <c r="AW17" s="44"/>
      <c r="AX17" s="44"/>
      <c r="AY17" s="45"/>
      <c r="AZ17" s="43">
        <v>1373</v>
      </c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>
        <v>1414</v>
      </c>
      <c r="BQ17" s="44"/>
      <c r="BR17" s="44"/>
      <c r="BS17" s="44"/>
      <c r="BT17" s="44"/>
      <c r="BU17" s="44"/>
      <c r="BV17" s="44"/>
      <c r="BW17" s="45"/>
      <c r="BX17" s="43">
        <v>1382</v>
      </c>
      <c r="BY17" s="44"/>
      <c r="BZ17" s="44"/>
      <c r="CA17" s="44"/>
      <c r="CB17" s="44"/>
      <c r="CC17" s="44"/>
      <c r="CD17" s="44"/>
      <c r="CE17" s="44"/>
      <c r="CF17" s="44">
        <v>1382</v>
      </c>
      <c r="CG17" s="44"/>
      <c r="CH17" s="44"/>
      <c r="CI17" s="44"/>
      <c r="CJ17" s="44"/>
      <c r="CK17" s="44"/>
      <c r="CL17" s="44"/>
      <c r="CM17" s="44"/>
      <c r="CN17" s="44">
        <v>1382</v>
      </c>
      <c r="CO17" s="44"/>
      <c r="CP17" s="44"/>
      <c r="CQ17" s="44"/>
      <c r="CR17" s="44"/>
      <c r="CS17" s="44"/>
      <c r="CT17" s="44"/>
      <c r="CU17" s="45"/>
      <c r="CV17" s="43">
        <v>1382</v>
      </c>
      <c r="CW17" s="44"/>
      <c r="CX17" s="44"/>
      <c r="CY17" s="44"/>
      <c r="CZ17" s="44"/>
      <c r="DA17" s="44"/>
      <c r="DB17" s="44"/>
      <c r="DC17" s="44"/>
      <c r="DD17" s="44">
        <v>1382</v>
      </c>
      <c r="DE17" s="44"/>
      <c r="DF17" s="44"/>
      <c r="DG17" s="44"/>
      <c r="DH17" s="44"/>
      <c r="DI17" s="44"/>
      <c r="DJ17" s="44"/>
      <c r="DK17" s="44"/>
      <c r="DL17" s="44">
        <v>1382</v>
      </c>
      <c r="DM17" s="44"/>
      <c r="DN17" s="44"/>
      <c r="DO17" s="44"/>
      <c r="DP17" s="44"/>
      <c r="DQ17" s="44"/>
      <c r="DR17" s="44"/>
      <c r="DS17" s="45"/>
      <c r="DT17" s="46">
        <v>294</v>
      </c>
      <c r="DU17" s="44"/>
      <c r="DV17" s="48"/>
      <c r="DW17" s="44"/>
      <c r="DX17" s="48">
        <v>759</v>
      </c>
      <c r="DY17" s="44"/>
      <c r="DZ17" s="44"/>
      <c r="EA17" s="44"/>
      <c r="EB17" s="44">
        <v>1407</v>
      </c>
      <c r="EC17" s="44"/>
      <c r="ED17" s="44"/>
      <c r="EE17" s="44"/>
      <c r="EF17" s="44"/>
      <c r="EG17" s="44"/>
      <c r="EH17" s="44"/>
      <c r="EI17" s="44"/>
      <c r="EJ17" s="44">
        <v>1407</v>
      </c>
      <c r="EK17" s="44"/>
      <c r="EL17" s="44"/>
      <c r="EM17" s="44"/>
      <c r="EN17" s="44"/>
      <c r="EO17" s="44"/>
      <c r="EP17" s="44"/>
      <c r="EQ17" s="45"/>
      <c r="ER17" s="43">
        <v>1407</v>
      </c>
      <c r="ES17" s="44"/>
      <c r="ET17" s="44"/>
      <c r="EU17" s="44"/>
      <c r="EV17" s="44"/>
      <c r="EW17" s="44"/>
      <c r="EX17" s="44"/>
      <c r="EY17" s="44"/>
      <c r="EZ17" s="44">
        <v>1407</v>
      </c>
      <c r="FA17" s="44"/>
      <c r="FB17" s="44"/>
      <c r="FC17" s="44"/>
      <c r="FD17" s="44"/>
      <c r="FE17" s="44"/>
      <c r="FF17" s="44"/>
      <c r="FG17" s="44"/>
      <c r="FH17" s="44">
        <v>1405</v>
      </c>
      <c r="FI17" s="44"/>
      <c r="FJ17" s="44"/>
      <c r="FK17" s="44"/>
      <c r="FL17" s="44"/>
      <c r="FM17" s="44"/>
      <c r="FN17" s="44"/>
      <c r="FO17" s="45"/>
      <c r="FP17" s="37"/>
      <c r="FQ17" s="37"/>
      <c r="FR17" s="37"/>
      <c r="FS17" s="37"/>
      <c r="FT17" s="37"/>
    </row>
    <row r="18" spans="1:176" s="3" customFormat="1" ht="60" customHeight="1" x14ac:dyDescent="0.35">
      <c r="A18" s="43" t="s">
        <v>28</v>
      </c>
      <c r="B18" s="44"/>
      <c r="C18" s="44"/>
      <c r="D18" s="33">
        <v>4221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5"/>
      <c r="AB18" s="33">
        <v>4044</v>
      </c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5"/>
      <c r="AZ18" s="33">
        <v>2787</v>
      </c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5"/>
      <c r="BX18" s="33">
        <v>4146</v>
      </c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5"/>
      <c r="CV18" s="33">
        <v>4146</v>
      </c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5"/>
      <c r="DT18" s="33">
        <v>3867</v>
      </c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5"/>
      <c r="ER18" s="33">
        <v>4219</v>
      </c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5"/>
      <c r="FP18" s="37"/>
      <c r="FQ18" s="37"/>
      <c r="FR18" s="37"/>
      <c r="FS18" s="37"/>
      <c r="FT18" s="37"/>
    </row>
    <row r="19" spans="1:176" s="3" customFormat="1" ht="60" customHeight="1" x14ac:dyDescent="0.35">
      <c r="A19" s="43" t="s">
        <v>36</v>
      </c>
      <c r="B19" s="44"/>
      <c r="C19" s="44"/>
      <c r="D19" s="92" t="s">
        <v>103</v>
      </c>
      <c r="E19" s="44"/>
      <c r="F19" s="44"/>
      <c r="G19" s="44"/>
      <c r="H19" s="44" t="s">
        <v>31</v>
      </c>
      <c r="I19" s="44"/>
      <c r="J19" s="58" t="s">
        <v>105</v>
      </c>
      <c r="K19" s="44"/>
      <c r="L19" s="58" t="s">
        <v>105</v>
      </c>
      <c r="M19" s="44"/>
      <c r="N19" s="44"/>
      <c r="O19" s="44"/>
      <c r="P19" s="44"/>
      <c r="Q19" s="44"/>
      <c r="R19" s="44"/>
      <c r="S19" s="44"/>
      <c r="T19" s="58" t="s">
        <v>105</v>
      </c>
      <c r="U19" s="44"/>
      <c r="V19" s="44"/>
      <c r="W19" s="44"/>
      <c r="X19" s="44"/>
      <c r="Y19" s="44"/>
      <c r="Z19" s="44"/>
      <c r="AA19" s="45"/>
      <c r="AB19" s="57" t="s">
        <v>105</v>
      </c>
      <c r="AC19" s="44"/>
      <c r="AD19" s="44"/>
      <c r="AE19" s="44"/>
      <c r="AF19" s="44"/>
      <c r="AG19" s="44"/>
      <c r="AH19" s="44"/>
      <c r="AI19" s="44"/>
      <c r="AJ19" s="58" t="s">
        <v>105</v>
      </c>
      <c r="AK19" s="44"/>
      <c r="AL19" s="44"/>
      <c r="AM19" s="44"/>
      <c r="AN19" s="44"/>
      <c r="AO19" s="44"/>
      <c r="AP19" s="44"/>
      <c r="AQ19" s="44"/>
      <c r="AR19" s="58" t="s">
        <v>105</v>
      </c>
      <c r="AS19" s="44"/>
      <c r="AT19" s="44"/>
      <c r="AU19" s="44"/>
      <c r="AV19" s="44"/>
      <c r="AW19" s="44"/>
      <c r="AX19" s="44"/>
      <c r="AY19" s="45"/>
      <c r="AZ19" s="57" t="s">
        <v>105</v>
      </c>
      <c r="BA19" s="44"/>
      <c r="BB19" s="44"/>
      <c r="BC19" s="44"/>
      <c r="BD19" s="44"/>
      <c r="BE19" s="44"/>
      <c r="BF19" s="44"/>
      <c r="BG19" s="44" t="s">
        <v>31</v>
      </c>
      <c r="BH19" s="44" t="s">
        <v>31</v>
      </c>
      <c r="BI19" s="44"/>
      <c r="BJ19" s="44"/>
      <c r="BK19" s="44"/>
      <c r="BL19" s="44"/>
      <c r="BM19" s="44"/>
      <c r="BN19" s="44"/>
      <c r="BO19" s="44"/>
      <c r="BP19" s="44" t="s">
        <v>31</v>
      </c>
      <c r="BQ19" s="44"/>
      <c r="BR19" s="44"/>
      <c r="BS19" s="44" t="s">
        <v>31</v>
      </c>
      <c r="BT19" s="44"/>
      <c r="BU19" s="44"/>
      <c r="BV19" s="44"/>
      <c r="BW19" s="99" t="s">
        <v>38</v>
      </c>
      <c r="BX19" s="60" t="s">
        <v>38</v>
      </c>
      <c r="BY19" s="44"/>
      <c r="BZ19" s="44"/>
      <c r="CA19" s="44"/>
      <c r="CB19" s="44"/>
      <c r="CC19" s="44"/>
      <c r="CD19" s="44"/>
      <c r="CE19" s="44"/>
      <c r="CF19" s="59" t="s">
        <v>38</v>
      </c>
      <c r="CG19" s="44"/>
      <c r="CH19" s="44"/>
      <c r="CI19" s="44"/>
      <c r="CJ19" s="44"/>
      <c r="CK19" s="44"/>
      <c r="CL19" s="44"/>
      <c r="CM19" s="44"/>
      <c r="CN19" s="59" t="s">
        <v>38</v>
      </c>
      <c r="CO19" s="44"/>
      <c r="CP19" s="44"/>
      <c r="CQ19" s="44"/>
      <c r="CR19" s="44"/>
      <c r="CS19" s="44"/>
      <c r="CT19" s="44"/>
      <c r="CU19" s="45"/>
      <c r="CV19" s="60" t="s">
        <v>38</v>
      </c>
      <c r="CW19" s="44"/>
      <c r="CX19" s="44"/>
      <c r="CY19" s="44"/>
      <c r="CZ19" s="44"/>
      <c r="DA19" s="44"/>
      <c r="DB19" s="44"/>
      <c r="DC19" s="44"/>
      <c r="DD19" s="59" t="s">
        <v>38</v>
      </c>
      <c r="DE19" s="44"/>
      <c r="DF19" s="44"/>
      <c r="DG19" s="44"/>
      <c r="DH19" s="44"/>
      <c r="DI19" s="44"/>
      <c r="DJ19" s="44"/>
      <c r="DK19" s="44"/>
      <c r="DL19" s="59" t="s">
        <v>38</v>
      </c>
      <c r="DM19" s="44"/>
      <c r="DN19" s="44"/>
      <c r="DO19" s="44"/>
      <c r="DP19" s="44"/>
      <c r="DQ19" s="44"/>
      <c r="DR19" s="44"/>
      <c r="DS19" s="45"/>
      <c r="DT19" s="60" t="s">
        <v>38</v>
      </c>
      <c r="DU19" s="44"/>
      <c r="DV19" s="44"/>
      <c r="DW19" s="44"/>
      <c r="DX19" s="44"/>
      <c r="DY19" s="44"/>
      <c r="DZ19" s="44"/>
      <c r="EA19" s="44"/>
      <c r="EB19" s="59" t="s">
        <v>38</v>
      </c>
      <c r="EC19" s="44"/>
      <c r="ED19" s="44"/>
      <c r="EE19" s="44"/>
      <c r="EF19" s="44"/>
      <c r="EG19" s="44"/>
      <c r="EH19" s="44"/>
      <c r="EI19" s="44"/>
      <c r="EJ19" s="59" t="s">
        <v>38</v>
      </c>
      <c r="EK19" s="44"/>
      <c r="EL19" s="44"/>
      <c r="EM19" s="44"/>
      <c r="EN19" s="44"/>
      <c r="EO19" s="44"/>
      <c r="EP19" s="44"/>
      <c r="EQ19" s="45"/>
      <c r="ER19" s="60" t="s">
        <v>38</v>
      </c>
      <c r="ES19" s="44" t="s">
        <v>31</v>
      </c>
      <c r="ET19" s="44"/>
      <c r="EU19" s="44"/>
      <c r="EV19" s="61" t="s">
        <v>39</v>
      </c>
      <c r="EW19" s="44"/>
      <c r="EX19" s="44"/>
      <c r="EY19" s="44"/>
      <c r="EZ19" s="61" t="s">
        <v>39</v>
      </c>
      <c r="FA19" s="44"/>
      <c r="FB19" s="44"/>
      <c r="FC19" s="44"/>
      <c r="FD19" s="44"/>
      <c r="FE19" s="44"/>
      <c r="FF19" s="44"/>
      <c r="FG19" s="44"/>
      <c r="FH19" s="61" t="s">
        <v>39</v>
      </c>
      <c r="FI19" s="44"/>
      <c r="FJ19" s="44"/>
      <c r="FK19" s="44"/>
      <c r="FL19" s="44"/>
      <c r="FM19" s="44"/>
      <c r="FN19" s="44"/>
      <c r="FO19" s="45"/>
      <c r="FP19" s="36">
        <v>22590</v>
      </c>
      <c r="FQ19" s="37"/>
      <c r="FR19" s="37"/>
      <c r="FS19" s="37"/>
      <c r="FT19" s="37"/>
    </row>
    <row r="20" spans="1:176" s="3" customFormat="1" ht="109.95" customHeight="1" x14ac:dyDescent="0.35">
      <c r="A20" s="43" t="s">
        <v>25</v>
      </c>
      <c r="B20" s="44"/>
      <c r="C20" s="44"/>
      <c r="D20" s="46" t="s">
        <v>106</v>
      </c>
      <c r="E20" s="44"/>
      <c r="F20" s="44"/>
      <c r="G20" s="44"/>
      <c r="H20" s="49" t="s">
        <v>34</v>
      </c>
      <c r="I20" s="44"/>
      <c r="J20" s="48" t="s">
        <v>106</v>
      </c>
      <c r="K20" s="44"/>
      <c r="L20" s="44" t="s">
        <v>106</v>
      </c>
      <c r="M20" s="44"/>
      <c r="N20" s="44"/>
      <c r="O20" s="44"/>
      <c r="P20" s="44"/>
      <c r="Q20" s="44"/>
      <c r="R20" s="44"/>
      <c r="S20" s="44"/>
      <c r="T20" s="44" t="s">
        <v>106</v>
      </c>
      <c r="U20" s="44"/>
      <c r="V20" s="44"/>
      <c r="W20" s="44"/>
      <c r="X20" s="44"/>
      <c r="Y20" s="44"/>
      <c r="Z20" s="44"/>
      <c r="AA20" s="45"/>
      <c r="AB20" s="43" t="s">
        <v>106</v>
      </c>
      <c r="AC20" s="44"/>
      <c r="AD20" s="44"/>
      <c r="AE20" s="44"/>
      <c r="AF20" s="44"/>
      <c r="AG20" s="44"/>
      <c r="AH20" s="44"/>
      <c r="AI20" s="44"/>
      <c r="AJ20" s="44" t="s">
        <v>106</v>
      </c>
      <c r="AK20" s="44"/>
      <c r="AL20" s="44"/>
      <c r="AM20" s="44"/>
      <c r="AN20" s="44"/>
      <c r="AO20" s="44"/>
      <c r="AP20" s="44"/>
      <c r="AQ20" s="44"/>
      <c r="AR20" s="44" t="s">
        <v>106</v>
      </c>
      <c r="AS20" s="44"/>
      <c r="AT20" s="44"/>
      <c r="AU20" s="44"/>
      <c r="AV20" s="44"/>
      <c r="AW20" s="44"/>
      <c r="AX20" s="44"/>
      <c r="AY20" s="45"/>
      <c r="AZ20" s="43" t="s">
        <v>106</v>
      </c>
      <c r="BA20" s="44"/>
      <c r="BB20" s="44"/>
      <c r="BC20" s="44"/>
      <c r="BD20" s="44"/>
      <c r="BE20" s="44"/>
      <c r="BF20" s="44"/>
      <c r="BG20" s="56" t="s">
        <v>40</v>
      </c>
      <c r="BH20" s="56" t="s">
        <v>40</v>
      </c>
      <c r="BI20" s="44"/>
      <c r="BJ20" s="44"/>
      <c r="BK20" s="44"/>
      <c r="BL20" s="44"/>
      <c r="BM20" s="44"/>
      <c r="BN20" s="44"/>
      <c r="BO20" s="44"/>
      <c r="BP20" s="56" t="s">
        <v>40</v>
      </c>
      <c r="BQ20" s="44"/>
      <c r="BR20" s="44"/>
      <c r="BS20" s="49" t="s">
        <v>48</v>
      </c>
      <c r="BT20" s="44"/>
      <c r="BU20" s="44"/>
      <c r="BV20" s="44"/>
      <c r="BW20" s="86" t="s">
        <v>35</v>
      </c>
      <c r="BX20" s="43" t="s">
        <v>35</v>
      </c>
      <c r="BY20" s="44"/>
      <c r="BZ20" s="44"/>
      <c r="CA20" s="44"/>
      <c r="CB20" s="44"/>
      <c r="CC20" s="44"/>
      <c r="CD20" s="44"/>
      <c r="CE20" s="44"/>
      <c r="CF20" s="44" t="s">
        <v>35</v>
      </c>
      <c r="CG20" s="44"/>
      <c r="CH20" s="44"/>
      <c r="CI20" s="44"/>
      <c r="CJ20" s="44"/>
      <c r="CK20" s="44"/>
      <c r="CL20" s="44"/>
      <c r="CM20" s="44"/>
      <c r="CN20" s="44" t="s">
        <v>35</v>
      </c>
      <c r="CO20" s="44"/>
      <c r="CP20" s="44"/>
      <c r="CQ20" s="44"/>
      <c r="CR20" s="44"/>
      <c r="CS20" s="44"/>
      <c r="CT20" s="44"/>
      <c r="CU20" s="45"/>
      <c r="CV20" s="43" t="s">
        <v>35</v>
      </c>
      <c r="CW20" s="44"/>
      <c r="CX20" s="44"/>
      <c r="CY20" s="44"/>
      <c r="CZ20" s="44"/>
      <c r="DA20" s="44"/>
      <c r="DB20" s="44"/>
      <c r="DC20" s="44"/>
      <c r="DD20" s="44" t="s">
        <v>35</v>
      </c>
      <c r="DE20" s="44"/>
      <c r="DF20" s="44"/>
      <c r="DG20" s="44"/>
      <c r="DH20" s="44"/>
      <c r="DI20" s="44"/>
      <c r="DJ20" s="44"/>
      <c r="DK20" s="44"/>
      <c r="DL20" s="44" t="s">
        <v>35</v>
      </c>
      <c r="DM20" s="44"/>
      <c r="DN20" s="44"/>
      <c r="DO20" s="44"/>
      <c r="DP20" s="44"/>
      <c r="DQ20" s="44"/>
      <c r="DR20" s="44"/>
      <c r="DS20" s="45"/>
      <c r="DT20" s="43" t="s">
        <v>35</v>
      </c>
      <c r="DU20" s="44"/>
      <c r="DV20" s="44"/>
      <c r="DW20" s="44"/>
      <c r="DX20" s="44"/>
      <c r="DY20" s="44"/>
      <c r="DZ20" s="44"/>
      <c r="EA20" s="44"/>
      <c r="EB20" s="44" t="s">
        <v>35</v>
      </c>
      <c r="EC20" s="44"/>
      <c r="ED20" s="44"/>
      <c r="EE20" s="44"/>
      <c r="EF20" s="44"/>
      <c r="EG20" s="44"/>
      <c r="EH20" s="44"/>
      <c r="EI20" s="44"/>
      <c r="EJ20" s="44" t="s">
        <v>35</v>
      </c>
      <c r="EK20" s="44"/>
      <c r="EL20" s="44"/>
      <c r="EM20" s="44"/>
      <c r="EN20" s="44"/>
      <c r="EO20" s="44"/>
      <c r="EP20" s="44"/>
      <c r="EQ20" s="45"/>
      <c r="ER20" s="46" t="s">
        <v>35</v>
      </c>
      <c r="ES20" s="49" t="s">
        <v>34</v>
      </c>
      <c r="ET20" s="44"/>
      <c r="EU20" s="44"/>
      <c r="EV20" s="48" t="s">
        <v>35</v>
      </c>
      <c r="EW20" s="44"/>
      <c r="EX20" s="44"/>
      <c r="EY20" s="44"/>
      <c r="EZ20" s="44" t="s">
        <v>35</v>
      </c>
      <c r="FA20" s="44"/>
      <c r="FB20" s="44"/>
      <c r="FC20" s="44"/>
      <c r="FD20" s="44"/>
      <c r="FE20" s="44"/>
      <c r="FF20" s="44"/>
      <c r="FG20" s="44"/>
      <c r="FH20" s="44" t="s">
        <v>35</v>
      </c>
      <c r="FI20" s="44"/>
      <c r="FJ20" s="44"/>
      <c r="FK20" s="44"/>
      <c r="FL20" s="44"/>
      <c r="FM20" s="44"/>
      <c r="FN20" s="44"/>
      <c r="FO20" s="45"/>
      <c r="FP20" s="37"/>
      <c r="FQ20" s="37"/>
      <c r="FR20" s="37"/>
      <c r="FS20" s="37"/>
      <c r="FT20" s="37"/>
    </row>
    <row r="21" spans="1:176" s="3" customFormat="1" ht="60" customHeight="1" x14ac:dyDescent="0.35">
      <c r="A21" s="43" t="s">
        <v>27</v>
      </c>
      <c r="B21" s="44"/>
      <c r="C21" s="44"/>
      <c r="D21" s="46">
        <v>471</v>
      </c>
      <c r="E21" s="44"/>
      <c r="F21" s="44"/>
      <c r="G21" s="44"/>
      <c r="H21" s="48"/>
      <c r="I21" s="44"/>
      <c r="J21" s="48">
        <v>264</v>
      </c>
      <c r="K21" s="44"/>
      <c r="L21" s="44">
        <v>979</v>
      </c>
      <c r="M21" s="44"/>
      <c r="N21" s="44"/>
      <c r="O21" s="44"/>
      <c r="P21" s="44"/>
      <c r="Q21" s="44"/>
      <c r="R21" s="44"/>
      <c r="S21" s="44"/>
      <c r="T21" s="44">
        <v>979</v>
      </c>
      <c r="U21" s="44"/>
      <c r="V21" s="44"/>
      <c r="W21" s="44"/>
      <c r="X21" s="44"/>
      <c r="Y21" s="44"/>
      <c r="Z21" s="44"/>
      <c r="AA21" s="45"/>
      <c r="AB21" s="43">
        <v>979</v>
      </c>
      <c r="AC21" s="44"/>
      <c r="AD21" s="44"/>
      <c r="AE21" s="44"/>
      <c r="AF21" s="44"/>
      <c r="AG21" s="44"/>
      <c r="AH21" s="44"/>
      <c r="AI21" s="44"/>
      <c r="AJ21" s="44">
        <v>979</v>
      </c>
      <c r="AK21" s="44"/>
      <c r="AL21" s="44"/>
      <c r="AM21" s="44"/>
      <c r="AN21" s="44"/>
      <c r="AO21" s="44"/>
      <c r="AP21" s="44"/>
      <c r="AQ21" s="44"/>
      <c r="AR21" s="44">
        <v>979</v>
      </c>
      <c r="AS21" s="44"/>
      <c r="AT21" s="44"/>
      <c r="AU21" s="44"/>
      <c r="AV21" s="44"/>
      <c r="AW21" s="44"/>
      <c r="AX21" s="44"/>
      <c r="AY21" s="45"/>
      <c r="AZ21" s="43">
        <v>841</v>
      </c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8"/>
      <c r="BT21" s="44"/>
      <c r="BU21" s="44"/>
      <c r="BV21" s="44"/>
      <c r="BW21" s="86">
        <v>199</v>
      </c>
      <c r="BX21" s="43">
        <v>1407</v>
      </c>
      <c r="BY21" s="44"/>
      <c r="BZ21" s="44"/>
      <c r="CA21" s="44"/>
      <c r="CB21" s="44"/>
      <c r="CC21" s="44"/>
      <c r="CD21" s="44"/>
      <c r="CE21" s="44"/>
      <c r="CF21" s="44">
        <v>1407</v>
      </c>
      <c r="CG21" s="44"/>
      <c r="CH21" s="44"/>
      <c r="CI21" s="44"/>
      <c r="CJ21" s="44"/>
      <c r="CK21" s="44"/>
      <c r="CL21" s="44"/>
      <c r="CM21" s="44"/>
      <c r="CN21" s="44">
        <v>1407</v>
      </c>
      <c r="CO21" s="44"/>
      <c r="CP21" s="44"/>
      <c r="CQ21" s="44"/>
      <c r="CR21" s="44"/>
      <c r="CS21" s="44"/>
      <c r="CT21" s="44"/>
      <c r="CU21" s="45"/>
      <c r="CV21" s="43">
        <v>1407</v>
      </c>
      <c r="CW21" s="44"/>
      <c r="CX21" s="44"/>
      <c r="CY21" s="44"/>
      <c r="CZ21" s="44"/>
      <c r="DA21" s="44"/>
      <c r="DB21" s="44"/>
      <c r="DC21" s="44"/>
      <c r="DD21" s="44">
        <v>1407</v>
      </c>
      <c r="DE21" s="44"/>
      <c r="DF21" s="44"/>
      <c r="DG21" s="44"/>
      <c r="DH21" s="44"/>
      <c r="DI21" s="44"/>
      <c r="DJ21" s="44"/>
      <c r="DK21" s="44"/>
      <c r="DL21" s="44">
        <v>1407</v>
      </c>
      <c r="DM21" s="44"/>
      <c r="DN21" s="44"/>
      <c r="DO21" s="44"/>
      <c r="DP21" s="44"/>
      <c r="DQ21" s="44"/>
      <c r="DR21" s="44"/>
      <c r="DS21" s="45"/>
      <c r="DT21" s="43">
        <v>1407</v>
      </c>
      <c r="DU21" s="44"/>
      <c r="DV21" s="44"/>
      <c r="DW21" s="44"/>
      <c r="DX21" s="44"/>
      <c r="DY21" s="44"/>
      <c r="DZ21" s="44"/>
      <c r="EA21" s="44"/>
      <c r="EB21" s="44">
        <v>1407</v>
      </c>
      <c r="EC21" s="44"/>
      <c r="ED21" s="44"/>
      <c r="EE21" s="44"/>
      <c r="EF21" s="44"/>
      <c r="EG21" s="44"/>
      <c r="EH21" s="44"/>
      <c r="EI21" s="44"/>
      <c r="EJ21" s="44">
        <v>1407</v>
      </c>
      <c r="EK21" s="44"/>
      <c r="EL21" s="44"/>
      <c r="EM21" s="44"/>
      <c r="EN21" s="44"/>
      <c r="EO21" s="44"/>
      <c r="EP21" s="44"/>
      <c r="EQ21" s="45"/>
      <c r="ER21" s="46">
        <v>138</v>
      </c>
      <c r="ES21" s="48"/>
      <c r="ET21" s="44"/>
      <c r="EU21" s="44"/>
      <c r="EV21" s="48">
        <v>648</v>
      </c>
      <c r="EW21" s="44"/>
      <c r="EX21" s="44"/>
      <c r="EY21" s="44"/>
      <c r="EZ21" s="44">
        <v>1235</v>
      </c>
      <c r="FA21" s="44"/>
      <c r="FB21" s="44"/>
      <c r="FC21" s="44"/>
      <c r="FD21" s="44"/>
      <c r="FE21" s="44"/>
      <c r="FF21" s="44"/>
      <c r="FG21" s="44"/>
      <c r="FH21" s="44">
        <v>1236</v>
      </c>
      <c r="FI21" s="44"/>
      <c r="FJ21" s="44"/>
      <c r="FK21" s="44"/>
      <c r="FL21" s="44"/>
      <c r="FM21" s="44"/>
      <c r="FN21" s="44"/>
      <c r="FO21" s="45"/>
      <c r="FP21" s="37"/>
      <c r="FQ21" s="37"/>
      <c r="FR21" s="37"/>
      <c r="FS21" s="37"/>
      <c r="FT21" s="37"/>
    </row>
    <row r="22" spans="1:176" s="3" customFormat="1" ht="60" customHeight="1" x14ac:dyDescent="0.35">
      <c r="A22" s="43" t="s">
        <v>28</v>
      </c>
      <c r="B22" s="44"/>
      <c r="C22" s="44"/>
      <c r="D22" s="33">
        <v>2693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5"/>
      <c r="AB22" s="33">
        <v>2937</v>
      </c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5"/>
      <c r="AZ22" s="33">
        <v>1040</v>
      </c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5"/>
      <c r="BX22" s="33">
        <v>4221</v>
      </c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5"/>
      <c r="CV22" s="33">
        <v>4221</v>
      </c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5"/>
      <c r="DT22" s="33">
        <v>4221</v>
      </c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5"/>
      <c r="ER22" s="33">
        <v>3257</v>
      </c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5"/>
      <c r="FP22" s="37"/>
      <c r="FQ22" s="37"/>
      <c r="FR22" s="37"/>
      <c r="FS22" s="37"/>
      <c r="FT22" s="37"/>
    </row>
    <row r="23" spans="1:176" s="3" customFormat="1" ht="60" customHeight="1" x14ac:dyDescent="0.35">
      <c r="A23" s="43" t="s">
        <v>41</v>
      </c>
      <c r="B23" s="44"/>
      <c r="C23" s="44"/>
      <c r="D23" s="43" t="s">
        <v>31</v>
      </c>
      <c r="E23" s="102" t="s">
        <v>163</v>
      </c>
      <c r="F23" s="44"/>
      <c r="G23" s="44"/>
      <c r="H23" s="44"/>
      <c r="I23" s="44"/>
      <c r="J23" s="44"/>
      <c r="K23" s="44"/>
      <c r="L23" s="102" t="s">
        <v>163</v>
      </c>
      <c r="M23" s="44"/>
      <c r="N23" s="44"/>
      <c r="O23" s="44"/>
      <c r="P23" s="44"/>
      <c r="Q23" s="44"/>
      <c r="R23" s="44"/>
      <c r="S23" s="44"/>
      <c r="T23" s="102" t="s">
        <v>163</v>
      </c>
      <c r="U23" s="44"/>
      <c r="V23" s="44"/>
      <c r="W23" s="44"/>
      <c r="X23" s="44"/>
      <c r="Y23" s="44"/>
      <c r="Z23" s="44"/>
      <c r="AA23" s="45"/>
      <c r="AB23" s="103" t="s">
        <v>163</v>
      </c>
      <c r="AC23" s="44"/>
      <c r="AD23" s="44"/>
      <c r="AE23" s="44"/>
      <c r="AF23" s="44"/>
      <c r="AG23" s="44"/>
      <c r="AH23" s="44"/>
      <c r="AI23" s="44"/>
      <c r="AJ23" s="102" t="s">
        <v>163</v>
      </c>
      <c r="AK23" s="44"/>
      <c r="AL23" s="44"/>
      <c r="AM23" s="44"/>
      <c r="AN23" s="44"/>
      <c r="AO23" s="44"/>
      <c r="AP23" s="44" t="s">
        <v>31</v>
      </c>
      <c r="AQ23" s="104" t="s">
        <v>164</v>
      </c>
      <c r="AR23" s="104" t="s">
        <v>164</v>
      </c>
      <c r="AS23" s="44"/>
      <c r="AT23" s="44"/>
      <c r="AU23" s="44"/>
      <c r="AV23" s="44"/>
      <c r="AW23" s="44"/>
      <c r="AX23" s="44"/>
      <c r="AY23" s="45"/>
      <c r="AZ23" s="105" t="s">
        <v>164</v>
      </c>
      <c r="BA23" s="44"/>
      <c r="BB23" s="44"/>
      <c r="BC23" s="44"/>
      <c r="BD23" s="44"/>
      <c r="BE23" s="44"/>
      <c r="BF23" s="44"/>
      <c r="BG23" s="44"/>
      <c r="BH23" s="104" t="s">
        <v>164</v>
      </c>
      <c r="BI23" s="44"/>
      <c r="BJ23" s="44"/>
      <c r="BK23" s="44"/>
      <c r="BL23" s="44"/>
      <c r="BM23" s="44"/>
      <c r="BN23" s="44"/>
      <c r="BO23" s="44"/>
      <c r="BP23" s="104" t="s">
        <v>164</v>
      </c>
      <c r="BQ23" s="44"/>
      <c r="BR23" s="44"/>
      <c r="BS23" s="44"/>
      <c r="BT23" s="44"/>
      <c r="BU23" s="44"/>
      <c r="BV23" s="44"/>
      <c r="BW23" s="45"/>
      <c r="BX23" s="105" t="s">
        <v>164</v>
      </c>
      <c r="BY23" s="44"/>
      <c r="BZ23" s="44"/>
      <c r="CA23" s="44"/>
      <c r="CB23" s="44"/>
      <c r="CC23" s="44"/>
      <c r="CD23" s="44"/>
      <c r="CE23" s="44"/>
      <c r="CF23" s="104" t="s">
        <v>164</v>
      </c>
      <c r="CG23" s="44"/>
      <c r="CH23" s="44"/>
      <c r="CI23" s="44" t="s">
        <v>31</v>
      </c>
      <c r="CJ23" s="44"/>
      <c r="CK23" s="44"/>
      <c r="CL23" s="44"/>
      <c r="CM23" s="44"/>
      <c r="CN23" s="44" t="s">
        <v>31</v>
      </c>
      <c r="CO23" s="44"/>
      <c r="CP23" s="44"/>
      <c r="CQ23" s="54" t="s">
        <v>43</v>
      </c>
      <c r="CR23" s="44"/>
      <c r="CS23" s="44"/>
      <c r="CT23" s="44"/>
      <c r="CU23" s="45" t="s">
        <v>31</v>
      </c>
      <c r="CV23" s="51" t="s">
        <v>42</v>
      </c>
      <c r="CW23" s="44"/>
      <c r="CX23" s="44"/>
      <c r="CY23" s="44"/>
      <c r="CZ23" s="44"/>
      <c r="DA23" s="44"/>
      <c r="DB23" s="44"/>
      <c r="DC23" s="44"/>
      <c r="DD23" s="52" t="s">
        <v>42</v>
      </c>
      <c r="DE23" s="44"/>
      <c r="DF23" s="44"/>
      <c r="DG23" s="44"/>
      <c r="DH23" s="44"/>
      <c r="DI23" s="44"/>
      <c r="DJ23" s="44"/>
      <c r="DK23" s="44"/>
      <c r="DL23" s="52" t="s">
        <v>42</v>
      </c>
      <c r="DM23" s="44"/>
      <c r="DN23" s="44"/>
      <c r="DO23" s="44"/>
      <c r="DP23" s="44"/>
      <c r="DQ23" s="44" t="s">
        <v>31</v>
      </c>
      <c r="DR23" s="44"/>
      <c r="DS23" s="45"/>
      <c r="DT23" s="43" t="s">
        <v>31</v>
      </c>
      <c r="DU23" s="44"/>
      <c r="DV23" s="44"/>
      <c r="DW23" s="44"/>
      <c r="DX23" s="44"/>
      <c r="DY23" s="89" t="s">
        <v>107</v>
      </c>
      <c r="DZ23" s="44"/>
      <c r="EA23" s="44"/>
      <c r="EB23" s="89" t="s">
        <v>107</v>
      </c>
      <c r="EC23" s="44"/>
      <c r="ED23" s="44"/>
      <c r="EE23" s="44"/>
      <c r="EF23" s="44"/>
      <c r="EG23" s="44"/>
      <c r="EH23" s="44"/>
      <c r="EI23" s="44"/>
      <c r="EJ23" s="89" t="s">
        <v>107</v>
      </c>
      <c r="EK23" s="44"/>
      <c r="EL23" s="44"/>
      <c r="EM23" s="44"/>
      <c r="EN23" s="44"/>
      <c r="EO23" s="44"/>
      <c r="EP23" s="44"/>
      <c r="EQ23" s="45"/>
      <c r="ER23" s="90" t="s">
        <v>107</v>
      </c>
      <c r="ES23" s="44"/>
      <c r="ET23" s="44"/>
      <c r="EU23" s="44"/>
      <c r="EV23" s="44"/>
      <c r="EW23" s="44"/>
      <c r="EX23" s="44"/>
      <c r="EY23" s="44"/>
      <c r="EZ23" s="89" t="s">
        <v>107</v>
      </c>
      <c r="FA23" s="44"/>
      <c r="FB23" s="44"/>
      <c r="FC23" s="44"/>
      <c r="FD23" s="44"/>
      <c r="FE23" s="44"/>
      <c r="FF23" s="44"/>
      <c r="FG23" s="44"/>
      <c r="FH23" s="89" t="s">
        <v>107</v>
      </c>
      <c r="FI23" s="44"/>
      <c r="FJ23" s="44"/>
      <c r="FK23" s="44"/>
      <c r="FL23" s="44"/>
      <c r="FM23" s="44"/>
      <c r="FN23" s="44"/>
      <c r="FO23" s="45"/>
      <c r="FP23" s="36">
        <v>19740</v>
      </c>
      <c r="FQ23" s="37"/>
      <c r="FR23" s="37"/>
      <c r="FS23" s="37"/>
      <c r="FT23" s="37"/>
    </row>
    <row r="24" spans="1:176" s="3" customFormat="1" ht="109.95" customHeight="1" x14ac:dyDescent="0.35">
      <c r="A24" s="43" t="s">
        <v>25</v>
      </c>
      <c r="B24" s="44"/>
      <c r="C24" s="44"/>
      <c r="D24" s="62" t="s">
        <v>34</v>
      </c>
      <c r="E24" s="44" t="s">
        <v>45</v>
      </c>
      <c r="F24" s="44"/>
      <c r="G24" s="44"/>
      <c r="H24" s="44"/>
      <c r="I24" s="44"/>
      <c r="J24" s="44"/>
      <c r="K24" s="44"/>
      <c r="L24" s="44" t="s">
        <v>45</v>
      </c>
      <c r="M24" s="44"/>
      <c r="N24" s="44"/>
      <c r="O24" s="44"/>
      <c r="P24" s="44"/>
      <c r="Q24" s="44"/>
      <c r="R24" s="44"/>
      <c r="S24" s="44"/>
      <c r="T24" s="44" t="s">
        <v>45</v>
      </c>
      <c r="U24" s="44"/>
      <c r="V24" s="44"/>
      <c r="W24" s="44"/>
      <c r="X24" s="44"/>
      <c r="Y24" s="44"/>
      <c r="Z24" s="44"/>
      <c r="AA24" s="45"/>
      <c r="AB24" s="43" t="s">
        <v>45</v>
      </c>
      <c r="AC24" s="44"/>
      <c r="AD24" s="44"/>
      <c r="AE24" s="44"/>
      <c r="AF24" s="44"/>
      <c r="AG24" s="44"/>
      <c r="AH24" s="44"/>
      <c r="AI24" s="44"/>
      <c r="AJ24" s="44" t="s">
        <v>45</v>
      </c>
      <c r="AK24" s="44"/>
      <c r="AL24" s="44"/>
      <c r="AM24" s="44"/>
      <c r="AN24" s="44"/>
      <c r="AO24" s="44"/>
      <c r="AP24" s="49" t="s">
        <v>34</v>
      </c>
      <c r="AQ24" s="48" t="s">
        <v>45</v>
      </c>
      <c r="AR24" s="44" t="s">
        <v>45</v>
      </c>
      <c r="AS24" s="44"/>
      <c r="AT24" s="44"/>
      <c r="AU24" s="44"/>
      <c r="AV24" s="44"/>
      <c r="AW24" s="44"/>
      <c r="AX24" s="44"/>
      <c r="AY24" s="45"/>
      <c r="AZ24" s="43" t="s">
        <v>45</v>
      </c>
      <c r="BA24" s="44"/>
      <c r="BB24" s="44"/>
      <c r="BC24" s="44"/>
      <c r="BD24" s="44"/>
      <c r="BE24" s="44"/>
      <c r="BF24" s="44"/>
      <c r="BG24" s="44"/>
      <c r="BH24" s="44" t="s">
        <v>45</v>
      </c>
      <c r="BI24" s="44"/>
      <c r="BJ24" s="44"/>
      <c r="BK24" s="44"/>
      <c r="BL24" s="44"/>
      <c r="BM24" s="44"/>
      <c r="BN24" s="44"/>
      <c r="BO24" s="44"/>
      <c r="BP24" s="44" t="s">
        <v>45</v>
      </c>
      <c r="BQ24" s="44"/>
      <c r="BR24" s="44"/>
      <c r="BS24" s="44"/>
      <c r="BT24" s="44"/>
      <c r="BU24" s="44"/>
      <c r="BV24" s="44"/>
      <c r="BW24" s="45"/>
      <c r="BX24" s="43" t="s">
        <v>45</v>
      </c>
      <c r="BY24" s="44"/>
      <c r="BZ24" s="44"/>
      <c r="CA24" s="44"/>
      <c r="CB24" s="44"/>
      <c r="CC24" s="44"/>
      <c r="CD24" s="44"/>
      <c r="CE24" s="44"/>
      <c r="CF24" s="48" t="s">
        <v>45</v>
      </c>
      <c r="CG24" s="44"/>
      <c r="CH24" s="44"/>
      <c r="CI24" s="56" t="s">
        <v>40</v>
      </c>
      <c r="CJ24" s="44"/>
      <c r="CK24" s="44"/>
      <c r="CL24" s="44"/>
      <c r="CM24" s="44"/>
      <c r="CN24" s="56" t="s">
        <v>40</v>
      </c>
      <c r="CO24" s="44"/>
      <c r="CP24" s="44"/>
      <c r="CQ24" s="48" t="s">
        <v>47</v>
      </c>
      <c r="CR24" s="44"/>
      <c r="CS24" s="44"/>
      <c r="CT24" s="44"/>
      <c r="CU24" s="101" t="s">
        <v>48</v>
      </c>
      <c r="CV24" s="43" t="s">
        <v>45</v>
      </c>
      <c r="CW24" s="44"/>
      <c r="CX24" s="44"/>
      <c r="CY24" s="44"/>
      <c r="CZ24" s="44"/>
      <c r="DA24" s="44"/>
      <c r="DB24" s="44"/>
      <c r="DC24" s="44"/>
      <c r="DD24" s="44" t="s">
        <v>45</v>
      </c>
      <c r="DE24" s="44"/>
      <c r="DF24" s="44"/>
      <c r="DG24" s="44"/>
      <c r="DH24" s="44"/>
      <c r="DI24" s="44"/>
      <c r="DJ24" s="44"/>
      <c r="DK24" s="44"/>
      <c r="DL24" s="48" t="s">
        <v>45</v>
      </c>
      <c r="DM24" s="44"/>
      <c r="DN24" s="44"/>
      <c r="DO24" s="44"/>
      <c r="DP24" s="44"/>
      <c r="DQ24" s="56" t="s">
        <v>48</v>
      </c>
      <c r="DR24" s="44"/>
      <c r="DS24" s="45"/>
      <c r="DT24" s="100" t="s">
        <v>48</v>
      </c>
      <c r="DU24" s="44"/>
      <c r="DV24" s="44"/>
      <c r="DW24" s="44"/>
      <c r="DX24" s="44"/>
      <c r="DY24" s="48" t="s">
        <v>111</v>
      </c>
      <c r="DZ24" s="44"/>
      <c r="EA24" s="44"/>
      <c r="EB24" s="44" t="s">
        <v>111</v>
      </c>
      <c r="EC24" s="44"/>
      <c r="ED24" s="44"/>
      <c r="EE24" s="44"/>
      <c r="EF24" s="44"/>
      <c r="EG24" s="44"/>
      <c r="EH24" s="44"/>
      <c r="EI24" s="44"/>
      <c r="EJ24" s="44" t="s">
        <v>111</v>
      </c>
      <c r="EK24" s="44"/>
      <c r="EL24" s="44"/>
      <c r="EM24" s="44"/>
      <c r="EN24" s="44"/>
      <c r="EO24" s="44"/>
      <c r="EP24" s="44"/>
      <c r="EQ24" s="45"/>
      <c r="ER24" s="43" t="s">
        <v>111</v>
      </c>
      <c r="ES24" s="44"/>
      <c r="ET24" s="44"/>
      <c r="EU24" s="44"/>
      <c r="EV24" s="44"/>
      <c r="EW24" s="44"/>
      <c r="EX24" s="44"/>
      <c r="EY24" s="44"/>
      <c r="EZ24" s="44" t="s">
        <v>111</v>
      </c>
      <c r="FA24" s="44"/>
      <c r="FB24" s="44"/>
      <c r="FC24" s="44"/>
      <c r="FD24" s="44"/>
      <c r="FE24" s="44"/>
      <c r="FF24" s="44"/>
      <c r="FG24" s="44"/>
      <c r="FH24" s="44" t="s">
        <v>111</v>
      </c>
      <c r="FI24" s="44"/>
      <c r="FJ24" s="44"/>
      <c r="FK24" s="44"/>
      <c r="FL24" s="44"/>
      <c r="FM24" s="44"/>
      <c r="FN24" s="44"/>
      <c r="FO24" s="45"/>
      <c r="FP24" s="37"/>
      <c r="FQ24" s="37"/>
      <c r="FR24" s="37"/>
      <c r="FS24" s="37"/>
      <c r="FT24" s="37"/>
    </row>
    <row r="25" spans="1:176" s="3" customFormat="1" ht="60" customHeight="1" x14ac:dyDescent="0.35">
      <c r="A25" s="43" t="s">
        <v>27</v>
      </c>
      <c r="B25" s="44"/>
      <c r="C25" s="44"/>
      <c r="D25" s="46"/>
      <c r="E25" s="44">
        <v>1011</v>
      </c>
      <c r="F25" s="44"/>
      <c r="G25" s="44"/>
      <c r="H25" s="44"/>
      <c r="I25" s="44"/>
      <c r="J25" s="44"/>
      <c r="K25" s="44"/>
      <c r="L25" s="44">
        <v>1109</v>
      </c>
      <c r="M25" s="44"/>
      <c r="N25" s="44"/>
      <c r="O25" s="44"/>
      <c r="P25" s="44"/>
      <c r="Q25" s="44"/>
      <c r="R25" s="44"/>
      <c r="S25" s="44"/>
      <c r="T25" s="44">
        <v>1109</v>
      </c>
      <c r="U25" s="44"/>
      <c r="V25" s="44"/>
      <c r="W25" s="44"/>
      <c r="X25" s="44"/>
      <c r="Y25" s="44"/>
      <c r="Z25" s="44"/>
      <c r="AA25" s="45"/>
      <c r="AB25" s="43">
        <v>1109</v>
      </c>
      <c r="AC25" s="44"/>
      <c r="AD25" s="44"/>
      <c r="AE25" s="44"/>
      <c r="AF25" s="44"/>
      <c r="AG25" s="44"/>
      <c r="AH25" s="44"/>
      <c r="AI25" s="44"/>
      <c r="AJ25" s="44">
        <v>862</v>
      </c>
      <c r="AK25" s="44"/>
      <c r="AL25" s="44"/>
      <c r="AM25" s="44"/>
      <c r="AN25" s="44"/>
      <c r="AO25" s="44"/>
      <c r="AP25" s="48"/>
      <c r="AQ25" s="48">
        <v>108</v>
      </c>
      <c r="AR25" s="44">
        <v>1109</v>
      </c>
      <c r="AS25" s="44"/>
      <c r="AT25" s="44"/>
      <c r="AU25" s="44"/>
      <c r="AV25" s="44"/>
      <c r="AW25" s="44"/>
      <c r="AX25" s="44"/>
      <c r="AY25" s="45"/>
      <c r="AZ25" s="43">
        <v>1109</v>
      </c>
      <c r="BA25" s="44"/>
      <c r="BB25" s="44"/>
      <c r="BC25" s="44"/>
      <c r="BD25" s="44"/>
      <c r="BE25" s="44"/>
      <c r="BF25" s="44"/>
      <c r="BG25" s="44"/>
      <c r="BH25" s="44">
        <v>1109</v>
      </c>
      <c r="BI25" s="44"/>
      <c r="BJ25" s="44"/>
      <c r="BK25" s="44"/>
      <c r="BL25" s="44"/>
      <c r="BM25" s="44"/>
      <c r="BN25" s="44"/>
      <c r="BO25" s="44"/>
      <c r="BP25" s="44">
        <v>1109</v>
      </c>
      <c r="BQ25" s="44"/>
      <c r="BR25" s="44"/>
      <c r="BS25" s="44"/>
      <c r="BT25" s="44"/>
      <c r="BU25" s="44"/>
      <c r="BV25" s="44"/>
      <c r="BW25" s="45"/>
      <c r="BX25" s="43">
        <v>1109</v>
      </c>
      <c r="BY25" s="44"/>
      <c r="BZ25" s="44"/>
      <c r="CA25" s="44"/>
      <c r="CB25" s="44"/>
      <c r="CC25" s="44"/>
      <c r="CD25" s="44"/>
      <c r="CE25" s="44"/>
      <c r="CF25" s="48">
        <v>347</v>
      </c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8">
        <v>665</v>
      </c>
      <c r="CR25" s="44"/>
      <c r="CS25" s="44"/>
      <c r="CT25" s="44"/>
      <c r="CU25" s="86"/>
      <c r="CV25" s="43">
        <v>1066</v>
      </c>
      <c r="CW25" s="44"/>
      <c r="CX25" s="44"/>
      <c r="CY25" s="44"/>
      <c r="CZ25" s="44"/>
      <c r="DA25" s="44"/>
      <c r="DB25" s="44"/>
      <c r="DC25" s="44"/>
      <c r="DD25" s="44">
        <v>1109</v>
      </c>
      <c r="DE25" s="44"/>
      <c r="DF25" s="44"/>
      <c r="DG25" s="44"/>
      <c r="DH25" s="44"/>
      <c r="DI25" s="44"/>
      <c r="DJ25" s="44"/>
      <c r="DK25" s="44"/>
      <c r="DL25" s="48">
        <v>760</v>
      </c>
      <c r="DM25" s="44"/>
      <c r="DN25" s="44"/>
      <c r="DO25" s="44"/>
      <c r="DP25" s="44"/>
      <c r="DQ25" s="44"/>
      <c r="DR25" s="44"/>
      <c r="DS25" s="45"/>
      <c r="DT25" s="43"/>
      <c r="DU25" s="44"/>
      <c r="DV25" s="44"/>
      <c r="DW25" s="44"/>
      <c r="DX25" s="44"/>
      <c r="DY25" s="48">
        <v>292</v>
      </c>
      <c r="DZ25" s="44"/>
      <c r="EA25" s="44"/>
      <c r="EB25" s="44">
        <v>930</v>
      </c>
      <c r="EC25" s="44"/>
      <c r="ED25" s="44"/>
      <c r="EE25" s="44"/>
      <c r="EF25" s="44"/>
      <c r="EG25" s="44"/>
      <c r="EH25" s="44"/>
      <c r="EI25" s="44"/>
      <c r="EJ25" s="44">
        <v>930</v>
      </c>
      <c r="EK25" s="44"/>
      <c r="EL25" s="44"/>
      <c r="EM25" s="44"/>
      <c r="EN25" s="44"/>
      <c r="EO25" s="44"/>
      <c r="EP25" s="44"/>
      <c r="EQ25" s="45"/>
      <c r="ER25" s="43">
        <v>930</v>
      </c>
      <c r="ES25" s="44"/>
      <c r="ET25" s="44"/>
      <c r="EU25" s="44"/>
      <c r="EV25" s="44"/>
      <c r="EW25" s="44"/>
      <c r="EX25" s="44"/>
      <c r="EY25" s="44"/>
      <c r="EZ25" s="44">
        <v>930</v>
      </c>
      <c r="FA25" s="44"/>
      <c r="FB25" s="44"/>
      <c r="FC25" s="44"/>
      <c r="FD25" s="44"/>
      <c r="FE25" s="44"/>
      <c r="FF25" s="44"/>
      <c r="FG25" s="44"/>
      <c r="FH25" s="44">
        <v>928</v>
      </c>
      <c r="FI25" s="44"/>
      <c r="FJ25" s="44"/>
      <c r="FK25" s="44"/>
      <c r="FL25" s="44"/>
      <c r="FM25" s="44"/>
      <c r="FN25" s="44"/>
      <c r="FO25" s="45"/>
      <c r="FP25" s="37"/>
      <c r="FQ25" s="37"/>
      <c r="FR25" s="37"/>
      <c r="FS25" s="37"/>
      <c r="FT25" s="37"/>
    </row>
    <row r="26" spans="1:176" s="3" customFormat="1" ht="60" customHeight="1" x14ac:dyDescent="0.35">
      <c r="A26" s="43" t="s">
        <v>28</v>
      </c>
      <c r="B26" s="44"/>
      <c r="C26" s="44"/>
      <c r="D26" s="33">
        <v>3229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  <c r="AB26" s="33">
        <v>3188</v>
      </c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5"/>
      <c r="AZ26" s="33">
        <v>3327</v>
      </c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5"/>
      <c r="BX26" s="33">
        <v>2121</v>
      </c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5"/>
      <c r="CV26" s="33">
        <v>2935</v>
      </c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5"/>
      <c r="DT26" s="33">
        <v>2152</v>
      </c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5"/>
      <c r="ER26" s="33">
        <v>2788</v>
      </c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5"/>
      <c r="FP26" s="37"/>
      <c r="FQ26" s="37"/>
      <c r="FR26" s="37"/>
      <c r="FS26" s="37"/>
      <c r="FT26" s="37"/>
    </row>
    <row r="27" spans="1:176" s="3" customFormat="1" ht="60" customHeight="1" x14ac:dyDescent="0.35">
      <c r="A27" s="43" t="s">
        <v>50</v>
      </c>
      <c r="B27" s="44"/>
      <c r="C27" s="44"/>
      <c r="D27" s="43"/>
      <c r="E27" s="44"/>
      <c r="F27" s="44"/>
      <c r="G27" s="44"/>
      <c r="H27" s="44"/>
      <c r="I27" s="44"/>
      <c r="J27" s="44"/>
      <c r="K27" s="44"/>
      <c r="L27" s="44"/>
      <c r="M27" s="44"/>
      <c r="N27" s="44" t="s">
        <v>31</v>
      </c>
      <c r="O27" s="58" t="s">
        <v>113</v>
      </c>
      <c r="P27" s="44"/>
      <c r="Q27" s="44"/>
      <c r="R27" s="44"/>
      <c r="S27" s="44"/>
      <c r="T27" s="58" t="s">
        <v>113</v>
      </c>
      <c r="U27" s="44"/>
      <c r="V27" s="44"/>
      <c r="W27" s="44"/>
      <c r="X27" s="44"/>
      <c r="Y27" s="44"/>
      <c r="Z27" s="44"/>
      <c r="AA27" s="45"/>
      <c r="AB27" s="43"/>
      <c r="AC27" s="44"/>
      <c r="AD27" s="44"/>
      <c r="AE27" s="44"/>
      <c r="AF27" s="44"/>
      <c r="AG27" s="44"/>
      <c r="AH27" s="44"/>
      <c r="AI27" s="44"/>
      <c r="AJ27" s="44"/>
      <c r="AK27" s="44"/>
      <c r="AL27" s="44" t="s">
        <v>31</v>
      </c>
      <c r="AM27" s="53" t="s">
        <v>51</v>
      </c>
      <c r="AN27" s="44"/>
      <c r="AO27" s="44"/>
      <c r="AP27" s="44"/>
      <c r="AQ27" s="44"/>
      <c r="AR27" s="53" t="s">
        <v>51</v>
      </c>
      <c r="AS27" s="44"/>
      <c r="AT27" s="44"/>
      <c r="AU27" s="44"/>
      <c r="AV27" s="44"/>
      <c r="AW27" s="44"/>
      <c r="AX27" s="44"/>
      <c r="AY27" s="45"/>
      <c r="AZ27" s="43"/>
      <c r="BA27" s="44"/>
      <c r="BB27" s="44"/>
      <c r="BC27" s="44"/>
      <c r="BD27" s="44"/>
      <c r="BE27" s="44"/>
      <c r="BF27" s="44"/>
      <c r="BG27" s="44"/>
      <c r="BH27" s="44"/>
      <c r="BI27" s="44"/>
      <c r="BJ27" s="44" t="s">
        <v>31</v>
      </c>
      <c r="BK27" s="53" t="s">
        <v>51</v>
      </c>
      <c r="BL27" s="44"/>
      <c r="BM27" s="44"/>
      <c r="BN27" s="44"/>
      <c r="BO27" s="44"/>
      <c r="BP27" s="53" t="s">
        <v>51</v>
      </c>
      <c r="BQ27" s="44"/>
      <c r="BR27" s="44"/>
      <c r="BS27" s="44"/>
      <c r="BT27" s="44"/>
      <c r="BU27" s="44"/>
      <c r="BV27" s="44"/>
      <c r="BW27" s="45"/>
      <c r="BX27" s="43"/>
      <c r="BY27" s="44"/>
      <c r="BZ27" s="44"/>
      <c r="CA27" s="44"/>
      <c r="CB27" s="44"/>
      <c r="CC27" s="44"/>
      <c r="CD27" s="44"/>
      <c r="CE27" s="44"/>
      <c r="CF27" s="44"/>
      <c r="CG27" s="44"/>
      <c r="CH27" s="44" t="s">
        <v>31</v>
      </c>
      <c r="CI27" s="91" t="s">
        <v>165</v>
      </c>
      <c r="CJ27" s="44"/>
      <c r="CK27" s="44"/>
      <c r="CL27" s="44"/>
      <c r="CM27" s="44"/>
      <c r="CN27" s="91" t="s">
        <v>165</v>
      </c>
      <c r="CO27" s="44"/>
      <c r="CP27" s="44"/>
      <c r="CQ27" s="44"/>
      <c r="CR27" s="44"/>
      <c r="CS27" s="44"/>
      <c r="CT27" s="44"/>
      <c r="CU27" s="45"/>
      <c r="CV27" s="92" t="s">
        <v>165</v>
      </c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5"/>
      <c r="DT27" s="43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5"/>
      <c r="ER27" s="43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  <c r="FI27" s="44"/>
      <c r="FJ27" s="44"/>
      <c r="FK27" s="44"/>
      <c r="FL27" s="44"/>
      <c r="FM27" s="44"/>
      <c r="FN27" s="44"/>
      <c r="FO27" s="45"/>
      <c r="FP27" s="36">
        <v>7000</v>
      </c>
      <c r="FQ27" s="37"/>
      <c r="FR27" s="37"/>
      <c r="FS27" s="37"/>
      <c r="FT27" s="37"/>
    </row>
    <row r="28" spans="1:176" s="3" customFormat="1" ht="109.95" customHeight="1" x14ac:dyDescent="0.35">
      <c r="A28" s="43" t="s">
        <v>25</v>
      </c>
      <c r="B28" s="44"/>
      <c r="C28" s="44"/>
      <c r="D28" s="43"/>
      <c r="E28" s="44"/>
      <c r="F28" s="44"/>
      <c r="G28" s="44"/>
      <c r="H28" s="44"/>
      <c r="I28" s="44"/>
      <c r="J28" s="44"/>
      <c r="K28" s="44"/>
      <c r="L28" s="48"/>
      <c r="M28" s="44"/>
      <c r="N28" s="49" t="s">
        <v>46</v>
      </c>
      <c r="O28" s="48" t="s">
        <v>52</v>
      </c>
      <c r="P28" s="44"/>
      <c r="Q28" s="44"/>
      <c r="R28" s="44"/>
      <c r="S28" s="44"/>
      <c r="T28" s="44" t="s">
        <v>52</v>
      </c>
      <c r="U28" s="44"/>
      <c r="V28" s="44"/>
      <c r="W28" s="44"/>
      <c r="X28" s="44"/>
      <c r="Y28" s="44"/>
      <c r="Z28" s="48"/>
      <c r="AA28" s="45"/>
      <c r="AB28" s="43"/>
      <c r="AC28" s="44"/>
      <c r="AD28" s="44"/>
      <c r="AE28" s="44"/>
      <c r="AF28" s="44"/>
      <c r="AG28" s="44"/>
      <c r="AH28" s="44"/>
      <c r="AI28" s="44"/>
      <c r="AJ28" s="48"/>
      <c r="AK28" s="44"/>
      <c r="AL28" s="49" t="s">
        <v>46</v>
      </c>
      <c r="AM28" s="48" t="s">
        <v>52</v>
      </c>
      <c r="AN28" s="44"/>
      <c r="AO28" s="44"/>
      <c r="AP28" s="44"/>
      <c r="AQ28" s="44"/>
      <c r="AR28" s="44" t="s">
        <v>52</v>
      </c>
      <c r="AS28" s="44"/>
      <c r="AT28" s="44"/>
      <c r="AU28" s="44"/>
      <c r="AV28" s="44"/>
      <c r="AW28" s="44"/>
      <c r="AX28" s="44"/>
      <c r="AY28" s="86"/>
      <c r="AZ28" s="43"/>
      <c r="BA28" s="44"/>
      <c r="BB28" s="44"/>
      <c r="BC28" s="44"/>
      <c r="BD28" s="44"/>
      <c r="BE28" s="44"/>
      <c r="BF28" s="44"/>
      <c r="BG28" s="44"/>
      <c r="BH28" s="48"/>
      <c r="BI28" s="44"/>
      <c r="BJ28" s="49" t="s">
        <v>46</v>
      </c>
      <c r="BK28" s="48" t="s">
        <v>52</v>
      </c>
      <c r="BL28" s="44"/>
      <c r="BM28" s="44"/>
      <c r="BN28" s="44"/>
      <c r="BO28" s="44"/>
      <c r="BP28" s="44" t="s">
        <v>52</v>
      </c>
      <c r="BQ28" s="44"/>
      <c r="BR28" s="44"/>
      <c r="BS28" s="44"/>
      <c r="BT28" s="44"/>
      <c r="BU28" s="44"/>
      <c r="BV28" s="44"/>
      <c r="BW28" s="45"/>
      <c r="BX28" s="43"/>
      <c r="BY28" s="44"/>
      <c r="BZ28" s="44"/>
      <c r="CA28" s="44"/>
      <c r="CB28" s="44"/>
      <c r="CC28" s="44"/>
      <c r="CD28" s="44"/>
      <c r="CE28" s="44"/>
      <c r="CF28" s="48"/>
      <c r="CG28" s="44"/>
      <c r="CH28" s="49" t="s">
        <v>46</v>
      </c>
      <c r="CI28" s="48" t="s">
        <v>52</v>
      </c>
      <c r="CJ28" s="44"/>
      <c r="CK28" s="44"/>
      <c r="CL28" s="44"/>
      <c r="CM28" s="44"/>
      <c r="CN28" s="44" t="s">
        <v>52</v>
      </c>
      <c r="CO28" s="44"/>
      <c r="CP28" s="44"/>
      <c r="CQ28" s="44"/>
      <c r="CR28" s="44"/>
      <c r="CS28" s="44"/>
      <c r="CT28" s="44"/>
      <c r="CU28" s="45"/>
      <c r="CV28" s="46" t="s">
        <v>52</v>
      </c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5"/>
      <c r="DT28" s="43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5"/>
      <c r="ER28" s="43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  <c r="FK28" s="44"/>
      <c r="FL28" s="44"/>
      <c r="FM28" s="44"/>
      <c r="FN28" s="44"/>
      <c r="FO28" s="45"/>
      <c r="FP28" s="37"/>
      <c r="FQ28" s="37"/>
      <c r="FR28" s="37"/>
      <c r="FS28" s="37"/>
      <c r="FT28" s="37"/>
    </row>
    <row r="29" spans="1:176" s="3" customFormat="1" ht="60" customHeight="1" x14ac:dyDescent="0.35">
      <c r="A29" s="43" t="s">
        <v>27</v>
      </c>
      <c r="B29" s="44"/>
      <c r="C29" s="44"/>
      <c r="D29" s="43"/>
      <c r="E29" s="44"/>
      <c r="F29" s="44"/>
      <c r="G29" s="44"/>
      <c r="H29" s="44"/>
      <c r="I29" s="44"/>
      <c r="J29" s="44"/>
      <c r="K29" s="44"/>
      <c r="L29" s="48"/>
      <c r="M29" s="44"/>
      <c r="N29" s="48"/>
      <c r="O29" s="48">
        <v>697</v>
      </c>
      <c r="P29" s="44"/>
      <c r="Q29" s="44"/>
      <c r="R29" s="44"/>
      <c r="S29" s="44"/>
      <c r="T29" s="44">
        <v>903</v>
      </c>
      <c r="U29" s="44"/>
      <c r="V29" s="44"/>
      <c r="W29" s="44"/>
      <c r="X29" s="44"/>
      <c r="Y29" s="44"/>
      <c r="Z29" s="48"/>
      <c r="AA29" s="45"/>
      <c r="AB29" s="43"/>
      <c r="AC29" s="44"/>
      <c r="AD29" s="44"/>
      <c r="AE29" s="44"/>
      <c r="AF29" s="44"/>
      <c r="AG29" s="44"/>
      <c r="AH29" s="44"/>
      <c r="AI29" s="44"/>
      <c r="AJ29" s="48"/>
      <c r="AK29" s="44"/>
      <c r="AL29" s="48"/>
      <c r="AM29" s="48">
        <v>655</v>
      </c>
      <c r="AN29" s="44"/>
      <c r="AO29" s="44"/>
      <c r="AP29" s="44"/>
      <c r="AQ29" s="44"/>
      <c r="AR29" s="44">
        <v>945</v>
      </c>
      <c r="AS29" s="44"/>
      <c r="AT29" s="44"/>
      <c r="AU29" s="44"/>
      <c r="AV29" s="44"/>
      <c r="AW29" s="44"/>
      <c r="AX29" s="44"/>
      <c r="AY29" s="86"/>
      <c r="AZ29" s="43"/>
      <c r="BA29" s="44"/>
      <c r="BB29" s="44"/>
      <c r="BC29" s="44"/>
      <c r="BD29" s="44"/>
      <c r="BE29" s="44"/>
      <c r="BF29" s="44"/>
      <c r="BG29" s="44"/>
      <c r="BH29" s="48"/>
      <c r="BI29" s="44"/>
      <c r="BJ29" s="48"/>
      <c r="BK29" s="48">
        <v>697</v>
      </c>
      <c r="BL29" s="44"/>
      <c r="BM29" s="44"/>
      <c r="BN29" s="44"/>
      <c r="BO29" s="44"/>
      <c r="BP29" s="44">
        <v>1103</v>
      </c>
      <c r="BQ29" s="44"/>
      <c r="BR29" s="44"/>
      <c r="BS29" s="44"/>
      <c r="BT29" s="44"/>
      <c r="BU29" s="44"/>
      <c r="BV29" s="44"/>
      <c r="BW29" s="45"/>
      <c r="BX29" s="43"/>
      <c r="BY29" s="44"/>
      <c r="BZ29" s="44"/>
      <c r="CA29" s="44"/>
      <c r="CB29" s="44"/>
      <c r="CC29" s="44"/>
      <c r="CD29" s="44"/>
      <c r="CE29" s="44"/>
      <c r="CF29" s="48"/>
      <c r="CG29" s="44"/>
      <c r="CH29" s="48"/>
      <c r="CI29" s="48">
        <v>697</v>
      </c>
      <c r="CJ29" s="44"/>
      <c r="CK29" s="44"/>
      <c r="CL29" s="44"/>
      <c r="CM29" s="44"/>
      <c r="CN29" s="44">
        <v>1115</v>
      </c>
      <c r="CO29" s="44"/>
      <c r="CP29" s="44"/>
      <c r="CQ29" s="44"/>
      <c r="CR29" s="44"/>
      <c r="CS29" s="44"/>
      <c r="CT29" s="44"/>
      <c r="CU29" s="45"/>
      <c r="CV29" s="46">
        <v>188</v>
      </c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5"/>
      <c r="DT29" s="43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5"/>
      <c r="ER29" s="43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  <c r="FI29" s="44"/>
      <c r="FJ29" s="44"/>
      <c r="FK29" s="44"/>
      <c r="FL29" s="44"/>
      <c r="FM29" s="44"/>
      <c r="FN29" s="44"/>
      <c r="FO29" s="45"/>
      <c r="FP29" s="37"/>
      <c r="FQ29" s="37"/>
      <c r="FR29" s="37"/>
      <c r="FS29" s="37"/>
      <c r="FT29" s="37"/>
    </row>
    <row r="30" spans="1:176" s="3" customFormat="1" ht="60" customHeight="1" x14ac:dyDescent="0.35">
      <c r="A30" s="43" t="s">
        <v>28</v>
      </c>
      <c r="B30" s="44"/>
      <c r="C30" s="44"/>
      <c r="D30" s="33">
        <v>1600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5"/>
      <c r="AB30" s="33">
        <v>1600</v>
      </c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5"/>
      <c r="AZ30" s="33">
        <v>1800</v>
      </c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5"/>
      <c r="BX30" s="33">
        <v>1812</v>
      </c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5"/>
      <c r="CV30" s="33">
        <v>188</v>
      </c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5"/>
      <c r="DT30" s="33">
        <v>0</v>
      </c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  <c r="EM30" s="34"/>
      <c r="EN30" s="34"/>
      <c r="EO30" s="34"/>
      <c r="EP30" s="34"/>
      <c r="EQ30" s="35"/>
      <c r="ER30" s="33">
        <v>0</v>
      </c>
      <c r="ES30" s="34"/>
      <c r="ET30" s="34"/>
      <c r="EU30" s="34"/>
      <c r="EV30" s="34"/>
      <c r="EW30" s="34"/>
      <c r="EX30" s="34"/>
      <c r="EY30" s="34"/>
      <c r="EZ30" s="34"/>
      <c r="FA30" s="34"/>
      <c r="FB30" s="34"/>
      <c r="FC30" s="34"/>
      <c r="FD30" s="34"/>
      <c r="FE30" s="34"/>
      <c r="FF30" s="34"/>
      <c r="FG30" s="34"/>
      <c r="FH30" s="34"/>
      <c r="FI30" s="34"/>
      <c r="FJ30" s="34"/>
      <c r="FK30" s="34"/>
      <c r="FL30" s="34"/>
      <c r="FM30" s="34"/>
      <c r="FN30" s="34"/>
      <c r="FO30" s="35"/>
      <c r="FP30" s="37"/>
      <c r="FQ30" s="37"/>
      <c r="FR30" s="37"/>
      <c r="FS30" s="37"/>
      <c r="FT30" s="37"/>
    </row>
    <row r="31" spans="1:176" s="3" customFormat="1" ht="60" customHeight="1" x14ac:dyDescent="0.35">
      <c r="A31" s="43" t="s">
        <v>53</v>
      </c>
      <c r="B31" s="44"/>
      <c r="C31" s="44"/>
      <c r="D31" s="43"/>
      <c r="E31" s="44"/>
      <c r="F31" s="44"/>
      <c r="G31" s="44"/>
      <c r="H31" s="44"/>
      <c r="I31" s="44"/>
      <c r="J31" s="44"/>
      <c r="K31" s="44"/>
      <c r="L31" s="44" t="s">
        <v>31</v>
      </c>
      <c r="M31" s="52" t="s">
        <v>54</v>
      </c>
      <c r="N31" s="44"/>
      <c r="O31" s="44"/>
      <c r="P31" s="44"/>
      <c r="Q31" s="44"/>
      <c r="R31" s="44"/>
      <c r="S31" s="44"/>
      <c r="T31" s="52" t="s">
        <v>54</v>
      </c>
      <c r="U31" s="44"/>
      <c r="V31" s="44"/>
      <c r="W31" s="44" t="s">
        <v>31</v>
      </c>
      <c r="X31" s="44"/>
      <c r="Y31" s="52" t="s">
        <v>54</v>
      </c>
      <c r="Z31" s="44"/>
      <c r="AA31" s="45"/>
      <c r="AB31" s="51" t="s">
        <v>54</v>
      </c>
      <c r="AC31" s="44"/>
      <c r="AD31" s="44"/>
      <c r="AE31" s="44"/>
      <c r="AF31" s="44"/>
      <c r="AG31" s="44"/>
      <c r="AH31" s="44"/>
      <c r="AI31" s="44"/>
      <c r="AJ31" s="52" t="s">
        <v>54</v>
      </c>
      <c r="AK31" s="44"/>
      <c r="AL31" s="44"/>
      <c r="AM31" s="44"/>
      <c r="AN31" s="44"/>
      <c r="AO31" s="44"/>
      <c r="AP31" s="44"/>
      <c r="AQ31" s="44" t="s">
        <v>31</v>
      </c>
      <c r="AR31" s="89" t="s">
        <v>114</v>
      </c>
      <c r="AS31" s="44"/>
      <c r="AT31" s="44"/>
      <c r="AU31" s="44"/>
      <c r="AV31" s="44"/>
      <c r="AW31" s="44"/>
      <c r="AX31" s="44"/>
      <c r="AY31" s="45"/>
      <c r="AZ31" s="90" t="s">
        <v>114</v>
      </c>
      <c r="BA31" s="44"/>
      <c r="BB31" s="44"/>
      <c r="BC31" s="44"/>
      <c r="BD31" s="44"/>
      <c r="BE31" s="44"/>
      <c r="BF31" s="44"/>
      <c r="BG31" s="44"/>
      <c r="BH31" s="89" t="s">
        <v>114</v>
      </c>
      <c r="BI31" s="44"/>
      <c r="BJ31" s="44"/>
      <c r="BK31" s="44"/>
      <c r="BL31" s="44"/>
      <c r="BM31" s="44"/>
      <c r="BN31" s="44"/>
      <c r="BO31" s="44"/>
      <c r="BP31" s="44" t="s">
        <v>31</v>
      </c>
      <c r="BQ31" s="44"/>
      <c r="BR31" s="44"/>
      <c r="BS31" s="44"/>
      <c r="BT31" s="44"/>
      <c r="BU31" s="89" t="s">
        <v>115</v>
      </c>
      <c r="BV31" s="44"/>
      <c r="BW31" s="45"/>
      <c r="BX31" s="90" t="s">
        <v>115</v>
      </c>
      <c r="BY31" s="44"/>
      <c r="BZ31" s="44"/>
      <c r="CA31" s="44"/>
      <c r="CB31" s="44"/>
      <c r="CC31" s="44"/>
      <c r="CD31" s="44"/>
      <c r="CE31" s="44"/>
      <c r="CF31" s="89" t="s">
        <v>115</v>
      </c>
      <c r="CG31" s="44"/>
      <c r="CH31" s="44"/>
      <c r="CI31" s="44"/>
      <c r="CJ31" s="44"/>
      <c r="CK31" s="44"/>
      <c r="CL31" s="44"/>
      <c r="CM31" s="44"/>
      <c r="CN31" s="89" t="s">
        <v>115</v>
      </c>
      <c r="CO31" s="44"/>
      <c r="CP31" s="44"/>
      <c r="CQ31" s="44"/>
      <c r="CR31" s="44"/>
      <c r="CS31" s="44"/>
      <c r="CT31" s="44"/>
      <c r="CU31" s="45"/>
      <c r="CV31" s="43" t="s">
        <v>31</v>
      </c>
      <c r="CW31" s="52" t="s">
        <v>54</v>
      </c>
      <c r="CX31" s="44"/>
      <c r="CY31" s="44"/>
      <c r="CZ31" s="44"/>
      <c r="DA31" s="44"/>
      <c r="DB31" s="44"/>
      <c r="DC31" s="44"/>
      <c r="DD31" s="52" t="s">
        <v>54</v>
      </c>
      <c r="DE31" s="44"/>
      <c r="DF31" s="44"/>
      <c r="DG31" s="44"/>
      <c r="DH31" s="44"/>
      <c r="DI31" s="44"/>
      <c r="DJ31" s="44"/>
      <c r="DK31" s="44"/>
      <c r="DL31" s="52" t="s">
        <v>54</v>
      </c>
      <c r="DM31" s="44"/>
      <c r="DN31" s="44"/>
      <c r="DO31" s="44"/>
      <c r="DP31" s="44"/>
      <c r="DQ31" s="44"/>
      <c r="DR31" s="44"/>
      <c r="DS31" s="45"/>
      <c r="DT31" s="51" t="s">
        <v>54</v>
      </c>
      <c r="DU31" s="44"/>
      <c r="DV31" s="44"/>
      <c r="DW31" s="44"/>
      <c r="DX31" s="44"/>
      <c r="DY31" s="44"/>
      <c r="DZ31" s="44"/>
      <c r="EA31" s="44"/>
      <c r="EB31" s="52" t="s">
        <v>54</v>
      </c>
      <c r="EC31" s="44"/>
      <c r="ED31" s="44"/>
      <c r="EE31" s="44"/>
      <c r="EF31" s="44"/>
      <c r="EG31" s="44"/>
      <c r="EH31" s="44"/>
      <c r="EI31" s="44"/>
      <c r="EJ31" s="52" t="s">
        <v>54</v>
      </c>
      <c r="EK31" s="44"/>
      <c r="EL31" s="44"/>
      <c r="EM31" s="44"/>
      <c r="EN31" s="44"/>
      <c r="EO31" s="44"/>
      <c r="EP31" s="44"/>
      <c r="EQ31" s="45"/>
      <c r="ER31" s="43"/>
      <c r="ES31" s="44"/>
      <c r="ET31" s="44"/>
      <c r="EU31" s="44"/>
      <c r="EV31" s="44"/>
      <c r="EW31" s="44"/>
      <c r="EX31" s="44"/>
      <c r="EY31" s="44"/>
      <c r="EZ31" s="44"/>
      <c r="FA31" s="44"/>
      <c r="FB31" s="44"/>
      <c r="FC31" s="44"/>
      <c r="FD31" s="44"/>
      <c r="FE31" s="44"/>
      <c r="FF31" s="44"/>
      <c r="FG31" s="44"/>
      <c r="FH31" s="44"/>
      <c r="FI31" s="44"/>
      <c r="FJ31" s="44"/>
      <c r="FK31" s="44"/>
      <c r="FL31" s="44"/>
      <c r="FM31" s="44"/>
      <c r="FN31" s="44"/>
      <c r="FO31" s="45"/>
      <c r="FP31" s="36">
        <v>18000</v>
      </c>
      <c r="FQ31" s="37"/>
      <c r="FR31" s="37"/>
      <c r="FS31" s="37"/>
      <c r="FT31" s="37"/>
    </row>
    <row r="32" spans="1:176" s="3" customFormat="1" ht="109.95" customHeight="1" x14ac:dyDescent="0.35">
      <c r="A32" s="43" t="s">
        <v>25</v>
      </c>
      <c r="B32" s="44"/>
      <c r="C32" s="44"/>
      <c r="D32" s="43"/>
      <c r="E32" s="44"/>
      <c r="F32" s="44"/>
      <c r="G32" s="44"/>
      <c r="H32" s="44"/>
      <c r="I32" s="44"/>
      <c r="J32" s="44"/>
      <c r="K32" s="44"/>
      <c r="L32" s="49" t="s">
        <v>46</v>
      </c>
      <c r="M32" s="44" t="s">
        <v>117</v>
      </c>
      <c r="N32" s="44"/>
      <c r="O32" s="44"/>
      <c r="P32" s="44"/>
      <c r="Q32" s="44"/>
      <c r="R32" s="44"/>
      <c r="S32" s="44"/>
      <c r="T32" s="48" t="s">
        <v>117</v>
      </c>
      <c r="U32" s="44"/>
      <c r="V32" s="44"/>
      <c r="W32" s="49" t="s">
        <v>48</v>
      </c>
      <c r="X32" s="44"/>
      <c r="Y32" s="48" t="s">
        <v>56</v>
      </c>
      <c r="Z32" s="44"/>
      <c r="AA32" s="45"/>
      <c r="AB32" s="43" t="s">
        <v>56</v>
      </c>
      <c r="AC32" s="44"/>
      <c r="AD32" s="44"/>
      <c r="AE32" s="44"/>
      <c r="AF32" s="44"/>
      <c r="AG32" s="44"/>
      <c r="AH32" s="44"/>
      <c r="AI32" s="44"/>
      <c r="AJ32" s="44" t="s">
        <v>56</v>
      </c>
      <c r="AK32" s="44"/>
      <c r="AL32" s="44"/>
      <c r="AM32" s="44"/>
      <c r="AN32" s="44"/>
      <c r="AO32" s="44"/>
      <c r="AP32" s="44"/>
      <c r="AQ32" s="49" t="s">
        <v>34</v>
      </c>
      <c r="AR32" s="44" t="s">
        <v>56</v>
      </c>
      <c r="AS32" s="44"/>
      <c r="AT32" s="44"/>
      <c r="AU32" s="44"/>
      <c r="AV32" s="44"/>
      <c r="AW32" s="44"/>
      <c r="AX32" s="44"/>
      <c r="AY32" s="45"/>
      <c r="AZ32" s="43" t="s">
        <v>56</v>
      </c>
      <c r="BA32" s="44"/>
      <c r="BB32" s="44"/>
      <c r="BC32" s="44"/>
      <c r="BD32" s="44"/>
      <c r="BE32" s="44"/>
      <c r="BF32" s="44"/>
      <c r="BG32" s="44"/>
      <c r="BH32" s="44" t="s">
        <v>56</v>
      </c>
      <c r="BI32" s="44"/>
      <c r="BJ32" s="44"/>
      <c r="BK32" s="44"/>
      <c r="BL32" s="44"/>
      <c r="BM32" s="44"/>
      <c r="BN32" s="44"/>
      <c r="BO32" s="44"/>
      <c r="BP32" s="49" t="s">
        <v>118</v>
      </c>
      <c r="BQ32" s="44"/>
      <c r="BR32" s="44"/>
      <c r="BS32" s="44"/>
      <c r="BT32" s="44"/>
      <c r="BU32" s="48" t="s">
        <v>119</v>
      </c>
      <c r="BV32" s="44"/>
      <c r="BW32" s="45"/>
      <c r="BX32" s="43" t="s">
        <v>119</v>
      </c>
      <c r="BY32" s="44"/>
      <c r="BZ32" s="44"/>
      <c r="CA32" s="44"/>
      <c r="CB32" s="44"/>
      <c r="CC32" s="44"/>
      <c r="CD32" s="44"/>
      <c r="CE32" s="44"/>
      <c r="CF32" s="44" t="s">
        <v>119</v>
      </c>
      <c r="CG32" s="44"/>
      <c r="CH32" s="44"/>
      <c r="CI32" s="44"/>
      <c r="CJ32" s="44"/>
      <c r="CK32" s="44"/>
      <c r="CL32" s="44"/>
      <c r="CM32" s="44"/>
      <c r="CN32" s="44" t="s">
        <v>119</v>
      </c>
      <c r="CO32" s="44"/>
      <c r="CP32" s="44"/>
      <c r="CQ32" s="44"/>
      <c r="CR32" s="44"/>
      <c r="CS32" s="44"/>
      <c r="CT32" s="44"/>
      <c r="CU32" s="45"/>
      <c r="CV32" s="62" t="s">
        <v>34</v>
      </c>
      <c r="CW32" s="44" t="s">
        <v>55</v>
      </c>
      <c r="CX32" s="44"/>
      <c r="CY32" s="44"/>
      <c r="CZ32" s="44"/>
      <c r="DA32" s="44"/>
      <c r="DB32" s="44"/>
      <c r="DC32" s="44"/>
      <c r="DD32" s="44" t="s">
        <v>55</v>
      </c>
      <c r="DE32" s="44"/>
      <c r="DF32" s="44"/>
      <c r="DG32" s="44"/>
      <c r="DH32" s="44"/>
      <c r="DI32" s="44"/>
      <c r="DJ32" s="44"/>
      <c r="DK32" s="44"/>
      <c r="DL32" s="44" t="s">
        <v>55</v>
      </c>
      <c r="DM32" s="44"/>
      <c r="DN32" s="44"/>
      <c r="DO32" s="44"/>
      <c r="DP32" s="44"/>
      <c r="DQ32" s="44"/>
      <c r="DR32" s="44"/>
      <c r="DS32" s="45"/>
      <c r="DT32" s="43" t="s">
        <v>55</v>
      </c>
      <c r="DU32" s="44"/>
      <c r="DV32" s="44"/>
      <c r="DW32" s="44"/>
      <c r="DX32" s="44"/>
      <c r="DY32" s="44"/>
      <c r="DZ32" s="44"/>
      <c r="EA32" s="44"/>
      <c r="EB32" s="44" t="s">
        <v>55</v>
      </c>
      <c r="EC32" s="44"/>
      <c r="ED32" s="44"/>
      <c r="EE32" s="44"/>
      <c r="EF32" s="44"/>
      <c r="EG32" s="44"/>
      <c r="EH32" s="44"/>
      <c r="EI32" s="44"/>
      <c r="EJ32" s="44" t="s">
        <v>55</v>
      </c>
      <c r="EK32" s="44"/>
      <c r="EL32" s="44"/>
      <c r="EM32" s="44"/>
      <c r="EN32" s="44"/>
      <c r="EO32" s="44"/>
      <c r="EP32" s="48"/>
      <c r="EQ32" s="45"/>
      <c r="ER32" s="43"/>
      <c r="ES32" s="44"/>
      <c r="ET32" s="44"/>
      <c r="EU32" s="44"/>
      <c r="EV32" s="44"/>
      <c r="EW32" s="44"/>
      <c r="EX32" s="44"/>
      <c r="EY32" s="44"/>
      <c r="EZ32" s="44"/>
      <c r="FA32" s="44"/>
      <c r="FB32" s="44"/>
      <c r="FC32" s="44"/>
      <c r="FD32" s="44"/>
      <c r="FE32" s="44"/>
      <c r="FF32" s="44"/>
      <c r="FG32" s="44"/>
      <c r="FH32" s="44"/>
      <c r="FI32" s="44"/>
      <c r="FJ32" s="44"/>
      <c r="FK32" s="44"/>
      <c r="FL32" s="44"/>
      <c r="FM32" s="44"/>
      <c r="FN32" s="44"/>
      <c r="FO32" s="45"/>
      <c r="FP32" s="37"/>
      <c r="FQ32" s="37"/>
      <c r="FR32" s="37"/>
      <c r="FS32" s="37"/>
      <c r="FT32" s="37"/>
    </row>
    <row r="33" spans="1:207" s="3" customFormat="1" ht="60" customHeight="1" x14ac:dyDescent="0.35">
      <c r="A33" s="43" t="s">
        <v>27</v>
      </c>
      <c r="B33" s="44"/>
      <c r="C33" s="44"/>
      <c r="D33" s="43"/>
      <c r="E33" s="44"/>
      <c r="F33" s="44"/>
      <c r="G33" s="44"/>
      <c r="H33" s="44"/>
      <c r="I33" s="44"/>
      <c r="J33" s="44"/>
      <c r="K33" s="44"/>
      <c r="L33" s="48"/>
      <c r="M33" s="44">
        <v>2264</v>
      </c>
      <c r="N33" s="44"/>
      <c r="O33" s="44"/>
      <c r="P33" s="44"/>
      <c r="Q33" s="44"/>
      <c r="R33" s="44"/>
      <c r="S33" s="44"/>
      <c r="T33" s="48">
        <v>936</v>
      </c>
      <c r="U33" s="44"/>
      <c r="V33" s="44"/>
      <c r="W33" s="48"/>
      <c r="X33" s="44"/>
      <c r="Y33" s="48">
        <v>670</v>
      </c>
      <c r="Z33" s="44"/>
      <c r="AA33" s="45"/>
      <c r="AB33" s="43">
        <v>1725</v>
      </c>
      <c r="AC33" s="44"/>
      <c r="AD33" s="44"/>
      <c r="AE33" s="44"/>
      <c r="AF33" s="44"/>
      <c r="AG33" s="44"/>
      <c r="AH33" s="44"/>
      <c r="AI33" s="44"/>
      <c r="AJ33" s="44">
        <v>1605</v>
      </c>
      <c r="AK33" s="44"/>
      <c r="AL33" s="44"/>
      <c r="AM33" s="44"/>
      <c r="AN33" s="44"/>
      <c r="AO33" s="44"/>
      <c r="AP33" s="44"/>
      <c r="AQ33" s="48"/>
      <c r="AR33" s="44">
        <v>1628</v>
      </c>
      <c r="AS33" s="44"/>
      <c r="AT33" s="44"/>
      <c r="AU33" s="44"/>
      <c r="AV33" s="44"/>
      <c r="AW33" s="44"/>
      <c r="AX33" s="44"/>
      <c r="AY33" s="45"/>
      <c r="AZ33" s="43">
        <v>1725</v>
      </c>
      <c r="BA33" s="44"/>
      <c r="BB33" s="44"/>
      <c r="BC33" s="44"/>
      <c r="BD33" s="44"/>
      <c r="BE33" s="44"/>
      <c r="BF33" s="44"/>
      <c r="BG33" s="44"/>
      <c r="BH33" s="44">
        <v>1647</v>
      </c>
      <c r="BI33" s="44"/>
      <c r="BJ33" s="44"/>
      <c r="BK33" s="44"/>
      <c r="BL33" s="44"/>
      <c r="BM33" s="44"/>
      <c r="BN33" s="44"/>
      <c r="BO33" s="44"/>
      <c r="BP33" s="48"/>
      <c r="BQ33" s="44"/>
      <c r="BR33" s="44"/>
      <c r="BS33" s="44"/>
      <c r="BT33" s="44"/>
      <c r="BU33" s="48">
        <v>269</v>
      </c>
      <c r="BV33" s="44"/>
      <c r="BW33" s="45"/>
      <c r="BX33" s="43">
        <v>641</v>
      </c>
      <c r="BY33" s="44"/>
      <c r="BZ33" s="44"/>
      <c r="CA33" s="44"/>
      <c r="CB33" s="44"/>
      <c r="CC33" s="44"/>
      <c r="CD33" s="44"/>
      <c r="CE33" s="44"/>
      <c r="CF33" s="44">
        <v>641</v>
      </c>
      <c r="CG33" s="44"/>
      <c r="CH33" s="44"/>
      <c r="CI33" s="44"/>
      <c r="CJ33" s="44"/>
      <c r="CK33" s="44"/>
      <c r="CL33" s="44"/>
      <c r="CM33" s="44"/>
      <c r="CN33" s="44">
        <v>641</v>
      </c>
      <c r="CO33" s="44"/>
      <c r="CP33" s="44"/>
      <c r="CQ33" s="44"/>
      <c r="CR33" s="44"/>
      <c r="CS33" s="44"/>
      <c r="CT33" s="44"/>
      <c r="CU33" s="45"/>
      <c r="CV33" s="46">
        <v>8</v>
      </c>
      <c r="CW33" s="44">
        <v>552</v>
      </c>
      <c r="CX33" s="44"/>
      <c r="CY33" s="44"/>
      <c r="CZ33" s="44"/>
      <c r="DA33" s="44"/>
      <c r="DB33" s="44"/>
      <c r="DC33" s="44"/>
      <c r="DD33" s="44">
        <v>641</v>
      </c>
      <c r="DE33" s="44"/>
      <c r="DF33" s="44"/>
      <c r="DG33" s="44"/>
      <c r="DH33" s="44"/>
      <c r="DI33" s="44"/>
      <c r="DJ33" s="44"/>
      <c r="DK33" s="44"/>
      <c r="DL33" s="44">
        <v>641</v>
      </c>
      <c r="DM33" s="44"/>
      <c r="DN33" s="44"/>
      <c r="DO33" s="44"/>
      <c r="DP33" s="44"/>
      <c r="DQ33" s="44"/>
      <c r="DR33" s="44"/>
      <c r="DS33" s="45"/>
      <c r="DT33" s="43">
        <v>641</v>
      </c>
      <c r="DU33" s="44"/>
      <c r="DV33" s="44"/>
      <c r="DW33" s="44"/>
      <c r="DX33" s="44"/>
      <c r="DY33" s="44"/>
      <c r="DZ33" s="44"/>
      <c r="EA33" s="44"/>
      <c r="EB33" s="44">
        <v>641</v>
      </c>
      <c r="EC33" s="44"/>
      <c r="ED33" s="44"/>
      <c r="EE33" s="44"/>
      <c r="EF33" s="44"/>
      <c r="EG33" s="44"/>
      <c r="EH33" s="44"/>
      <c r="EI33" s="44"/>
      <c r="EJ33" s="44">
        <v>484</v>
      </c>
      <c r="EK33" s="44"/>
      <c r="EL33" s="44"/>
      <c r="EM33" s="44"/>
      <c r="EN33" s="44"/>
      <c r="EO33" s="44"/>
      <c r="EP33" s="48"/>
      <c r="EQ33" s="45"/>
      <c r="ER33" s="43"/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44"/>
      <c r="FG33" s="44"/>
      <c r="FH33" s="44"/>
      <c r="FI33" s="44"/>
      <c r="FJ33" s="44"/>
      <c r="FK33" s="44"/>
      <c r="FL33" s="44"/>
      <c r="FM33" s="44"/>
      <c r="FN33" s="44"/>
      <c r="FO33" s="45"/>
      <c r="FP33" s="37"/>
      <c r="FQ33" s="37"/>
      <c r="FR33" s="37"/>
      <c r="FS33" s="37"/>
      <c r="FT33" s="37"/>
    </row>
    <row r="34" spans="1:207" s="3" customFormat="1" ht="60" customHeight="1" x14ac:dyDescent="0.35">
      <c r="A34" s="43" t="s">
        <v>28</v>
      </c>
      <c r="B34" s="44"/>
      <c r="C34" s="44"/>
      <c r="D34" s="33">
        <v>3870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5"/>
      <c r="AB34" s="33">
        <v>4958</v>
      </c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5"/>
      <c r="AZ34" s="33">
        <v>3641</v>
      </c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5"/>
      <c r="BX34" s="33">
        <v>1923</v>
      </c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5"/>
      <c r="CV34" s="33">
        <v>1842</v>
      </c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5"/>
      <c r="DT34" s="33">
        <v>1766</v>
      </c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34"/>
      <c r="EH34" s="34"/>
      <c r="EI34" s="34"/>
      <c r="EJ34" s="34"/>
      <c r="EK34" s="34"/>
      <c r="EL34" s="34"/>
      <c r="EM34" s="34"/>
      <c r="EN34" s="34"/>
      <c r="EO34" s="34"/>
      <c r="EP34" s="34"/>
      <c r="EQ34" s="35"/>
      <c r="ER34" s="33">
        <v>0</v>
      </c>
      <c r="ES34" s="34"/>
      <c r="ET34" s="34"/>
      <c r="EU34" s="34"/>
      <c r="EV34" s="34"/>
      <c r="EW34" s="34"/>
      <c r="EX34" s="34"/>
      <c r="EY34" s="34"/>
      <c r="EZ34" s="34"/>
      <c r="FA34" s="34"/>
      <c r="FB34" s="34"/>
      <c r="FC34" s="34"/>
      <c r="FD34" s="34"/>
      <c r="FE34" s="34"/>
      <c r="FF34" s="34"/>
      <c r="FG34" s="34"/>
      <c r="FH34" s="34"/>
      <c r="FI34" s="34"/>
      <c r="FJ34" s="34"/>
      <c r="FK34" s="34"/>
      <c r="FL34" s="34"/>
      <c r="FM34" s="34"/>
      <c r="FN34" s="34"/>
      <c r="FO34" s="35"/>
      <c r="FP34" s="37"/>
      <c r="FQ34" s="37"/>
      <c r="FR34" s="37"/>
      <c r="FS34" s="37"/>
      <c r="FT34" s="37"/>
    </row>
    <row r="35" spans="1:207" s="3" customFormat="1" ht="60" customHeight="1" x14ac:dyDescent="0.35">
      <c r="A35" s="43" t="s">
        <v>31</v>
      </c>
      <c r="B35" s="44"/>
      <c r="C35" s="44"/>
      <c r="D35" s="43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5"/>
      <c r="AB35" s="43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5"/>
      <c r="AZ35" s="43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5"/>
      <c r="BX35" s="43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5"/>
      <c r="CV35" s="43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5"/>
      <c r="DT35" s="43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O35" s="44"/>
      <c r="EP35" s="44"/>
      <c r="EQ35" s="45"/>
      <c r="ER35" s="43"/>
      <c r="ES35" s="44"/>
      <c r="ET35" s="44"/>
      <c r="EU35" s="44"/>
      <c r="EV35" s="44"/>
      <c r="EW35" s="44"/>
      <c r="EX35" s="44"/>
      <c r="EY35" s="44"/>
      <c r="EZ35" s="44"/>
      <c r="FA35" s="44"/>
      <c r="FB35" s="44"/>
      <c r="FC35" s="44"/>
      <c r="FD35" s="44"/>
      <c r="FE35" s="44"/>
      <c r="FF35" s="44"/>
      <c r="FG35" s="44"/>
      <c r="FH35" s="44"/>
      <c r="FI35" s="44"/>
      <c r="FJ35" s="44"/>
      <c r="FK35" s="44"/>
      <c r="FL35" s="44"/>
      <c r="FM35" s="44"/>
      <c r="FN35" s="44"/>
      <c r="FO35" s="45"/>
      <c r="FP35" s="36">
        <v>0</v>
      </c>
      <c r="FQ35" s="37"/>
      <c r="FR35" s="37"/>
      <c r="FS35" s="37"/>
      <c r="FT35" s="37"/>
    </row>
    <row r="36" spans="1:207" s="3" customFormat="1" ht="109.95" customHeight="1" x14ac:dyDescent="0.35">
      <c r="A36" s="43" t="s">
        <v>25</v>
      </c>
      <c r="B36" s="44"/>
      <c r="C36" s="44"/>
      <c r="D36" s="43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5"/>
      <c r="AB36" s="43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5"/>
      <c r="AZ36" s="43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5"/>
      <c r="BX36" s="43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5"/>
      <c r="CV36" s="43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5"/>
      <c r="DT36" s="43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5"/>
      <c r="ER36" s="43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4"/>
      <c r="FN36" s="44"/>
      <c r="FO36" s="45"/>
      <c r="FP36" s="37"/>
      <c r="FQ36" s="37"/>
      <c r="FR36" s="37"/>
      <c r="FS36" s="37"/>
      <c r="FT36" s="37"/>
    </row>
    <row r="37" spans="1:207" s="3" customFormat="1" ht="60" customHeight="1" x14ac:dyDescent="0.35">
      <c r="A37" s="43" t="s">
        <v>27</v>
      </c>
      <c r="B37" s="44"/>
      <c r="C37" s="44"/>
      <c r="D37" s="43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5"/>
      <c r="AB37" s="43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5"/>
      <c r="AZ37" s="43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5"/>
      <c r="BX37" s="43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5"/>
      <c r="CV37" s="43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5"/>
      <c r="DT37" s="43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  <c r="EL37" s="44"/>
      <c r="EM37" s="44"/>
      <c r="EN37" s="44"/>
      <c r="EO37" s="44"/>
      <c r="EP37" s="44"/>
      <c r="EQ37" s="45"/>
      <c r="ER37" s="43"/>
      <c r="ES37" s="44"/>
      <c r="ET37" s="44"/>
      <c r="EU37" s="44"/>
      <c r="EV37" s="44"/>
      <c r="EW37" s="44"/>
      <c r="EX37" s="44"/>
      <c r="EY37" s="44"/>
      <c r="EZ37" s="44"/>
      <c r="FA37" s="44"/>
      <c r="FB37" s="44"/>
      <c r="FC37" s="44"/>
      <c r="FD37" s="44"/>
      <c r="FE37" s="44"/>
      <c r="FF37" s="44"/>
      <c r="FG37" s="44"/>
      <c r="FH37" s="44"/>
      <c r="FI37" s="44"/>
      <c r="FJ37" s="44"/>
      <c r="FK37" s="44"/>
      <c r="FL37" s="44"/>
      <c r="FM37" s="44"/>
      <c r="FN37" s="44"/>
      <c r="FO37" s="45"/>
      <c r="FP37" s="37"/>
      <c r="FQ37" s="37"/>
      <c r="FR37" s="37"/>
      <c r="FS37" s="37"/>
      <c r="FT37" s="37"/>
    </row>
    <row r="38" spans="1:207" s="3" customFormat="1" ht="60" customHeight="1" x14ac:dyDescent="0.35">
      <c r="A38" s="43" t="s">
        <v>28</v>
      </c>
      <c r="B38" s="44"/>
      <c r="C38" s="44"/>
      <c r="D38" s="33">
        <v>0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5"/>
      <c r="AB38" s="33">
        <v>0</v>
      </c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5"/>
      <c r="AZ38" s="33">
        <v>0</v>
      </c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5"/>
      <c r="BX38" s="33">
        <v>0</v>
      </c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5"/>
      <c r="CV38" s="33">
        <v>0</v>
      </c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5"/>
      <c r="DT38" s="33">
        <v>0</v>
      </c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5"/>
      <c r="ER38" s="33">
        <v>0</v>
      </c>
      <c r="ES38" s="34"/>
      <c r="ET38" s="34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  <c r="FI38" s="34"/>
      <c r="FJ38" s="34"/>
      <c r="FK38" s="34"/>
      <c r="FL38" s="34"/>
      <c r="FM38" s="34"/>
      <c r="FN38" s="34"/>
      <c r="FO38" s="35"/>
      <c r="FP38" s="37"/>
      <c r="FQ38" s="37"/>
      <c r="FR38" s="37"/>
      <c r="FS38" s="37"/>
      <c r="FT38" s="37"/>
    </row>
    <row r="39" spans="1:207" s="3" customFormat="1" ht="64.95" customHeight="1" x14ac:dyDescent="0.35">
      <c r="A39" s="38" t="s">
        <v>57</v>
      </c>
      <c r="B39" s="39"/>
      <c r="C39" s="39"/>
      <c r="D39" s="40">
        <v>17554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2"/>
      <c r="AB39" s="40">
        <v>18668</v>
      </c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2"/>
      <c r="AZ39" s="40">
        <v>14536</v>
      </c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2"/>
      <c r="BX39" s="40">
        <v>15191</v>
      </c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2"/>
      <c r="CV39" s="40">
        <v>15273</v>
      </c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2"/>
      <c r="DT39" s="40">
        <v>13947</v>
      </c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2"/>
      <c r="ER39" s="40">
        <v>12204</v>
      </c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2"/>
      <c r="FP39" s="37">
        <v>107373</v>
      </c>
      <c r="FQ39" s="37"/>
      <c r="FR39" s="37"/>
      <c r="FS39" s="37"/>
      <c r="FT39" s="37"/>
    </row>
    <row r="41" spans="1:207" x14ac:dyDescent="0.35">
      <c r="A41" s="21" t="s">
        <v>58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BB41" s="21" t="s">
        <v>59</v>
      </c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X41" s="21" t="s">
        <v>60</v>
      </c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</row>
    <row r="42" spans="1:207" x14ac:dyDescent="0.35">
      <c r="A42" s="21" t="s">
        <v>61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 t="s">
        <v>62</v>
      </c>
      <c r="M42" s="21"/>
      <c r="N42" s="21"/>
      <c r="O42" s="21"/>
      <c r="P42" s="21"/>
      <c r="Q42" s="21"/>
      <c r="R42" s="21"/>
      <c r="S42" s="21"/>
      <c r="T42" s="21" t="s">
        <v>63</v>
      </c>
      <c r="U42" s="21"/>
      <c r="V42" s="21"/>
      <c r="W42" s="21"/>
      <c r="X42" s="21"/>
      <c r="Y42" s="21"/>
      <c r="Z42" s="21"/>
      <c r="AA42" s="21"/>
      <c r="AB42" s="21" t="s">
        <v>64</v>
      </c>
      <c r="AC42" s="21"/>
      <c r="AD42" s="21"/>
      <c r="AE42" s="21"/>
      <c r="AF42" s="21"/>
      <c r="AG42" s="21"/>
      <c r="AH42" s="21"/>
      <c r="AI42" s="21"/>
      <c r="AJ42" s="21" t="s">
        <v>65</v>
      </c>
      <c r="AK42" s="21"/>
      <c r="AL42" s="21"/>
      <c r="AM42" s="21"/>
      <c r="AN42" s="21"/>
      <c r="AO42" s="21"/>
      <c r="AP42" s="21"/>
      <c r="AQ42" s="21"/>
      <c r="AR42" s="21" t="s">
        <v>66</v>
      </c>
      <c r="AS42" s="21"/>
      <c r="AT42" s="21"/>
      <c r="AU42" s="21"/>
      <c r="AV42" s="21"/>
      <c r="AW42" s="21"/>
      <c r="AX42" s="21"/>
      <c r="AY42" s="21"/>
      <c r="BB42" s="21" t="s">
        <v>67</v>
      </c>
      <c r="BC42" s="21"/>
      <c r="BD42" s="21"/>
      <c r="BE42" s="21"/>
      <c r="BF42" s="21"/>
      <c r="BG42" s="21"/>
      <c r="BH42" s="21"/>
      <c r="BI42" s="21"/>
      <c r="BJ42" s="21" t="s">
        <v>61</v>
      </c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 t="s">
        <v>62</v>
      </c>
      <c r="CA42" s="21"/>
      <c r="CB42" s="21"/>
      <c r="CC42" s="21"/>
      <c r="CD42" s="21"/>
      <c r="CE42" s="21"/>
      <c r="CF42" s="21"/>
      <c r="CG42" s="21"/>
      <c r="CH42" s="21" t="s">
        <v>68</v>
      </c>
      <c r="CI42" s="21"/>
      <c r="CJ42" s="21"/>
      <c r="CK42" s="21"/>
      <c r="CL42" s="21"/>
      <c r="CM42" s="21"/>
      <c r="CN42" s="21"/>
      <c r="CO42" s="21"/>
      <c r="CP42" s="21" t="s">
        <v>63</v>
      </c>
      <c r="CQ42" s="21"/>
      <c r="CR42" s="21"/>
      <c r="CS42" s="21"/>
      <c r="CT42" s="21"/>
      <c r="CU42" s="21"/>
      <c r="CV42" s="21"/>
      <c r="CW42" s="21"/>
      <c r="CX42" s="21" t="s">
        <v>64</v>
      </c>
      <c r="CY42" s="21"/>
      <c r="CZ42" s="21"/>
      <c r="DA42" s="21"/>
      <c r="DB42" s="21"/>
      <c r="DC42" s="21"/>
      <c r="DD42" s="21"/>
      <c r="DE42" s="21"/>
      <c r="DF42" s="21" t="s">
        <v>65</v>
      </c>
      <c r="DG42" s="21"/>
      <c r="DH42" s="21"/>
      <c r="DI42" s="21"/>
      <c r="DJ42" s="21"/>
      <c r="DK42" s="21"/>
      <c r="DL42" s="21"/>
      <c r="DM42" s="21"/>
      <c r="DN42" s="21" t="s">
        <v>66</v>
      </c>
      <c r="DO42" s="21"/>
      <c r="DP42" s="21"/>
      <c r="DQ42" s="21"/>
      <c r="DR42" s="21"/>
      <c r="DS42" s="21"/>
      <c r="DT42" s="21"/>
      <c r="DU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 t="s">
        <v>23</v>
      </c>
      <c r="EO42" s="21"/>
      <c r="EP42" s="21"/>
      <c r="EQ42" s="21"/>
      <c r="ER42" s="21"/>
      <c r="ES42" s="21"/>
      <c r="ET42" s="21"/>
      <c r="EU42" s="21"/>
      <c r="EV42" s="21" t="s">
        <v>29</v>
      </c>
      <c r="EW42" s="21"/>
      <c r="EX42" s="21"/>
      <c r="EY42" s="21"/>
      <c r="EZ42" s="21"/>
      <c r="FA42" s="21"/>
      <c r="FB42" s="21"/>
      <c r="FC42" s="21"/>
      <c r="FD42" s="21" t="s">
        <v>36</v>
      </c>
      <c r="FE42" s="21"/>
      <c r="FF42" s="21"/>
      <c r="FG42" s="21"/>
      <c r="FH42" s="21"/>
      <c r="FI42" s="21"/>
      <c r="FJ42" s="21"/>
      <c r="FK42" s="21"/>
      <c r="FL42" s="21" t="s">
        <v>41</v>
      </c>
      <c r="FM42" s="21"/>
      <c r="FN42" s="21"/>
      <c r="FO42" s="21"/>
      <c r="FP42" s="21"/>
      <c r="FQ42" s="21"/>
      <c r="FR42" s="21"/>
      <c r="FS42" s="21"/>
      <c r="FT42" s="21" t="s">
        <v>50</v>
      </c>
      <c r="FU42" s="21"/>
      <c r="FV42" s="21"/>
      <c r="FW42" s="21"/>
      <c r="FX42" s="21"/>
      <c r="FY42" s="21"/>
      <c r="FZ42" s="21"/>
      <c r="GA42" s="21"/>
      <c r="GB42" s="21" t="s">
        <v>53</v>
      </c>
      <c r="GC42" s="21"/>
      <c r="GD42" s="21"/>
      <c r="GE42" s="21"/>
      <c r="GF42" s="21"/>
      <c r="GG42" s="21"/>
      <c r="GH42" s="21"/>
      <c r="GI42" s="21"/>
      <c r="GJ42" s="21" t="s">
        <v>31</v>
      </c>
      <c r="GK42" s="21"/>
      <c r="GL42" s="21"/>
      <c r="GM42" s="21"/>
      <c r="GN42" s="21"/>
      <c r="GO42" s="21"/>
      <c r="GP42" s="21"/>
      <c r="GQ42" s="21"/>
      <c r="GR42" s="21" t="s">
        <v>69</v>
      </c>
      <c r="GS42" s="21"/>
      <c r="GT42" s="21"/>
      <c r="GU42" s="21"/>
      <c r="GV42" s="21"/>
      <c r="GW42" s="21"/>
      <c r="GX42" s="21"/>
      <c r="GY42" s="21"/>
    </row>
    <row r="43" spans="1:207" ht="25.2" x14ac:dyDescent="0.35">
      <c r="A43" s="21" t="s">
        <v>70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6">
        <v>9494</v>
      </c>
      <c r="M43" s="26"/>
      <c r="N43" s="26"/>
      <c r="O43" s="26"/>
      <c r="P43" s="26"/>
      <c r="Q43" s="26"/>
      <c r="R43" s="26"/>
      <c r="S43" s="26"/>
      <c r="T43" s="26">
        <v>1000</v>
      </c>
      <c r="U43" s="26"/>
      <c r="V43" s="26"/>
      <c r="W43" s="26"/>
      <c r="X43" s="26"/>
      <c r="Y43" s="26"/>
      <c r="Z43" s="26"/>
      <c r="AA43" s="26"/>
      <c r="AB43" s="26">
        <v>13</v>
      </c>
      <c r="AC43" s="26"/>
      <c r="AD43" s="26"/>
      <c r="AE43" s="26"/>
      <c r="AF43" s="26"/>
      <c r="AG43" s="26"/>
      <c r="AH43" s="26"/>
      <c r="AI43" s="26"/>
      <c r="AJ43" s="26">
        <v>3400</v>
      </c>
      <c r="AK43" s="26"/>
      <c r="AL43" s="26"/>
      <c r="AM43" s="26"/>
      <c r="AN43" s="26"/>
      <c r="AO43" s="26"/>
      <c r="AP43" s="26"/>
      <c r="AQ43" s="26"/>
      <c r="AR43" s="26">
        <v>340000</v>
      </c>
      <c r="AS43" s="26"/>
      <c r="AT43" s="26"/>
      <c r="AU43" s="26"/>
      <c r="AV43" s="26"/>
      <c r="AW43" s="26"/>
      <c r="AX43" s="26"/>
      <c r="AY43" s="26"/>
      <c r="BB43" s="21" t="s">
        <v>23</v>
      </c>
      <c r="BC43" s="21"/>
      <c r="BD43" s="21"/>
      <c r="BE43" s="21"/>
      <c r="BF43" s="21"/>
      <c r="BG43" s="21"/>
      <c r="BH43" s="21"/>
      <c r="BI43" s="21"/>
      <c r="BJ43" s="21" t="s">
        <v>71</v>
      </c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6">
        <v>3617</v>
      </c>
      <c r="CA43" s="26"/>
      <c r="CB43" s="26"/>
      <c r="CC43" s="26"/>
      <c r="CD43" s="26"/>
      <c r="CE43" s="26"/>
      <c r="CF43" s="26"/>
      <c r="CG43" s="26"/>
      <c r="CH43" s="26">
        <v>80</v>
      </c>
      <c r="CI43" s="26"/>
      <c r="CJ43" s="26"/>
      <c r="CK43" s="26"/>
      <c r="CL43" s="26"/>
      <c r="CM43" s="26"/>
      <c r="CN43" s="26"/>
      <c r="CO43" s="26"/>
      <c r="CP43" s="26">
        <v>175</v>
      </c>
      <c r="CQ43" s="26"/>
      <c r="CR43" s="26"/>
      <c r="CS43" s="26"/>
      <c r="CT43" s="26"/>
      <c r="CU43" s="26"/>
      <c r="CV43" s="26"/>
      <c r="CW43" s="26"/>
      <c r="CX43" s="26">
        <v>38</v>
      </c>
      <c r="CY43" s="26"/>
      <c r="CZ43" s="26"/>
      <c r="DA43" s="26"/>
      <c r="DB43" s="26"/>
      <c r="DC43" s="26"/>
      <c r="DD43" s="26"/>
      <c r="DE43" s="26"/>
      <c r="DF43" s="26">
        <v>12613</v>
      </c>
      <c r="DG43" s="26"/>
      <c r="DH43" s="26"/>
      <c r="DI43" s="26"/>
      <c r="DJ43" s="26"/>
      <c r="DK43" s="26"/>
      <c r="DL43" s="26"/>
      <c r="DM43" s="26"/>
      <c r="DN43" s="26">
        <v>7207423</v>
      </c>
      <c r="DO43" s="26"/>
      <c r="DP43" s="26"/>
      <c r="DQ43" s="26"/>
      <c r="DR43" s="26"/>
      <c r="DS43" s="26"/>
      <c r="DT43" s="26"/>
      <c r="DU43" s="26"/>
      <c r="DX43" s="21" t="s">
        <v>48</v>
      </c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4">
        <v>0</v>
      </c>
      <c r="EO43" s="21"/>
      <c r="EP43" s="21"/>
      <c r="EQ43" s="21"/>
      <c r="ER43" s="21"/>
      <c r="ES43" s="21"/>
      <c r="ET43" s="21"/>
      <c r="EU43" s="21"/>
      <c r="EV43" s="24">
        <v>0</v>
      </c>
      <c r="EW43" s="21"/>
      <c r="EX43" s="21"/>
      <c r="EY43" s="21"/>
      <c r="EZ43" s="21"/>
      <c r="FA43" s="21"/>
      <c r="FB43" s="21"/>
      <c r="FC43" s="21"/>
      <c r="FD43" s="24">
        <v>4</v>
      </c>
      <c r="FE43" s="21"/>
      <c r="FF43" s="21"/>
      <c r="FG43" s="21"/>
      <c r="FH43" s="21"/>
      <c r="FI43" s="21"/>
      <c r="FJ43" s="21"/>
      <c r="FK43" s="21"/>
      <c r="FL43" s="24">
        <v>9</v>
      </c>
      <c r="FM43" s="21"/>
      <c r="FN43" s="21"/>
      <c r="FO43" s="21"/>
      <c r="FP43" s="21"/>
      <c r="FQ43" s="21"/>
      <c r="FR43" s="21"/>
      <c r="FS43" s="21"/>
      <c r="FT43" s="24">
        <v>0</v>
      </c>
      <c r="FU43" s="21"/>
      <c r="FV43" s="21"/>
      <c r="FW43" s="21"/>
      <c r="FX43" s="21"/>
      <c r="FY43" s="21"/>
      <c r="FZ43" s="21"/>
      <c r="GA43" s="21"/>
      <c r="GB43" s="24">
        <v>2</v>
      </c>
      <c r="GC43" s="21"/>
      <c r="GD43" s="21"/>
      <c r="GE43" s="21"/>
      <c r="GF43" s="21"/>
      <c r="GG43" s="21"/>
      <c r="GH43" s="21"/>
      <c r="GI43" s="21"/>
      <c r="GJ43" s="24">
        <v>0</v>
      </c>
      <c r="GK43" s="21"/>
      <c r="GL43" s="21"/>
      <c r="GM43" s="21"/>
      <c r="GN43" s="21"/>
      <c r="GO43" s="21"/>
      <c r="GP43" s="21"/>
      <c r="GQ43" s="21"/>
      <c r="GR43" s="24">
        <f t="shared" ref="GR43:GR49" si="0">SUM(EN43:GQ43)</f>
        <v>15</v>
      </c>
      <c r="GS43" s="21"/>
      <c r="GT43" s="21"/>
      <c r="GU43" s="21"/>
      <c r="GV43" s="21"/>
      <c r="GW43" s="21"/>
      <c r="GX43" s="21"/>
      <c r="GY43" s="21"/>
    </row>
    <row r="44" spans="1:207" ht="25.2" x14ac:dyDescent="0.35">
      <c r="A44" s="21" t="s">
        <v>166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6">
        <v>9482</v>
      </c>
      <c r="M44" s="26"/>
      <c r="N44" s="26"/>
      <c r="O44" s="26"/>
      <c r="P44" s="26"/>
      <c r="Q44" s="26"/>
      <c r="R44" s="26"/>
      <c r="S44" s="26"/>
      <c r="T44" s="26">
        <v>1000</v>
      </c>
      <c r="U44" s="26"/>
      <c r="V44" s="26"/>
      <c r="W44" s="26"/>
      <c r="X44" s="26"/>
      <c r="Y44" s="26"/>
      <c r="Z44" s="26"/>
      <c r="AA44" s="26"/>
      <c r="AB44" s="26">
        <v>13</v>
      </c>
      <c r="AC44" s="26"/>
      <c r="AD44" s="26"/>
      <c r="AE44" s="26"/>
      <c r="AF44" s="26"/>
      <c r="AG44" s="26"/>
      <c r="AH44" s="26"/>
      <c r="AI44" s="26"/>
      <c r="AJ44" s="26">
        <v>2000</v>
      </c>
      <c r="AK44" s="26"/>
      <c r="AL44" s="26"/>
      <c r="AM44" s="26"/>
      <c r="AN44" s="26"/>
      <c r="AO44" s="26"/>
      <c r="AP44" s="26"/>
      <c r="AQ44" s="26"/>
      <c r="AR44" s="26">
        <v>200000</v>
      </c>
      <c r="AS44" s="26"/>
      <c r="AT44" s="26"/>
      <c r="AU44" s="26"/>
      <c r="AV44" s="26"/>
      <c r="AW44" s="26"/>
      <c r="AX44" s="26"/>
      <c r="AY44" s="26"/>
      <c r="BB44" s="21" t="s">
        <v>29</v>
      </c>
      <c r="BC44" s="21"/>
      <c r="BD44" s="21"/>
      <c r="BE44" s="21"/>
      <c r="BF44" s="21"/>
      <c r="BG44" s="21"/>
      <c r="BH44" s="21"/>
      <c r="BI44" s="21"/>
      <c r="BJ44" s="21" t="s">
        <v>72</v>
      </c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6">
        <v>3128</v>
      </c>
      <c r="CA44" s="26"/>
      <c r="CB44" s="26"/>
      <c r="CC44" s="26"/>
      <c r="CD44" s="26"/>
      <c r="CE44" s="26"/>
      <c r="CF44" s="26"/>
      <c r="CG44" s="26"/>
      <c r="CH44" s="26">
        <v>74</v>
      </c>
      <c r="CI44" s="26"/>
      <c r="CJ44" s="26"/>
      <c r="CK44" s="26"/>
      <c r="CL44" s="26"/>
      <c r="CM44" s="26"/>
      <c r="CN44" s="26"/>
      <c r="CO44" s="26"/>
      <c r="CP44" s="26">
        <v>330</v>
      </c>
      <c r="CQ44" s="26"/>
      <c r="CR44" s="26"/>
      <c r="CS44" s="26"/>
      <c r="CT44" s="26"/>
      <c r="CU44" s="26"/>
      <c r="CV44" s="26"/>
      <c r="CW44" s="26"/>
      <c r="CX44" s="26">
        <v>30</v>
      </c>
      <c r="CY44" s="26"/>
      <c r="CZ44" s="26"/>
      <c r="DA44" s="26"/>
      <c r="DB44" s="26"/>
      <c r="DC44" s="26"/>
      <c r="DD44" s="26"/>
      <c r="DE44" s="26"/>
      <c r="DF44" s="26">
        <v>7792</v>
      </c>
      <c r="DG44" s="26"/>
      <c r="DH44" s="26"/>
      <c r="DI44" s="26"/>
      <c r="DJ44" s="26"/>
      <c r="DK44" s="26"/>
      <c r="DL44" s="26"/>
      <c r="DM44" s="26"/>
      <c r="DN44" s="26">
        <v>2361214</v>
      </c>
      <c r="DO44" s="26"/>
      <c r="DP44" s="26"/>
      <c r="DQ44" s="26"/>
      <c r="DR44" s="26"/>
      <c r="DS44" s="26"/>
      <c r="DT44" s="26"/>
      <c r="DU44" s="26"/>
      <c r="DX44" s="21" t="s">
        <v>34</v>
      </c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4">
        <v>0</v>
      </c>
      <c r="EO44" s="21"/>
      <c r="EP44" s="21"/>
      <c r="EQ44" s="21"/>
      <c r="ER44" s="21"/>
      <c r="ES44" s="21"/>
      <c r="ET44" s="21"/>
      <c r="EU44" s="21"/>
      <c r="EV44" s="24">
        <v>3</v>
      </c>
      <c r="EW44" s="21"/>
      <c r="EX44" s="21"/>
      <c r="EY44" s="21"/>
      <c r="EZ44" s="21"/>
      <c r="FA44" s="21"/>
      <c r="FB44" s="21"/>
      <c r="FC44" s="21"/>
      <c r="FD44" s="24">
        <v>5</v>
      </c>
      <c r="FE44" s="21"/>
      <c r="FF44" s="21"/>
      <c r="FG44" s="21"/>
      <c r="FH44" s="21"/>
      <c r="FI44" s="21"/>
      <c r="FJ44" s="21"/>
      <c r="FK44" s="21"/>
      <c r="FL44" s="24">
        <v>1.70444444444444</v>
      </c>
      <c r="FM44" s="21"/>
      <c r="FN44" s="21"/>
      <c r="FO44" s="21"/>
      <c r="FP44" s="21"/>
      <c r="FQ44" s="21"/>
      <c r="FR44" s="21"/>
      <c r="FS44" s="21"/>
      <c r="FT44" s="24">
        <v>0</v>
      </c>
      <c r="FU44" s="21"/>
      <c r="FV44" s="21"/>
      <c r="FW44" s="21"/>
      <c r="FX44" s="21"/>
      <c r="FY44" s="21"/>
      <c r="FZ44" s="21"/>
      <c r="GA44" s="21"/>
      <c r="GB44" s="24">
        <v>2</v>
      </c>
      <c r="GC44" s="21"/>
      <c r="GD44" s="21"/>
      <c r="GE44" s="21"/>
      <c r="GF44" s="21"/>
      <c r="GG44" s="21"/>
      <c r="GH44" s="21"/>
      <c r="GI44" s="21"/>
      <c r="GJ44" s="24">
        <v>0</v>
      </c>
      <c r="GK44" s="21"/>
      <c r="GL44" s="21"/>
      <c r="GM44" s="21"/>
      <c r="GN44" s="21"/>
      <c r="GO44" s="21"/>
      <c r="GP44" s="21"/>
      <c r="GQ44" s="21"/>
      <c r="GR44" s="24">
        <f t="shared" si="0"/>
        <v>11.704444444444441</v>
      </c>
      <c r="GS44" s="21"/>
      <c r="GT44" s="21"/>
      <c r="GU44" s="21"/>
      <c r="GV44" s="21"/>
      <c r="GW44" s="21"/>
      <c r="GX44" s="21"/>
      <c r="GY44" s="21"/>
    </row>
    <row r="45" spans="1:207" ht="25.2" x14ac:dyDescent="0.35">
      <c r="A45" s="21" t="s">
        <v>123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6">
        <v>9139</v>
      </c>
      <c r="M45" s="26"/>
      <c r="N45" s="26"/>
      <c r="O45" s="26"/>
      <c r="P45" s="26"/>
      <c r="Q45" s="26"/>
      <c r="R45" s="26"/>
      <c r="S45" s="26"/>
      <c r="T45" s="26">
        <v>250</v>
      </c>
      <c r="U45" s="26"/>
      <c r="V45" s="26"/>
      <c r="W45" s="26"/>
      <c r="X45" s="26"/>
      <c r="Y45" s="26"/>
      <c r="Z45" s="26"/>
      <c r="AA45" s="26"/>
      <c r="AB45" s="26">
        <v>38</v>
      </c>
      <c r="AC45" s="26"/>
      <c r="AD45" s="26"/>
      <c r="AE45" s="26"/>
      <c r="AF45" s="26"/>
      <c r="AG45" s="26"/>
      <c r="AH45" s="26"/>
      <c r="AI45" s="26"/>
      <c r="AJ45" s="26">
        <v>471</v>
      </c>
      <c r="AK45" s="26"/>
      <c r="AL45" s="26"/>
      <c r="AM45" s="26"/>
      <c r="AN45" s="26"/>
      <c r="AO45" s="26"/>
      <c r="AP45" s="26"/>
      <c r="AQ45" s="26"/>
      <c r="AR45" s="26">
        <v>188400</v>
      </c>
      <c r="AS45" s="26"/>
      <c r="AT45" s="26"/>
      <c r="AU45" s="26"/>
      <c r="AV45" s="26"/>
      <c r="AW45" s="26"/>
      <c r="AX45" s="26"/>
      <c r="AY45" s="26"/>
      <c r="BB45" s="21" t="s">
        <v>29</v>
      </c>
      <c r="BC45" s="21"/>
      <c r="BD45" s="21"/>
      <c r="BE45" s="21"/>
      <c r="BF45" s="21"/>
      <c r="BG45" s="21"/>
      <c r="BH45" s="21"/>
      <c r="BI45" s="21"/>
      <c r="BJ45" s="21" t="s">
        <v>74</v>
      </c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6">
        <v>13451</v>
      </c>
      <c r="CA45" s="26"/>
      <c r="CB45" s="26"/>
      <c r="CC45" s="26"/>
      <c r="CD45" s="26"/>
      <c r="CE45" s="26"/>
      <c r="CF45" s="26"/>
      <c r="CG45" s="26"/>
      <c r="CH45" s="26">
        <v>90</v>
      </c>
      <c r="CI45" s="26"/>
      <c r="CJ45" s="26"/>
      <c r="CK45" s="26"/>
      <c r="CL45" s="26"/>
      <c r="CM45" s="26"/>
      <c r="CN45" s="26"/>
      <c r="CO45" s="26"/>
      <c r="CP45" s="26">
        <v>320</v>
      </c>
      <c r="CQ45" s="26"/>
      <c r="CR45" s="26"/>
      <c r="CS45" s="26"/>
      <c r="CT45" s="26"/>
      <c r="CU45" s="26"/>
      <c r="CV45" s="26"/>
      <c r="CW45" s="26"/>
      <c r="CX45" s="26">
        <v>30</v>
      </c>
      <c r="CY45" s="26"/>
      <c r="CZ45" s="26"/>
      <c r="DA45" s="26"/>
      <c r="DB45" s="26"/>
      <c r="DC45" s="26"/>
      <c r="DD45" s="26"/>
      <c r="DE45" s="26"/>
      <c r="DF45" s="26">
        <v>10000</v>
      </c>
      <c r="DG45" s="26"/>
      <c r="DH45" s="26"/>
      <c r="DI45" s="26"/>
      <c r="DJ45" s="26"/>
      <c r="DK45" s="26"/>
      <c r="DL45" s="26"/>
      <c r="DM45" s="26"/>
      <c r="DN45" s="26">
        <v>3125000</v>
      </c>
      <c r="DO45" s="26"/>
      <c r="DP45" s="26"/>
      <c r="DQ45" s="26"/>
      <c r="DR45" s="26"/>
      <c r="DS45" s="26"/>
      <c r="DT45" s="26"/>
      <c r="DU45" s="26"/>
      <c r="DX45" s="21" t="s">
        <v>75</v>
      </c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4">
        <v>12</v>
      </c>
      <c r="EO45" s="21"/>
      <c r="EP45" s="21"/>
      <c r="EQ45" s="21"/>
      <c r="ER45" s="21"/>
      <c r="ES45" s="21"/>
      <c r="ET45" s="21"/>
      <c r="EU45" s="21"/>
      <c r="EV45" s="24">
        <v>8</v>
      </c>
      <c r="EW45" s="21"/>
      <c r="EX45" s="21"/>
      <c r="EY45" s="21"/>
      <c r="EZ45" s="21"/>
      <c r="FA45" s="21"/>
      <c r="FB45" s="21"/>
      <c r="FC45" s="21"/>
      <c r="FD45" s="24">
        <v>12</v>
      </c>
      <c r="FE45" s="21"/>
      <c r="FF45" s="21"/>
      <c r="FG45" s="21"/>
      <c r="FH45" s="21"/>
      <c r="FI45" s="21"/>
      <c r="FJ45" s="21"/>
      <c r="FK45" s="21"/>
      <c r="FL45" s="24">
        <v>8</v>
      </c>
      <c r="FM45" s="21"/>
      <c r="FN45" s="21"/>
      <c r="FO45" s="21"/>
      <c r="FP45" s="21"/>
      <c r="FQ45" s="21"/>
      <c r="FR45" s="21"/>
      <c r="FS45" s="21"/>
      <c r="FT45" s="24">
        <v>4</v>
      </c>
      <c r="FU45" s="21"/>
      <c r="FV45" s="21"/>
      <c r="FW45" s="21"/>
      <c r="FX45" s="21"/>
      <c r="FY45" s="21"/>
      <c r="FZ45" s="21"/>
      <c r="GA45" s="21"/>
      <c r="GB45" s="24">
        <v>6</v>
      </c>
      <c r="GC45" s="21"/>
      <c r="GD45" s="21"/>
      <c r="GE45" s="21"/>
      <c r="GF45" s="21"/>
      <c r="GG45" s="21"/>
      <c r="GH45" s="21"/>
      <c r="GI45" s="21"/>
      <c r="GJ45" s="24">
        <v>0</v>
      </c>
      <c r="GK45" s="21"/>
      <c r="GL45" s="21"/>
      <c r="GM45" s="21"/>
      <c r="GN45" s="21"/>
      <c r="GO45" s="21"/>
      <c r="GP45" s="21"/>
      <c r="GQ45" s="21"/>
      <c r="GR45" s="24">
        <f t="shared" si="0"/>
        <v>50</v>
      </c>
      <c r="GS45" s="21"/>
      <c r="GT45" s="21"/>
      <c r="GU45" s="21"/>
      <c r="GV45" s="21"/>
      <c r="GW45" s="21"/>
      <c r="GX45" s="21"/>
      <c r="GY45" s="21"/>
    </row>
    <row r="46" spans="1:207" ht="25.2" x14ac:dyDescent="0.35">
      <c r="A46" s="21" t="s">
        <v>72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6">
        <v>3128</v>
      </c>
      <c r="M46" s="26"/>
      <c r="N46" s="26"/>
      <c r="O46" s="26"/>
      <c r="P46" s="26"/>
      <c r="Q46" s="26"/>
      <c r="R46" s="26"/>
      <c r="S46" s="26"/>
      <c r="T46" s="26">
        <v>330</v>
      </c>
      <c r="U46" s="26"/>
      <c r="V46" s="26"/>
      <c r="W46" s="26"/>
      <c r="X46" s="26"/>
      <c r="Y46" s="26"/>
      <c r="Z46" s="26"/>
      <c r="AA46" s="26"/>
      <c r="AB46" s="26">
        <v>30</v>
      </c>
      <c r="AC46" s="26"/>
      <c r="AD46" s="26"/>
      <c r="AE46" s="26"/>
      <c r="AF46" s="26"/>
      <c r="AG46" s="26"/>
      <c r="AH46" s="26"/>
      <c r="AI46" s="26"/>
      <c r="AJ46" s="26">
        <v>7792</v>
      </c>
      <c r="AK46" s="26"/>
      <c r="AL46" s="26"/>
      <c r="AM46" s="26"/>
      <c r="AN46" s="26"/>
      <c r="AO46" s="26"/>
      <c r="AP46" s="26"/>
      <c r="AQ46" s="26"/>
      <c r="AR46" s="26">
        <v>2361214</v>
      </c>
      <c r="AS46" s="26"/>
      <c r="AT46" s="26"/>
      <c r="AU46" s="26"/>
      <c r="AV46" s="26"/>
      <c r="AW46" s="26"/>
      <c r="AX46" s="26"/>
      <c r="AY46" s="26"/>
      <c r="BB46" s="21" t="s">
        <v>29</v>
      </c>
      <c r="BC46" s="21"/>
      <c r="BD46" s="21"/>
      <c r="BE46" s="21"/>
      <c r="BF46" s="21"/>
      <c r="BG46" s="21"/>
      <c r="BH46" s="21"/>
      <c r="BI46" s="21"/>
      <c r="BJ46" s="21" t="s">
        <v>77</v>
      </c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6">
        <v>20867</v>
      </c>
      <c r="CA46" s="26"/>
      <c r="CB46" s="26"/>
      <c r="CC46" s="26"/>
      <c r="CD46" s="26"/>
      <c r="CE46" s="26"/>
      <c r="CF46" s="26"/>
      <c r="CG46" s="26"/>
      <c r="CH46" s="26">
        <v>90</v>
      </c>
      <c r="CI46" s="26"/>
      <c r="CJ46" s="26"/>
      <c r="CK46" s="26"/>
      <c r="CL46" s="26"/>
      <c r="CM46" s="26"/>
      <c r="CN46" s="26"/>
      <c r="CO46" s="26"/>
      <c r="CP46" s="26">
        <v>330</v>
      </c>
      <c r="CQ46" s="26"/>
      <c r="CR46" s="26"/>
      <c r="CS46" s="26"/>
      <c r="CT46" s="26"/>
      <c r="CU46" s="26"/>
      <c r="CV46" s="26"/>
      <c r="CW46" s="26"/>
      <c r="CX46" s="26">
        <v>30</v>
      </c>
      <c r="CY46" s="26"/>
      <c r="CZ46" s="26"/>
      <c r="DA46" s="26"/>
      <c r="DB46" s="26"/>
      <c r="DC46" s="26"/>
      <c r="DD46" s="26"/>
      <c r="DE46" s="26"/>
      <c r="DF46" s="26">
        <v>4638</v>
      </c>
      <c r="DG46" s="26"/>
      <c r="DH46" s="26"/>
      <c r="DI46" s="26"/>
      <c r="DJ46" s="26"/>
      <c r="DK46" s="26"/>
      <c r="DL46" s="26"/>
      <c r="DM46" s="26"/>
      <c r="DN46" s="26">
        <v>1405456</v>
      </c>
      <c r="DO46" s="26"/>
      <c r="DP46" s="26"/>
      <c r="DQ46" s="26"/>
      <c r="DR46" s="26"/>
      <c r="DS46" s="26"/>
      <c r="DT46" s="26"/>
      <c r="DU46" s="26"/>
      <c r="DX46" s="21" t="s">
        <v>76</v>
      </c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4">
        <v>0</v>
      </c>
      <c r="EO46" s="21"/>
      <c r="EP46" s="21"/>
      <c r="EQ46" s="21"/>
      <c r="ER46" s="21"/>
      <c r="ES46" s="21"/>
      <c r="ET46" s="21"/>
      <c r="EU46" s="21"/>
      <c r="EV46" s="24">
        <v>0</v>
      </c>
      <c r="EW46" s="21"/>
      <c r="EX46" s="21"/>
      <c r="EY46" s="21"/>
      <c r="EZ46" s="21"/>
      <c r="FA46" s="21"/>
      <c r="FB46" s="21"/>
      <c r="FC46" s="21"/>
      <c r="FD46" s="24">
        <v>0</v>
      </c>
      <c r="FE46" s="21"/>
      <c r="FF46" s="21"/>
      <c r="FG46" s="21"/>
      <c r="FH46" s="21"/>
      <c r="FI46" s="21"/>
      <c r="FJ46" s="21"/>
      <c r="FK46" s="21"/>
      <c r="FL46" s="24">
        <v>0</v>
      </c>
      <c r="FM46" s="21"/>
      <c r="FN46" s="21"/>
      <c r="FO46" s="21"/>
      <c r="FP46" s="21"/>
      <c r="FQ46" s="21"/>
      <c r="FR46" s="21"/>
      <c r="FS46" s="21"/>
      <c r="FT46" s="24">
        <v>0</v>
      </c>
      <c r="FU46" s="21"/>
      <c r="FV46" s="21"/>
      <c r="FW46" s="21"/>
      <c r="FX46" s="21"/>
      <c r="FY46" s="21"/>
      <c r="FZ46" s="21"/>
      <c r="GA46" s="21"/>
      <c r="GB46" s="24">
        <v>0</v>
      </c>
      <c r="GC46" s="21"/>
      <c r="GD46" s="21"/>
      <c r="GE46" s="21"/>
      <c r="GF46" s="21"/>
      <c r="GG46" s="21"/>
      <c r="GH46" s="21"/>
      <c r="GI46" s="21"/>
      <c r="GJ46" s="24">
        <v>0</v>
      </c>
      <c r="GK46" s="21"/>
      <c r="GL46" s="21"/>
      <c r="GM46" s="21"/>
      <c r="GN46" s="21"/>
      <c r="GO46" s="21"/>
      <c r="GP46" s="21"/>
      <c r="GQ46" s="21"/>
      <c r="GR46" s="24">
        <f t="shared" si="0"/>
        <v>0</v>
      </c>
      <c r="GS46" s="21"/>
      <c r="GT46" s="21"/>
      <c r="GU46" s="21"/>
      <c r="GV46" s="21"/>
      <c r="GW46" s="21"/>
      <c r="GX46" s="21"/>
      <c r="GY46" s="21"/>
    </row>
    <row r="47" spans="1:207" ht="25.2" x14ac:dyDescent="0.35">
      <c r="A47" s="21" t="s">
        <v>167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6">
        <v>16466</v>
      </c>
      <c r="M47" s="26"/>
      <c r="N47" s="26"/>
      <c r="O47" s="26"/>
      <c r="P47" s="26"/>
      <c r="Q47" s="26"/>
      <c r="R47" s="26"/>
      <c r="S47" s="26"/>
      <c r="T47" s="26">
        <v>330</v>
      </c>
      <c r="U47" s="26"/>
      <c r="V47" s="26"/>
      <c r="W47" s="26"/>
      <c r="X47" s="26"/>
      <c r="Y47" s="26"/>
      <c r="Z47" s="26"/>
      <c r="AA47" s="26"/>
      <c r="AB47" s="26">
        <v>6</v>
      </c>
      <c r="AC47" s="26"/>
      <c r="AD47" s="26"/>
      <c r="AE47" s="26"/>
      <c r="AF47" s="26"/>
      <c r="AG47" s="26"/>
      <c r="AH47" s="26"/>
      <c r="AI47" s="26"/>
      <c r="AJ47" s="26">
        <v>6000</v>
      </c>
      <c r="AK47" s="26"/>
      <c r="AL47" s="26"/>
      <c r="AM47" s="26"/>
      <c r="AN47" s="26"/>
      <c r="AO47" s="26"/>
      <c r="AP47" s="26"/>
      <c r="AQ47" s="26"/>
      <c r="AR47" s="26">
        <v>1818184</v>
      </c>
      <c r="AS47" s="26"/>
      <c r="AT47" s="26"/>
      <c r="AU47" s="26"/>
      <c r="AV47" s="26"/>
      <c r="AW47" s="26"/>
      <c r="AX47" s="26"/>
      <c r="AY47" s="26"/>
      <c r="BB47" s="21" t="s">
        <v>29</v>
      </c>
      <c r="BC47" s="21"/>
      <c r="BD47" s="21"/>
      <c r="BE47" s="21"/>
      <c r="BF47" s="21"/>
      <c r="BG47" s="21"/>
      <c r="BH47" s="21"/>
      <c r="BI47" s="21"/>
      <c r="BJ47" s="21" t="s">
        <v>79</v>
      </c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6">
        <v>2512</v>
      </c>
      <c r="CA47" s="26"/>
      <c r="CB47" s="26"/>
      <c r="CC47" s="26"/>
      <c r="CD47" s="26"/>
      <c r="CE47" s="26"/>
      <c r="CF47" s="26"/>
      <c r="CG47" s="26"/>
      <c r="CH47" s="26">
        <v>90</v>
      </c>
      <c r="CI47" s="26"/>
      <c r="CJ47" s="26"/>
      <c r="CK47" s="26"/>
      <c r="CL47" s="26"/>
      <c r="CM47" s="26"/>
      <c r="CN47" s="26"/>
      <c r="CO47" s="26"/>
      <c r="CP47" s="26">
        <v>330</v>
      </c>
      <c r="CQ47" s="26"/>
      <c r="CR47" s="26"/>
      <c r="CS47" s="26"/>
      <c r="CT47" s="26"/>
      <c r="CU47" s="26"/>
      <c r="CV47" s="26"/>
      <c r="CW47" s="26"/>
      <c r="CX47" s="26">
        <v>30</v>
      </c>
      <c r="CY47" s="26"/>
      <c r="CZ47" s="26"/>
      <c r="DA47" s="26"/>
      <c r="DB47" s="26"/>
      <c r="DC47" s="26"/>
      <c r="DD47" s="26"/>
      <c r="DE47" s="26"/>
      <c r="DF47" s="26">
        <v>5000</v>
      </c>
      <c r="DG47" s="26"/>
      <c r="DH47" s="26"/>
      <c r="DI47" s="26"/>
      <c r="DJ47" s="26"/>
      <c r="DK47" s="26"/>
      <c r="DL47" s="26"/>
      <c r="DM47" s="26"/>
      <c r="DN47" s="26">
        <v>1515153</v>
      </c>
      <c r="DO47" s="26"/>
      <c r="DP47" s="26"/>
      <c r="DQ47" s="26"/>
      <c r="DR47" s="26"/>
      <c r="DS47" s="26"/>
      <c r="DT47" s="26"/>
      <c r="DU47" s="26"/>
      <c r="DX47" s="21" t="s">
        <v>78</v>
      </c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4">
        <v>120.12</v>
      </c>
      <c r="EO47" s="21"/>
      <c r="EP47" s="21"/>
      <c r="EQ47" s="21"/>
      <c r="ER47" s="21"/>
      <c r="ES47" s="21"/>
      <c r="ET47" s="21"/>
      <c r="EU47" s="21"/>
      <c r="EV47" s="24">
        <v>116.75870277777777</v>
      </c>
      <c r="EW47" s="21"/>
      <c r="EX47" s="21"/>
      <c r="EY47" s="21"/>
      <c r="EZ47" s="21"/>
      <c r="FA47" s="21"/>
      <c r="FB47" s="21"/>
      <c r="FC47" s="21"/>
      <c r="FD47" s="24">
        <v>103.79025</v>
      </c>
      <c r="FE47" s="21"/>
      <c r="FF47" s="21"/>
      <c r="FG47" s="21"/>
      <c r="FH47" s="21"/>
      <c r="FI47" s="21"/>
      <c r="FJ47" s="21"/>
      <c r="FK47" s="21"/>
      <c r="FL47" s="24">
        <v>105.35717222222222</v>
      </c>
      <c r="FM47" s="21"/>
      <c r="FN47" s="21"/>
      <c r="FO47" s="21"/>
      <c r="FP47" s="21"/>
      <c r="FQ47" s="21"/>
      <c r="FR47" s="21"/>
      <c r="FS47" s="21"/>
      <c r="FT47" s="24">
        <v>41.17581944444445</v>
      </c>
      <c r="FU47" s="21"/>
      <c r="FV47" s="21"/>
      <c r="FW47" s="21"/>
      <c r="FX47" s="21"/>
      <c r="FY47" s="21"/>
      <c r="FZ47" s="21"/>
      <c r="GA47" s="21"/>
      <c r="GB47" s="24">
        <v>95.530691666666669</v>
      </c>
      <c r="GC47" s="21"/>
      <c r="GD47" s="21"/>
      <c r="GE47" s="21"/>
      <c r="GF47" s="21"/>
      <c r="GG47" s="21"/>
      <c r="GH47" s="21"/>
      <c r="GI47" s="21"/>
      <c r="GJ47" s="24">
        <v>0</v>
      </c>
      <c r="GK47" s="21"/>
      <c r="GL47" s="21"/>
      <c r="GM47" s="21"/>
      <c r="GN47" s="21"/>
      <c r="GO47" s="21"/>
      <c r="GP47" s="21"/>
      <c r="GQ47" s="21"/>
      <c r="GR47" s="24">
        <f t="shared" si="0"/>
        <v>582.73263611111122</v>
      </c>
      <c r="GS47" s="21"/>
      <c r="GT47" s="21"/>
      <c r="GU47" s="21"/>
      <c r="GV47" s="21"/>
      <c r="GW47" s="21"/>
      <c r="GX47" s="21"/>
      <c r="GY47" s="21"/>
    </row>
    <row r="48" spans="1:207" ht="25.2" x14ac:dyDescent="0.35">
      <c r="A48" s="21" t="s">
        <v>168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6">
        <v>5252</v>
      </c>
      <c r="M48" s="26"/>
      <c r="N48" s="26"/>
      <c r="O48" s="26"/>
      <c r="P48" s="26"/>
      <c r="Q48" s="26"/>
      <c r="R48" s="26"/>
      <c r="S48" s="26"/>
      <c r="T48" s="26">
        <v>330</v>
      </c>
      <c r="U48" s="26"/>
      <c r="V48" s="26"/>
      <c r="W48" s="26"/>
      <c r="X48" s="26"/>
      <c r="Y48" s="26"/>
      <c r="Z48" s="26"/>
      <c r="AA48" s="26"/>
      <c r="AB48" s="26">
        <v>6</v>
      </c>
      <c r="AC48" s="26"/>
      <c r="AD48" s="26"/>
      <c r="AE48" s="26"/>
      <c r="AF48" s="26"/>
      <c r="AG48" s="26"/>
      <c r="AH48" s="26"/>
      <c r="AI48" s="26"/>
      <c r="AJ48" s="26">
        <v>5200</v>
      </c>
      <c r="AK48" s="26"/>
      <c r="AL48" s="26"/>
      <c r="AM48" s="26"/>
      <c r="AN48" s="26"/>
      <c r="AO48" s="26"/>
      <c r="AP48" s="26"/>
      <c r="AQ48" s="26"/>
      <c r="AR48" s="26">
        <v>1575759</v>
      </c>
      <c r="AS48" s="26"/>
      <c r="AT48" s="26"/>
      <c r="AU48" s="26"/>
      <c r="AV48" s="26"/>
      <c r="AW48" s="26"/>
      <c r="AX48" s="26"/>
      <c r="AY48" s="26"/>
      <c r="BB48" s="21" t="s">
        <v>36</v>
      </c>
      <c r="BC48" s="21"/>
      <c r="BD48" s="21"/>
      <c r="BE48" s="21"/>
      <c r="BF48" s="21"/>
      <c r="BG48" s="21"/>
      <c r="BH48" s="21"/>
      <c r="BI48" s="21"/>
      <c r="BJ48" s="21" t="s">
        <v>123</v>
      </c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6">
        <v>9139</v>
      </c>
      <c r="CA48" s="26"/>
      <c r="CB48" s="26"/>
      <c r="CC48" s="26"/>
      <c r="CD48" s="26"/>
      <c r="CE48" s="26"/>
      <c r="CF48" s="26"/>
      <c r="CG48" s="26"/>
      <c r="CH48" s="26">
        <v>90</v>
      </c>
      <c r="CI48" s="26"/>
      <c r="CJ48" s="26"/>
      <c r="CK48" s="26"/>
      <c r="CL48" s="26"/>
      <c r="CM48" s="26"/>
      <c r="CN48" s="26"/>
      <c r="CO48" s="26"/>
      <c r="CP48" s="26">
        <v>250</v>
      </c>
      <c r="CQ48" s="26"/>
      <c r="CR48" s="26"/>
      <c r="CS48" s="26"/>
      <c r="CT48" s="26"/>
      <c r="CU48" s="26"/>
      <c r="CV48" s="26"/>
      <c r="CW48" s="26"/>
      <c r="CX48" s="26">
        <v>38</v>
      </c>
      <c r="CY48" s="26"/>
      <c r="CZ48" s="26"/>
      <c r="DA48" s="26"/>
      <c r="DB48" s="26"/>
      <c r="DC48" s="26"/>
      <c r="DD48" s="26"/>
      <c r="DE48" s="26"/>
      <c r="DF48" s="26">
        <v>471</v>
      </c>
      <c r="DG48" s="26"/>
      <c r="DH48" s="26"/>
      <c r="DI48" s="26"/>
      <c r="DJ48" s="26"/>
      <c r="DK48" s="26"/>
      <c r="DL48" s="26"/>
      <c r="DM48" s="26"/>
      <c r="DN48" s="26">
        <v>188400</v>
      </c>
      <c r="DO48" s="26"/>
      <c r="DP48" s="26"/>
      <c r="DQ48" s="26"/>
      <c r="DR48" s="26"/>
      <c r="DS48" s="26"/>
      <c r="DT48" s="26"/>
      <c r="DU48" s="26"/>
      <c r="DX48" s="21" t="s">
        <v>80</v>
      </c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4">
        <v>35.880000000000003</v>
      </c>
      <c r="EO48" s="21"/>
      <c r="EP48" s="21"/>
      <c r="EQ48" s="21"/>
      <c r="ER48" s="21"/>
      <c r="ES48" s="21"/>
      <c r="ET48" s="21"/>
      <c r="EU48" s="21"/>
      <c r="EV48" s="24">
        <v>40.241297222222222</v>
      </c>
      <c r="EW48" s="21"/>
      <c r="EX48" s="21"/>
      <c r="EY48" s="21"/>
      <c r="EZ48" s="21"/>
      <c r="FA48" s="21"/>
      <c r="FB48" s="21"/>
      <c r="FC48" s="21"/>
      <c r="FD48" s="24">
        <v>43.20975</v>
      </c>
      <c r="FE48" s="21"/>
      <c r="FF48" s="21"/>
      <c r="FG48" s="21"/>
      <c r="FH48" s="21"/>
      <c r="FI48" s="21"/>
      <c r="FJ48" s="21"/>
      <c r="FK48" s="21"/>
      <c r="FL48" s="24">
        <v>43.938383333333334</v>
      </c>
      <c r="FM48" s="21"/>
      <c r="FN48" s="21"/>
      <c r="FO48" s="21"/>
      <c r="FP48" s="21"/>
      <c r="FQ48" s="21"/>
      <c r="FR48" s="21"/>
      <c r="FS48" s="21"/>
      <c r="FT48" s="24">
        <v>9.7839027777777758</v>
      </c>
      <c r="FU48" s="21"/>
      <c r="FV48" s="21"/>
      <c r="FW48" s="21"/>
      <c r="FX48" s="21"/>
      <c r="FY48" s="21"/>
      <c r="FZ48" s="21"/>
      <c r="GA48" s="21"/>
      <c r="GB48" s="24">
        <v>28.535141666666664</v>
      </c>
      <c r="GC48" s="21"/>
      <c r="GD48" s="21"/>
      <c r="GE48" s="21"/>
      <c r="GF48" s="21"/>
      <c r="GG48" s="21"/>
      <c r="GH48" s="21"/>
      <c r="GI48" s="21"/>
      <c r="GJ48" s="24">
        <v>0</v>
      </c>
      <c r="GK48" s="21"/>
      <c r="GL48" s="21"/>
      <c r="GM48" s="21"/>
      <c r="GN48" s="21"/>
      <c r="GO48" s="21"/>
      <c r="GP48" s="21"/>
      <c r="GQ48" s="21"/>
      <c r="GR48" s="24">
        <f t="shared" si="0"/>
        <v>201.58847500000002</v>
      </c>
      <c r="GS48" s="21"/>
      <c r="GT48" s="21"/>
      <c r="GU48" s="21"/>
      <c r="GV48" s="21"/>
      <c r="GW48" s="21"/>
      <c r="GX48" s="21"/>
      <c r="GY48" s="21"/>
    </row>
    <row r="49" spans="1:207" ht="25.2" x14ac:dyDescent="0.35">
      <c r="A49" s="21" t="s">
        <v>73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6">
        <v>3751</v>
      </c>
      <c r="M49" s="26"/>
      <c r="N49" s="26"/>
      <c r="O49" s="26"/>
      <c r="P49" s="26"/>
      <c r="Q49" s="26"/>
      <c r="R49" s="26"/>
      <c r="S49" s="26"/>
      <c r="T49" s="26">
        <v>330</v>
      </c>
      <c r="U49" s="26"/>
      <c r="V49" s="26"/>
      <c r="W49" s="26"/>
      <c r="X49" s="26"/>
      <c r="Y49" s="26"/>
      <c r="Z49" s="26"/>
      <c r="AA49" s="26"/>
      <c r="AB49" s="26">
        <v>30</v>
      </c>
      <c r="AC49" s="26"/>
      <c r="AD49" s="26"/>
      <c r="AE49" s="26"/>
      <c r="AF49" s="26"/>
      <c r="AG49" s="26"/>
      <c r="AH49" s="26"/>
      <c r="AI49" s="26"/>
      <c r="AJ49" s="26">
        <v>3119</v>
      </c>
      <c r="AK49" s="26"/>
      <c r="AL49" s="26"/>
      <c r="AM49" s="26"/>
      <c r="AN49" s="26"/>
      <c r="AO49" s="26"/>
      <c r="AP49" s="26"/>
      <c r="AQ49" s="26"/>
      <c r="AR49" s="26">
        <v>945151</v>
      </c>
      <c r="AS49" s="26"/>
      <c r="AT49" s="26"/>
      <c r="AU49" s="26"/>
      <c r="AV49" s="26"/>
      <c r="AW49" s="26"/>
      <c r="AX49" s="26"/>
      <c r="AY49" s="26"/>
      <c r="BB49" s="21" t="s">
        <v>36</v>
      </c>
      <c r="BC49" s="21"/>
      <c r="BD49" s="21"/>
      <c r="BE49" s="21"/>
      <c r="BF49" s="21"/>
      <c r="BG49" s="21"/>
      <c r="BH49" s="21"/>
      <c r="BI49" s="21"/>
      <c r="BJ49" s="21" t="s">
        <v>73</v>
      </c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6">
        <v>3751</v>
      </c>
      <c r="CA49" s="26"/>
      <c r="CB49" s="26"/>
      <c r="CC49" s="26"/>
      <c r="CD49" s="26"/>
      <c r="CE49" s="26"/>
      <c r="CF49" s="26"/>
      <c r="CG49" s="26"/>
      <c r="CH49" s="26">
        <v>75</v>
      </c>
      <c r="CI49" s="26"/>
      <c r="CJ49" s="26"/>
      <c r="CK49" s="26"/>
      <c r="CL49" s="26"/>
      <c r="CM49" s="26"/>
      <c r="CN49" s="26"/>
      <c r="CO49" s="26"/>
      <c r="CP49" s="26">
        <v>330</v>
      </c>
      <c r="CQ49" s="26"/>
      <c r="CR49" s="26"/>
      <c r="CS49" s="26"/>
      <c r="CT49" s="26"/>
      <c r="CU49" s="26"/>
      <c r="CV49" s="26"/>
      <c r="CW49" s="26"/>
      <c r="CX49" s="26">
        <v>30</v>
      </c>
      <c r="CY49" s="26"/>
      <c r="CZ49" s="26"/>
      <c r="DA49" s="26"/>
      <c r="DB49" s="26"/>
      <c r="DC49" s="26"/>
      <c r="DD49" s="26"/>
      <c r="DE49" s="26"/>
      <c r="DF49" s="26">
        <v>3119</v>
      </c>
      <c r="DG49" s="26"/>
      <c r="DH49" s="26"/>
      <c r="DI49" s="26"/>
      <c r="DJ49" s="26"/>
      <c r="DK49" s="26"/>
      <c r="DL49" s="26"/>
      <c r="DM49" s="26"/>
      <c r="DN49" s="26">
        <v>945151</v>
      </c>
      <c r="DO49" s="26"/>
      <c r="DP49" s="26"/>
      <c r="DQ49" s="26"/>
      <c r="DR49" s="26"/>
      <c r="DS49" s="26"/>
      <c r="DT49" s="26"/>
      <c r="DU49" s="26"/>
      <c r="DX49" s="21" t="s">
        <v>82</v>
      </c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4">
        <f>SUM(EN43:EU48)</f>
        <v>168</v>
      </c>
      <c r="EO49" s="21"/>
      <c r="EP49" s="21"/>
      <c r="EQ49" s="21"/>
      <c r="ER49" s="21"/>
      <c r="ES49" s="21"/>
      <c r="ET49" s="21"/>
      <c r="EU49" s="21"/>
      <c r="EV49" s="24">
        <f>SUM(EV43:FC48)</f>
        <v>168</v>
      </c>
      <c r="EW49" s="21"/>
      <c r="EX49" s="21"/>
      <c r="EY49" s="21"/>
      <c r="EZ49" s="21"/>
      <c r="FA49" s="21"/>
      <c r="FB49" s="21"/>
      <c r="FC49" s="21"/>
      <c r="FD49" s="24">
        <f>SUM(FD43:FK48)</f>
        <v>168</v>
      </c>
      <c r="FE49" s="21"/>
      <c r="FF49" s="21"/>
      <c r="FG49" s="21"/>
      <c r="FH49" s="21"/>
      <c r="FI49" s="21"/>
      <c r="FJ49" s="21"/>
      <c r="FK49" s="21"/>
      <c r="FL49" s="24">
        <f>SUM(FL43:FS48)</f>
        <v>168</v>
      </c>
      <c r="FM49" s="21"/>
      <c r="FN49" s="21"/>
      <c r="FO49" s="21"/>
      <c r="FP49" s="21"/>
      <c r="FQ49" s="21"/>
      <c r="FR49" s="21"/>
      <c r="FS49" s="21"/>
      <c r="FT49" s="24">
        <f>SUM(FT43:GA48)</f>
        <v>54.959722222222226</v>
      </c>
      <c r="FU49" s="21"/>
      <c r="FV49" s="21"/>
      <c r="FW49" s="21"/>
      <c r="FX49" s="21"/>
      <c r="FY49" s="21"/>
      <c r="FZ49" s="21"/>
      <c r="GA49" s="21"/>
      <c r="GB49" s="24">
        <f>SUM(GB43:GI48)</f>
        <v>134.06583333333333</v>
      </c>
      <c r="GC49" s="21"/>
      <c r="GD49" s="21"/>
      <c r="GE49" s="21"/>
      <c r="GF49" s="21"/>
      <c r="GG49" s="21"/>
      <c r="GH49" s="21"/>
      <c r="GI49" s="21"/>
      <c r="GJ49" s="24">
        <f>SUM(GJ43:GQ48)</f>
        <v>0</v>
      </c>
      <c r="GK49" s="21"/>
      <c r="GL49" s="21"/>
      <c r="GM49" s="21"/>
      <c r="GN49" s="21"/>
      <c r="GO49" s="21"/>
      <c r="GP49" s="21"/>
      <c r="GQ49" s="21"/>
      <c r="GR49" s="24">
        <f t="shared" si="0"/>
        <v>861.02555555555557</v>
      </c>
      <c r="GS49" s="21"/>
      <c r="GT49" s="21"/>
      <c r="GU49" s="21"/>
      <c r="GV49" s="21"/>
      <c r="GW49" s="21"/>
      <c r="GX49" s="21"/>
      <c r="GY49" s="21"/>
    </row>
    <row r="50" spans="1:207" ht="25.2" x14ac:dyDescent="0.35">
      <c r="A50" s="21" t="s">
        <v>74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6">
        <v>13451</v>
      </c>
      <c r="M50" s="26"/>
      <c r="N50" s="26"/>
      <c r="O50" s="26"/>
      <c r="P50" s="26"/>
      <c r="Q50" s="26"/>
      <c r="R50" s="26"/>
      <c r="S50" s="26"/>
      <c r="T50" s="26">
        <v>320</v>
      </c>
      <c r="U50" s="26"/>
      <c r="V50" s="26"/>
      <c r="W50" s="26"/>
      <c r="X50" s="26"/>
      <c r="Y50" s="26"/>
      <c r="Z50" s="26"/>
      <c r="AA50" s="26"/>
      <c r="AB50" s="26">
        <v>30</v>
      </c>
      <c r="AC50" s="26"/>
      <c r="AD50" s="26"/>
      <c r="AE50" s="26"/>
      <c r="AF50" s="26"/>
      <c r="AG50" s="26"/>
      <c r="AH50" s="26"/>
      <c r="AI50" s="26"/>
      <c r="AJ50" s="26">
        <v>10000</v>
      </c>
      <c r="AK50" s="26"/>
      <c r="AL50" s="26"/>
      <c r="AM50" s="26"/>
      <c r="AN50" s="26"/>
      <c r="AO50" s="26"/>
      <c r="AP50" s="26"/>
      <c r="AQ50" s="26"/>
      <c r="AR50" s="26">
        <v>3125000</v>
      </c>
      <c r="AS50" s="26"/>
      <c r="AT50" s="26"/>
      <c r="AU50" s="26"/>
      <c r="AV50" s="26"/>
      <c r="AW50" s="26"/>
      <c r="AX50" s="26"/>
      <c r="AY50" s="26"/>
      <c r="BB50" s="21" t="s">
        <v>36</v>
      </c>
      <c r="BC50" s="21"/>
      <c r="BD50" s="21"/>
      <c r="BE50" s="21"/>
      <c r="BF50" s="21"/>
      <c r="BG50" s="21"/>
      <c r="BH50" s="21"/>
      <c r="BI50" s="21"/>
      <c r="BJ50" s="21" t="s">
        <v>77</v>
      </c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6">
        <v>20867</v>
      </c>
      <c r="CA50" s="26"/>
      <c r="CB50" s="26"/>
      <c r="CC50" s="26"/>
      <c r="CD50" s="26"/>
      <c r="CE50" s="26"/>
      <c r="CF50" s="26"/>
      <c r="CG50" s="26"/>
      <c r="CH50" s="26">
        <v>90</v>
      </c>
      <c r="CI50" s="26"/>
      <c r="CJ50" s="26"/>
      <c r="CK50" s="26"/>
      <c r="CL50" s="26"/>
      <c r="CM50" s="26"/>
      <c r="CN50" s="26"/>
      <c r="CO50" s="26"/>
      <c r="CP50" s="26">
        <v>330</v>
      </c>
      <c r="CQ50" s="26"/>
      <c r="CR50" s="26"/>
      <c r="CS50" s="26"/>
      <c r="CT50" s="26"/>
      <c r="CU50" s="26"/>
      <c r="CV50" s="26"/>
      <c r="CW50" s="26"/>
      <c r="CX50" s="26">
        <v>30</v>
      </c>
      <c r="CY50" s="26"/>
      <c r="CZ50" s="26"/>
      <c r="DA50" s="26"/>
      <c r="DB50" s="26"/>
      <c r="DC50" s="26"/>
      <c r="DD50" s="26"/>
      <c r="DE50" s="26"/>
      <c r="DF50" s="26">
        <v>13000</v>
      </c>
      <c r="DG50" s="26"/>
      <c r="DH50" s="26"/>
      <c r="DI50" s="26"/>
      <c r="DJ50" s="26"/>
      <c r="DK50" s="26"/>
      <c r="DL50" s="26"/>
      <c r="DM50" s="26"/>
      <c r="DN50" s="26">
        <v>3939397</v>
      </c>
      <c r="DO50" s="26"/>
      <c r="DP50" s="26"/>
      <c r="DQ50" s="26"/>
      <c r="DR50" s="26"/>
      <c r="DS50" s="26"/>
      <c r="DT50" s="26"/>
      <c r="DU50" s="26"/>
      <c r="DX50" s="21" t="s">
        <v>84</v>
      </c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5">
        <f>IF(EN49=0,0,EN47/EN49)</f>
        <v>0.71500000000000008</v>
      </c>
      <c r="EO50" s="25"/>
      <c r="EP50" s="25"/>
      <c r="EQ50" s="25"/>
      <c r="ER50" s="25"/>
      <c r="ES50" s="25"/>
      <c r="ET50" s="25"/>
      <c r="EU50" s="25"/>
      <c r="EV50" s="25">
        <f>IF(EV49=0,0,EV47/EV49)</f>
        <v>0.69499227843915334</v>
      </c>
      <c r="EW50" s="25"/>
      <c r="EX50" s="25"/>
      <c r="EY50" s="25"/>
      <c r="EZ50" s="25"/>
      <c r="FA50" s="25"/>
      <c r="FB50" s="25"/>
      <c r="FC50" s="25"/>
      <c r="FD50" s="25">
        <f>IF(FD49=0,0,FD47/FD49)</f>
        <v>0.61779910714285713</v>
      </c>
      <c r="FE50" s="25"/>
      <c r="FF50" s="25"/>
      <c r="FG50" s="25"/>
      <c r="FH50" s="25"/>
      <c r="FI50" s="25"/>
      <c r="FJ50" s="25"/>
      <c r="FK50" s="25"/>
      <c r="FL50" s="25">
        <f>IF(FL49=0,0,FL47/FL49)</f>
        <v>0.62712602513227511</v>
      </c>
      <c r="FM50" s="25"/>
      <c r="FN50" s="25"/>
      <c r="FO50" s="25"/>
      <c r="FP50" s="25"/>
      <c r="FQ50" s="25"/>
      <c r="FR50" s="25"/>
      <c r="FS50" s="25"/>
      <c r="FT50" s="25">
        <f>IF(FT49=0,0,FT47/FT49)</f>
        <v>0.74919991913269823</v>
      </c>
      <c r="FU50" s="25"/>
      <c r="FV50" s="25"/>
      <c r="FW50" s="25"/>
      <c r="FX50" s="25"/>
      <c r="FY50" s="25"/>
      <c r="FZ50" s="25"/>
      <c r="GA50" s="25"/>
      <c r="GB50" s="25">
        <f>IF(GB49=0,0,GB47/GB49)</f>
        <v>0.71256553061617744</v>
      </c>
      <c r="GC50" s="25"/>
      <c r="GD50" s="25"/>
      <c r="GE50" s="25"/>
      <c r="GF50" s="25"/>
      <c r="GG50" s="25"/>
      <c r="GH50" s="25"/>
      <c r="GI50" s="25"/>
      <c r="GJ50" s="25">
        <f>IF(GJ49=0,0,GJ47/GJ49)</f>
        <v>0</v>
      </c>
      <c r="GK50" s="25"/>
      <c r="GL50" s="25"/>
      <c r="GM50" s="25"/>
      <c r="GN50" s="25"/>
      <c r="GO50" s="25"/>
      <c r="GP50" s="25"/>
      <c r="GQ50" s="25"/>
      <c r="GR50" s="25">
        <f>IF(GR49=0,0,GR47/GR49)</f>
        <v>0.67678901323099205</v>
      </c>
      <c r="GS50" s="25"/>
      <c r="GT50" s="25"/>
      <c r="GU50" s="25"/>
      <c r="GV50" s="25"/>
      <c r="GW50" s="25"/>
      <c r="GX50" s="25"/>
      <c r="GY50" s="25"/>
    </row>
    <row r="51" spans="1:207" ht="25.2" x14ac:dyDescent="0.35">
      <c r="A51" s="21" t="s">
        <v>128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6">
        <v>22102</v>
      </c>
      <c r="M51" s="26"/>
      <c r="N51" s="26"/>
      <c r="O51" s="26"/>
      <c r="P51" s="26"/>
      <c r="Q51" s="26"/>
      <c r="R51" s="26"/>
      <c r="S51" s="26"/>
      <c r="T51" s="26">
        <v>269</v>
      </c>
      <c r="U51" s="26"/>
      <c r="V51" s="26"/>
      <c r="W51" s="26"/>
      <c r="X51" s="26"/>
      <c r="Y51" s="26"/>
      <c r="Z51" s="26"/>
      <c r="AA51" s="26"/>
      <c r="AB51" s="26">
        <v>24</v>
      </c>
      <c r="AC51" s="26"/>
      <c r="AD51" s="26"/>
      <c r="AE51" s="26"/>
      <c r="AF51" s="26"/>
      <c r="AG51" s="26"/>
      <c r="AH51" s="26"/>
      <c r="AI51" s="26"/>
      <c r="AJ51" s="26">
        <v>4940</v>
      </c>
      <c r="AK51" s="26"/>
      <c r="AL51" s="26"/>
      <c r="AM51" s="26"/>
      <c r="AN51" s="26"/>
      <c r="AO51" s="26"/>
      <c r="AP51" s="26"/>
      <c r="AQ51" s="26"/>
      <c r="AR51" s="26">
        <v>1836431</v>
      </c>
      <c r="AS51" s="26"/>
      <c r="AT51" s="26"/>
      <c r="AU51" s="26"/>
      <c r="AV51" s="26"/>
      <c r="AW51" s="26"/>
      <c r="AX51" s="26"/>
      <c r="AY51" s="26"/>
      <c r="BB51" s="21" t="s">
        <v>36</v>
      </c>
      <c r="BC51" s="21"/>
      <c r="BD51" s="21"/>
      <c r="BE51" s="21"/>
      <c r="BF51" s="21"/>
      <c r="BG51" s="21"/>
      <c r="BH51" s="21"/>
      <c r="BI51" s="21"/>
      <c r="BJ51" s="21" t="s">
        <v>127</v>
      </c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6">
        <v>9150</v>
      </c>
      <c r="CA51" s="26"/>
      <c r="CB51" s="26"/>
      <c r="CC51" s="26"/>
      <c r="CD51" s="26"/>
      <c r="CE51" s="26"/>
      <c r="CF51" s="26"/>
      <c r="CG51" s="26"/>
      <c r="CH51" s="26">
        <v>90</v>
      </c>
      <c r="CI51" s="26"/>
      <c r="CJ51" s="26"/>
      <c r="CK51" s="26"/>
      <c r="CL51" s="26"/>
      <c r="CM51" s="26"/>
      <c r="CN51" s="26"/>
      <c r="CO51" s="26"/>
      <c r="CP51" s="26">
        <v>250</v>
      </c>
      <c r="CQ51" s="26"/>
      <c r="CR51" s="26"/>
      <c r="CS51" s="26"/>
      <c r="CT51" s="26"/>
      <c r="CU51" s="26"/>
      <c r="CV51" s="26"/>
      <c r="CW51" s="26"/>
      <c r="CX51" s="26">
        <v>38</v>
      </c>
      <c r="CY51" s="26"/>
      <c r="CZ51" s="26"/>
      <c r="DA51" s="26"/>
      <c r="DB51" s="26"/>
      <c r="DC51" s="26"/>
      <c r="DD51" s="26"/>
      <c r="DE51" s="26"/>
      <c r="DF51" s="26">
        <v>6000</v>
      </c>
      <c r="DG51" s="26"/>
      <c r="DH51" s="26"/>
      <c r="DI51" s="26"/>
      <c r="DJ51" s="26"/>
      <c r="DK51" s="26"/>
      <c r="DL51" s="26"/>
      <c r="DM51" s="26"/>
      <c r="DN51" s="26">
        <v>2400000</v>
      </c>
      <c r="DO51" s="26"/>
      <c r="DP51" s="26"/>
      <c r="DQ51" s="26"/>
      <c r="DR51" s="26"/>
      <c r="DS51" s="26"/>
      <c r="DT51" s="26"/>
      <c r="DU51" s="26"/>
    </row>
    <row r="52" spans="1:207" ht="25.2" x14ac:dyDescent="0.35">
      <c r="A52" s="21" t="s">
        <v>77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6">
        <v>20867</v>
      </c>
      <c r="M52" s="26"/>
      <c r="N52" s="26"/>
      <c r="O52" s="26"/>
      <c r="P52" s="26"/>
      <c r="Q52" s="26"/>
      <c r="R52" s="26"/>
      <c r="S52" s="26"/>
      <c r="T52" s="26">
        <v>330</v>
      </c>
      <c r="U52" s="26"/>
      <c r="V52" s="26"/>
      <c r="W52" s="26"/>
      <c r="X52" s="26"/>
      <c r="Y52" s="26"/>
      <c r="Z52" s="26"/>
      <c r="AA52" s="26"/>
      <c r="AB52" s="26">
        <v>30</v>
      </c>
      <c r="AC52" s="26"/>
      <c r="AD52" s="26"/>
      <c r="AE52" s="26"/>
      <c r="AF52" s="26"/>
      <c r="AG52" s="26"/>
      <c r="AH52" s="26"/>
      <c r="AI52" s="26"/>
      <c r="AJ52" s="26">
        <v>17638</v>
      </c>
      <c r="AK52" s="26"/>
      <c r="AL52" s="26"/>
      <c r="AM52" s="26"/>
      <c r="AN52" s="26"/>
      <c r="AO52" s="26"/>
      <c r="AP52" s="26"/>
      <c r="AQ52" s="26"/>
      <c r="AR52" s="26">
        <v>5344853</v>
      </c>
      <c r="AS52" s="26"/>
      <c r="AT52" s="26"/>
      <c r="AU52" s="26"/>
      <c r="AV52" s="26"/>
      <c r="AW52" s="26"/>
      <c r="AX52" s="26"/>
      <c r="AY52" s="26"/>
      <c r="BB52" s="21" t="s">
        <v>41</v>
      </c>
      <c r="BC52" s="21"/>
      <c r="BD52" s="21"/>
      <c r="BE52" s="21"/>
      <c r="BF52" s="21"/>
      <c r="BG52" s="21"/>
      <c r="BH52" s="21"/>
      <c r="BI52" s="21"/>
      <c r="BJ52" s="21" t="s">
        <v>167</v>
      </c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6">
        <v>16466</v>
      </c>
      <c r="CA52" s="26"/>
      <c r="CB52" s="26"/>
      <c r="CC52" s="26"/>
      <c r="CD52" s="26"/>
      <c r="CE52" s="26"/>
      <c r="CF52" s="26"/>
      <c r="CG52" s="26"/>
      <c r="CH52" s="26">
        <v>90</v>
      </c>
      <c r="CI52" s="26"/>
      <c r="CJ52" s="26"/>
      <c r="CK52" s="26"/>
      <c r="CL52" s="26"/>
      <c r="CM52" s="26"/>
      <c r="CN52" s="26"/>
      <c r="CO52" s="26"/>
      <c r="CP52" s="26">
        <v>330</v>
      </c>
      <c r="CQ52" s="26"/>
      <c r="CR52" s="26"/>
      <c r="CS52" s="26"/>
      <c r="CT52" s="26"/>
      <c r="CU52" s="26"/>
      <c r="CV52" s="26"/>
      <c r="CW52" s="26"/>
      <c r="CX52" s="26">
        <v>6</v>
      </c>
      <c r="CY52" s="26"/>
      <c r="CZ52" s="26"/>
      <c r="DA52" s="26"/>
      <c r="DB52" s="26"/>
      <c r="DC52" s="26"/>
      <c r="DD52" s="26"/>
      <c r="DE52" s="26"/>
      <c r="DF52" s="26">
        <v>6000</v>
      </c>
      <c r="DG52" s="26"/>
      <c r="DH52" s="26"/>
      <c r="DI52" s="26"/>
      <c r="DJ52" s="26"/>
      <c r="DK52" s="26"/>
      <c r="DL52" s="26"/>
      <c r="DM52" s="26"/>
      <c r="DN52" s="26">
        <v>1818184</v>
      </c>
      <c r="DO52" s="26"/>
      <c r="DP52" s="26"/>
      <c r="DQ52" s="26"/>
      <c r="DR52" s="26"/>
      <c r="DS52" s="26"/>
      <c r="DT52" s="26"/>
      <c r="DU52" s="26"/>
      <c r="DX52" s="21" t="s">
        <v>86</v>
      </c>
      <c r="DY52" s="21" t="s">
        <v>86</v>
      </c>
      <c r="DZ52" s="21" t="s">
        <v>86</v>
      </c>
      <c r="EA52" s="21" t="s">
        <v>86</v>
      </c>
      <c r="EB52" s="21" t="s">
        <v>86</v>
      </c>
      <c r="EC52" s="21" t="s">
        <v>86</v>
      </c>
      <c r="ED52" s="21" t="s">
        <v>86</v>
      </c>
      <c r="EE52" s="21" t="s">
        <v>86</v>
      </c>
      <c r="EF52" s="21" t="s">
        <v>86</v>
      </c>
      <c r="EG52" s="21" t="s">
        <v>86</v>
      </c>
      <c r="EH52" s="21" t="s">
        <v>86</v>
      </c>
      <c r="EI52" s="21" t="s">
        <v>86</v>
      </c>
      <c r="EJ52" s="21" t="s">
        <v>86</v>
      </c>
      <c r="EK52" s="21" t="s">
        <v>86</v>
      </c>
      <c r="EL52" s="21" t="s">
        <v>86</v>
      </c>
      <c r="EM52" s="21" t="s">
        <v>86</v>
      </c>
      <c r="EN52" s="21" t="s">
        <v>23</v>
      </c>
      <c r="EO52" s="21"/>
      <c r="EP52" s="21"/>
      <c r="EQ52" s="21"/>
      <c r="ER52" s="21"/>
      <c r="ES52" s="21"/>
      <c r="ET52" s="21"/>
      <c r="EU52" s="21"/>
      <c r="EV52" s="21" t="s">
        <v>29</v>
      </c>
      <c r="EW52" s="21"/>
      <c r="EX52" s="21"/>
      <c r="EY52" s="21"/>
      <c r="EZ52" s="21"/>
      <c r="FA52" s="21"/>
      <c r="FB52" s="21"/>
      <c r="FC52" s="21"/>
      <c r="FD52" s="21" t="s">
        <v>36</v>
      </c>
      <c r="FE52" s="21"/>
      <c r="FF52" s="21"/>
      <c r="FG52" s="21"/>
      <c r="FH52" s="21"/>
      <c r="FI52" s="21"/>
      <c r="FJ52" s="21"/>
      <c r="FK52" s="21"/>
      <c r="FL52" s="21" t="s">
        <v>41</v>
      </c>
      <c r="FM52" s="21"/>
      <c r="FN52" s="21"/>
      <c r="FO52" s="21"/>
      <c r="FP52" s="21"/>
      <c r="FQ52" s="21"/>
      <c r="FR52" s="21"/>
      <c r="FS52" s="21"/>
      <c r="FT52" s="21" t="s">
        <v>50</v>
      </c>
      <c r="FU52" s="21"/>
      <c r="FV52" s="21"/>
      <c r="FW52" s="21"/>
      <c r="FX52" s="21"/>
      <c r="FY52" s="21"/>
      <c r="FZ52" s="21"/>
      <c r="GA52" s="21"/>
      <c r="GB52" s="21" t="s">
        <v>53</v>
      </c>
      <c r="GC52" s="21"/>
      <c r="GD52" s="21"/>
      <c r="GE52" s="21"/>
      <c r="GF52" s="21"/>
      <c r="GG52" s="21"/>
      <c r="GH52" s="21"/>
      <c r="GI52" s="21"/>
      <c r="GJ52" s="21" t="s">
        <v>31</v>
      </c>
      <c r="GK52" s="21"/>
      <c r="GL52" s="21"/>
      <c r="GM52" s="21"/>
      <c r="GN52" s="21"/>
      <c r="GO52" s="21"/>
      <c r="GP52" s="21"/>
      <c r="GQ52" s="21"/>
      <c r="GR52" s="21" t="s">
        <v>69</v>
      </c>
      <c r="GS52" s="21"/>
      <c r="GT52" s="21"/>
      <c r="GU52" s="21"/>
      <c r="GV52" s="21"/>
      <c r="GW52" s="21"/>
      <c r="GX52" s="21"/>
      <c r="GY52" s="21"/>
    </row>
    <row r="53" spans="1:207" ht="25.2" x14ac:dyDescent="0.35">
      <c r="A53" s="21" t="s">
        <v>71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6">
        <v>3617</v>
      </c>
      <c r="M53" s="26"/>
      <c r="N53" s="26"/>
      <c r="O53" s="26"/>
      <c r="P53" s="26"/>
      <c r="Q53" s="26"/>
      <c r="R53" s="26"/>
      <c r="S53" s="26"/>
      <c r="T53" s="26">
        <v>175</v>
      </c>
      <c r="U53" s="26"/>
      <c r="V53" s="26"/>
      <c r="W53" s="26"/>
      <c r="X53" s="26"/>
      <c r="Y53" s="26"/>
      <c r="Z53" s="26"/>
      <c r="AA53" s="26"/>
      <c r="AB53" s="26">
        <v>38</v>
      </c>
      <c r="AC53" s="26"/>
      <c r="AD53" s="26"/>
      <c r="AE53" s="26"/>
      <c r="AF53" s="26"/>
      <c r="AG53" s="26"/>
      <c r="AH53" s="26"/>
      <c r="AI53" s="26"/>
      <c r="AJ53" s="26">
        <v>12613</v>
      </c>
      <c r="AK53" s="26"/>
      <c r="AL53" s="26"/>
      <c r="AM53" s="26"/>
      <c r="AN53" s="26"/>
      <c r="AO53" s="26"/>
      <c r="AP53" s="26"/>
      <c r="AQ53" s="26"/>
      <c r="AR53" s="26">
        <v>7207423</v>
      </c>
      <c r="AS53" s="26"/>
      <c r="AT53" s="26"/>
      <c r="AU53" s="26"/>
      <c r="AV53" s="26"/>
      <c r="AW53" s="26"/>
      <c r="AX53" s="26"/>
      <c r="AY53" s="26"/>
      <c r="BB53" s="21" t="s">
        <v>41</v>
      </c>
      <c r="BC53" s="21"/>
      <c r="BD53" s="21"/>
      <c r="BE53" s="21"/>
      <c r="BF53" s="21"/>
      <c r="BG53" s="21"/>
      <c r="BH53" s="21"/>
      <c r="BI53" s="21"/>
      <c r="BJ53" s="21" t="s">
        <v>168</v>
      </c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6">
        <v>5252</v>
      </c>
      <c r="CA53" s="26"/>
      <c r="CB53" s="26"/>
      <c r="CC53" s="26"/>
      <c r="CD53" s="26"/>
      <c r="CE53" s="26"/>
      <c r="CF53" s="26"/>
      <c r="CG53" s="26"/>
      <c r="CH53" s="26">
        <v>90</v>
      </c>
      <c r="CI53" s="26"/>
      <c r="CJ53" s="26"/>
      <c r="CK53" s="26"/>
      <c r="CL53" s="26"/>
      <c r="CM53" s="26"/>
      <c r="CN53" s="26"/>
      <c r="CO53" s="26"/>
      <c r="CP53" s="26">
        <v>330</v>
      </c>
      <c r="CQ53" s="26"/>
      <c r="CR53" s="26"/>
      <c r="CS53" s="26"/>
      <c r="CT53" s="26"/>
      <c r="CU53" s="26"/>
      <c r="CV53" s="26"/>
      <c r="CW53" s="26"/>
      <c r="CX53" s="26">
        <v>6</v>
      </c>
      <c r="CY53" s="26"/>
      <c r="CZ53" s="26"/>
      <c r="DA53" s="26"/>
      <c r="DB53" s="26"/>
      <c r="DC53" s="26"/>
      <c r="DD53" s="26"/>
      <c r="DE53" s="26"/>
      <c r="DF53" s="26">
        <v>5200</v>
      </c>
      <c r="DG53" s="26"/>
      <c r="DH53" s="26"/>
      <c r="DI53" s="26"/>
      <c r="DJ53" s="26"/>
      <c r="DK53" s="26"/>
      <c r="DL53" s="26"/>
      <c r="DM53" s="26"/>
      <c r="DN53" s="26">
        <v>1575759</v>
      </c>
      <c r="DO53" s="26"/>
      <c r="DP53" s="26"/>
      <c r="DQ53" s="26"/>
      <c r="DR53" s="26"/>
      <c r="DS53" s="26"/>
      <c r="DT53" s="26"/>
      <c r="DU53" s="26"/>
      <c r="DX53" s="21" t="s">
        <v>86</v>
      </c>
      <c r="DY53" s="21" t="s">
        <v>86</v>
      </c>
      <c r="DZ53" s="21" t="s">
        <v>86</v>
      </c>
      <c r="EA53" s="21" t="s">
        <v>86</v>
      </c>
      <c r="EB53" s="21" t="s">
        <v>86</v>
      </c>
      <c r="EC53" s="21" t="s">
        <v>86</v>
      </c>
      <c r="ED53" s="21" t="s">
        <v>86</v>
      </c>
      <c r="EE53" s="21" t="s">
        <v>86</v>
      </c>
      <c r="EF53" s="21" t="s">
        <v>86</v>
      </c>
      <c r="EG53" s="21" t="s">
        <v>86</v>
      </c>
      <c r="EH53" s="21" t="s">
        <v>86</v>
      </c>
      <c r="EI53" s="21" t="s">
        <v>86</v>
      </c>
      <c r="EJ53" s="21" t="s">
        <v>86</v>
      </c>
      <c r="EK53" s="21" t="s">
        <v>86</v>
      </c>
      <c r="EL53" s="21" t="s">
        <v>86</v>
      </c>
      <c r="EM53" s="21" t="s">
        <v>86</v>
      </c>
      <c r="EN53" s="21" t="s">
        <v>88</v>
      </c>
      <c r="EO53" s="21"/>
      <c r="EP53" s="21"/>
      <c r="EQ53" s="21" t="s">
        <v>89</v>
      </c>
      <c r="ER53" s="21"/>
      <c r="ES53" s="21" t="s">
        <v>84</v>
      </c>
      <c r="ET53" s="21"/>
      <c r="EU53" s="21"/>
      <c r="EV53" s="21" t="s">
        <v>88</v>
      </c>
      <c r="EW53" s="21"/>
      <c r="EX53" s="21"/>
      <c r="EY53" s="21" t="s">
        <v>89</v>
      </c>
      <c r="EZ53" s="21"/>
      <c r="FA53" s="21" t="s">
        <v>84</v>
      </c>
      <c r="FB53" s="21"/>
      <c r="FC53" s="21"/>
      <c r="FD53" s="21" t="s">
        <v>88</v>
      </c>
      <c r="FE53" s="21"/>
      <c r="FF53" s="21"/>
      <c r="FG53" s="21" t="s">
        <v>89</v>
      </c>
      <c r="FH53" s="21"/>
      <c r="FI53" s="21" t="s">
        <v>84</v>
      </c>
      <c r="FJ53" s="21"/>
      <c r="FK53" s="21"/>
      <c r="FL53" s="21" t="s">
        <v>88</v>
      </c>
      <c r="FM53" s="21"/>
      <c r="FN53" s="21"/>
      <c r="FO53" s="21" t="s">
        <v>89</v>
      </c>
      <c r="FP53" s="21"/>
      <c r="FQ53" s="21" t="s">
        <v>84</v>
      </c>
      <c r="FR53" s="21"/>
      <c r="FS53" s="21"/>
      <c r="FT53" s="21" t="s">
        <v>88</v>
      </c>
      <c r="FU53" s="21"/>
      <c r="FV53" s="21"/>
      <c r="FW53" s="21" t="s">
        <v>89</v>
      </c>
      <c r="FX53" s="21"/>
      <c r="FY53" s="21" t="s">
        <v>84</v>
      </c>
      <c r="FZ53" s="21"/>
      <c r="GA53" s="21"/>
      <c r="GB53" s="21" t="s">
        <v>88</v>
      </c>
      <c r="GC53" s="21"/>
      <c r="GD53" s="21"/>
      <c r="GE53" s="21" t="s">
        <v>89</v>
      </c>
      <c r="GF53" s="21"/>
      <c r="GG53" s="21" t="s">
        <v>84</v>
      </c>
      <c r="GH53" s="21"/>
      <c r="GI53" s="21"/>
      <c r="GJ53" s="21" t="s">
        <v>88</v>
      </c>
      <c r="GK53" s="21"/>
      <c r="GL53" s="21"/>
      <c r="GM53" s="21" t="s">
        <v>89</v>
      </c>
      <c r="GN53" s="21"/>
      <c r="GO53" s="21" t="s">
        <v>84</v>
      </c>
      <c r="GP53" s="21"/>
      <c r="GQ53" s="21"/>
      <c r="GR53" s="21" t="s">
        <v>88</v>
      </c>
      <c r="GS53" s="21"/>
      <c r="GT53" s="21"/>
      <c r="GU53" s="21" t="s">
        <v>89</v>
      </c>
      <c r="GV53" s="21"/>
      <c r="GW53" s="21" t="s">
        <v>84</v>
      </c>
      <c r="GX53" s="21"/>
      <c r="GY53" s="21"/>
    </row>
    <row r="54" spans="1:207" ht="25.2" x14ac:dyDescent="0.35">
      <c r="A54" s="21" t="s">
        <v>127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6">
        <v>9150</v>
      </c>
      <c r="M54" s="26"/>
      <c r="N54" s="26"/>
      <c r="O54" s="26"/>
      <c r="P54" s="26"/>
      <c r="Q54" s="26"/>
      <c r="R54" s="26"/>
      <c r="S54" s="26"/>
      <c r="T54" s="26">
        <v>250</v>
      </c>
      <c r="U54" s="26"/>
      <c r="V54" s="26"/>
      <c r="W54" s="26"/>
      <c r="X54" s="26"/>
      <c r="Y54" s="26"/>
      <c r="Z54" s="26"/>
      <c r="AA54" s="26"/>
      <c r="AB54" s="26">
        <v>38</v>
      </c>
      <c r="AC54" s="26"/>
      <c r="AD54" s="26"/>
      <c r="AE54" s="26"/>
      <c r="AF54" s="26"/>
      <c r="AG54" s="26"/>
      <c r="AH54" s="26"/>
      <c r="AI54" s="26"/>
      <c r="AJ54" s="26">
        <v>6000</v>
      </c>
      <c r="AK54" s="26"/>
      <c r="AL54" s="26"/>
      <c r="AM54" s="26"/>
      <c r="AN54" s="26"/>
      <c r="AO54" s="26"/>
      <c r="AP54" s="26"/>
      <c r="AQ54" s="26"/>
      <c r="AR54" s="26">
        <v>2400000</v>
      </c>
      <c r="AS54" s="26"/>
      <c r="AT54" s="26"/>
      <c r="AU54" s="26"/>
      <c r="AV54" s="26"/>
      <c r="AW54" s="26"/>
      <c r="AX54" s="26"/>
      <c r="AY54" s="26"/>
      <c r="BB54" s="21" t="s">
        <v>41</v>
      </c>
      <c r="BC54" s="21"/>
      <c r="BD54" s="21"/>
      <c r="BE54" s="21"/>
      <c r="BF54" s="21"/>
      <c r="BG54" s="21"/>
      <c r="BH54" s="21"/>
      <c r="BI54" s="21"/>
      <c r="BJ54" s="21" t="s">
        <v>128</v>
      </c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6">
        <v>22102</v>
      </c>
      <c r="CA54" s="26"/>
      <c r="CB54" s="26"/>
      <c r="CC54" s="26"/>
      <c r="CD54" s="26"/>
      <c r="CE54" s="26"/>
      <c r="CF54" s="26"/>
      <c r="CG54" s="26"/>
      <c r="CH54" s="26">
        <v>90</v>
      </c>
      <c r="CI54" s="26"/>
      <c r="CJ54" s="26"/>
      <c r="CK54" s="26"/>
      <c r="CL54" s="26"/>
      <c r="CM54" s="26"/>
      <c r="CN54" s="26"/>
      <c r="CO54" s="26"/>
      <c r="CP54" s="26">
        <v>269</v>
      </c>
      <c r="CQ54" s="26"/>
      <c r="CR54" s="26"/>
      <c r="CS54" s="26"/>
      <c r="CT54" s="26"/>
      <c r="CU54" s="26"/>
      <c r="CV54" s="26"/>
      <c r="CW54" s="26"/>
      <c r="CX54" s="26">
        <v>24</v>
      </c>
      <c r="CY54" s="26"/>
      <c r="CZ54" s="26"/>
      <c r="DA54" s="26"/>
      <c r="DB54" s="26"/>
      <c r="DC54" s="26"/>
      <c r="DD54" s="26"/>
      <c r="DE54" s="26"/>
      <c r="DF54" s="26">
        <v>4940</v>
      </c>
      <c r="DG54" s="26"/>
      <c r="DH54" s="26"/>
      <c r="DI54" s="26"/>
      <c r="DJ54" s="26"/>
      <c r="DK54" s="26"/>
      <c r="DL54" s="26"/>
      <c r="DM54" s="26"/>
      <c r="DN54" s="26">
        <v>1836431</v>
      </c>
      <c r="DO54" s="26"/>
      <c r="DP54" s="26"/>
      <c r="DQ54" s="26"/>
      <c r="DR54" s="26"/>
      <c r="DS54" s="26"/>
      <c r="DT54" s="26"/>
      <c r="DU54" s="26"/>
      <c r="DX54" s="20">
        <v>46272</v>
      </c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19">
        <v>18.48</v>
      </c>
      <c r="EO54" s="18"/>
      <c r="EP54" s="18"/>
      <c r="EQ54" s="19">
        <v>24</v>
      </c>
      <c r="ER54" s="18"/>
      <c r="ES54" s="17">
        <f t="shared" ref="ES54:ES61" si="1">IF(EQ54=0,0,EN54/EQ54)</f>
        <v>0.77</v>
      </c>
      <c r="ET54" s="18"/>
      <c r="EU54" s="18"/>
      <c r="EV54" s="19">
        <v>17.760000000000002</v>
      </c>
      <c r="EW54" s="18"/>
      <c r="EX54" s="18"/>
      <c r="EY54" s="19">
        <v>24</v>
      </c>
      <c r="EZ54" s="18"/>
      <c r="FA54" s="17">
        <f t="shared" ref="FA54:FA61" si="2">IF(EY54=0,0,EV54/EY54)</f>
        <v>0.7400000000000001</v>
      </c>
      <c r="FB54" s="18"/>
      <c r="FC54" s="18"/>
      <c r="FD54" s="19">
        <v>14.96</v>
      </c>
      <c r="FE54" s="18"/>
      <c r="FF54" s="18"/>
      <c r="FG54" s="19">
        <v>24</v>
      </c>
      <c r="FH54" s="18"/>
      <c r="FI54" s="17">
        <f t="shared" ref="FI54:FI61" si="3">IF(FG54=0,0,FD54/FG54)</f>
        <v>0.62333333333333341</v>
      </c>
      <c r="FJ54" s="18"/>
      <c r="FK54" s="18"/>
      <c r="FL54" s="19">
        <v>16.306888888888889</v>
      </c>
      <c r="FM54" s="18"/>
      <c r="FN54" s="18"/>
      <c r="FO54" s="19">
        <v>23.295555555555556</v>
      </c>
      <c r="FP54" s="18"/>
      <c r="FQ54" s="17">
        <f t="shared" ref="FQ54:FQ61" si="4">IF(FO54=0,0,FL54/FO54)</f>
        <v>0.7</v>
      </c>
      <c r="FR54" s="18"/>
      <c r="FS54" s="18"/>
      <c r="FT54" s="19">
        <v>9.4115500000000001</v>
      </c>
      <c r="FU54" s="18"/>
      <c r="FV54" s="18"/>
      <c r="FW54" s="19">
        <v>12.477499999999999</v>
      </c>
      <c r="FX54" s="18"/>
      <c r="FY54" s="17">
        <f t="shared" ref="FY54:FY61" si="5">IF(FW54=0,0,FT54/FW54)</f>
        <v>0.75428170707273101</v>
      </c>
      <c r="FZ54" s="18"/>
      <c r="GA54" s="18"/>
      <c r="GB54" s="19">
        <v>10.01</v>
      </c>
      <c r="GC54" s="18"/>
      <c r="GD54" s="18"/>
      <c r="GE54" s="19">
        <v>16</v>
      </c>
      <c r="GF54" s="18"/>
      <c r="GG54" s="17">
        <f t="shared" ref="GG54:GG61" si="6">IF(GE54=0,0,GB54/GE54)</f>
        <v>0.62562499999999999</v>
      </c>
      <c r="GH54" s="18"/>
      <c r="GI54" s="18"/>
      <c r="GJ54" s="19">
        <v>0</v>
      </c>
      <c r="GK54" s="18"/>
      <c r="GL54" s="18"/>
      <c r="GM54" s="19">
        <v>0</v>
      </c>
      <c r="GN54" s="18"/>
      <c r="GO54" s="17">
        <f t="shared" ref="GO54:GO61" si="7">IF(GM54=0,0,GJ54/GM54)</f>
        <v>0</v>
      </c>
      <c r="GP54" s="18"/>
      <c r="GQ54" s="18"/>
      <c r="GR54" s="19">
        <v>86.928436279296875</v>
      </c>
      <c r="GS54" s="18"/>
      <c r="GT54" s="18"/>
      <c r="GU54" s="19">
        <v>123.77305603027344</v>
      </c>
      <c r="GV54" s="18"/>
      <c r="GW54" s="17">
        <f t="shared" ref="GW54:GW61" si="8">IF(GU54=0,0,GR54/GU54)</f>
        <v>0.70232115993027755</v>
      </c>
      <c r="GX54" s="18"/>
      <c r="GY54" s="18"/>
    </row>
    <row r="55" spans="1:207" ht="25.2" x14ac:dyDescent="0.35">
      <c r="A55" s="21" t="s">
        <v>129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6">
        <v>9480</v>
      </c>
      <c r="M55" s="26"/>
      <c r="N55" s="26"/>
      <c r="O55" s="26"/>
      <c r="P55" s="26"/>
      <c r="Q55" s="26"/>
      <c r="R55" s="26"/>
      <c r="S55" s="26"/>
      <c r="T55" s="26">
        <v>1000</v>
      </c>
      <c r="U55" s="26"/>
      <c r="V55" s="26"/>
      <c r="W55" s="26"/>
      <c r="X55" s="26"/>
      <c r="Y55" s="26"/>
      <c r="Z55" s="26"/>
      <c r="AA55" s="26"/>
      <c r="AB55" s="26">
        <v>13</v>
      </c>
      <c r="AC55" s="26"/>
      <c r="AD55" s="26"/>
      <c r="AE55" s="26"/>
      <c r="AF55" s="26"/>
      <c r="AG55" s="26"/>
      <c r="AH55" s="26"/>
      <c r="AI55" s="26"/>
      <c r="AJ55" s="26">
        <v>1600</v>
      </c>
      <c r="AK55" s="26"/>
      <c r="AL55" s="26"/>
      <c r="AM55" s="26"/>
      <c r="AN55" s="26"/>
      <c r="AO55" s="26"/>
      <c r="AP55" s="26"/>
      <c r="AQ55" s="26"/>
      <c r="AR55" s="26">
        <v>160000</v>
      </c>
      <c r="AS55" s="26"/>
      <c r="AT55" s="26"/>
      <c r="AU55" s="26"/>
      <c r="AV55" s="26"/>
      <c r="AW55" s="26"/>
      <c r="AX55" s="26"/>
      <c r="AY55" s="26"/>
      <c r="BB55" s="21" t="s">
        <v>41</v>
      </c>
      <c r="BC55" s="21"/>
      <c r="BD55" s="21"/>
      <c r="BE55" s="21"/>
      <c r="BF55" s="21"/>
      <c r="BG55" s="21"/>
      <c r="BH55" s="21"/>
      <c r="BI55" s="21"/>
      <c r="BJ55" s="21" t="s">
        <v>81</v>
      </c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6">
        <v>16210</v>
      </c>
      <c r="CA55" s="26"/>
      <c r="CB55" s="26"/>
      <c r="CC55" s="26"/>
      <c r="CD55" s="26"/>
      <c r="CE55" s="26"/>
      <c r="CF55" s="26"/>
      <c r="CG55" s="26"/>
      <c r="CH55" s="26">
        <v>90</v>
      </c>
      <c r="CI55" s="26"/>
      <c r="CJ55" s="26"/>
      <c r="CK55" s="26"/>
      <c r="CL55" s="26"/>
      <c r="CM55" s="26"/>
      <c r="CN55" s="26"/>
      <c r="CO55" s="26"/>
      <c r="CP55" s="26">
        <v>330</v>
      </c>
      <c r="CQ55" s="26"/>
      <c r="CR55" s="26"/>
      <c r="CS55" s="26"/>
      <c r="CT55" s="26"/>
      <c r="CU55" s="26"/>
      <c r="CV55" s="26"/>
      <c r="CW55" s="26"/>
      <c r="CX55" s="26">
        <v>6</v>
      </c>
      <c r="CY55" s="26"/>
      <c r="CZ55" s="26"/>
      <c r="DA55" s="26"/>
      <c r="DB55" s="26"/>
      <c r="DC55" s="26"/>
      <c r="DD55" s="26"/>
      <c r="DE55" s="26"/>
      <c r="DF55" s="26">
        <v>2935</v>
      </c>
      <c r="DG55" s="26"/>
      <c r="DH55" s="26"/>
      <c r="DI55" s="26"/>
      <c r="DJ55" s="26"/>
      <c r="DK55" s="26"/>
      <c r="DL55" s="26"/>
      <c r="DM55" s="26"/>
      <c r="DN55" s="26">
        <v>889394</v>
      </c>
      <c r="DO55" s="26"/>
      <c r="DP55" s="26"/>
      <c r="DQ55" s="26"/>
      <c r="DR55" s="26"/>
      <c r="DS55" s="26"/>
      <c r="DT55" s="26"/>
      <c r="DU55" s="26"/>
      <c r="DX55" s="20">
        <v>46273</v>
      </c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19">
        <v>18.48</v>
      </c>
      <c r="EO55" s="18"/>
      <c r="EP55" s="18"/>
      <c r="EQ55" s="19">
        <v>24</v>
      </c>
      <c r="ER55" s="18"/>
      <c r="ES55" s="17">
        <f t="shared" si="1"/>
        <v>0.77</v>
      </c>
      <c r="ET55" s="18"/>
      <c r="EU55" s="18"/>
      <c r="EV55" s="19">
        <v>17.02</v>
      </c>
      <c r="EW55" s="18"/>
      <c r="EX55" s="18"/>
      <c r="EY55" s="19">
        <v>24</v>
      </c>
      <c r="EZ55" s="18"/>
      <c r="FA55" s="17">
        <f t="shared" si="2"/>
        <v>0.70916666666666661</v>
      </c>
      <c r="FB55" s="18"/>
      <c r="FC55" s="18"/>
      <c r="FD55" s="19">
        <v>16.32</v>
      </c>
      <c r="FE55" s="18"/>
      <c r="FF55" s="18"/>
      <c r="FG55" s="19">
        <v>24</v>
      </c>
      <c r="FH55" s="18"/>
      <c r="FI55" s="17">
        <f t="shared" si="3"/>
        <v>0.68</v>
      </c>
      <c r="FJ55" s="18"/>
      <c r="FK55" s="18"/>
      <c r="FL55" s="19">
        <v>16.100000000000001</v>
      </c>
      <c r="FM55" s="18"/>
      <c r="FN55" s="18"/>
      <c r="FO55" s="19">
        <v>24</v>
      </c>
      <c r="FP55" s="18"/>
      <c r="FQ55" s="17">
        <f t="shared" si="4"/>
        <v>0.67083333333333339</v>
      </c>
      <c r="FR55" s="18"/>
      <c r="FS55" s="18"/>
      <c r="FT55" s="19">
        <v>9.4117527777777763</v>
      </c>
      <c r="FU55" s="18"/>
      <c r="FV55" s="18"/>
      <c r="FW55" s="19">
        <v>13.223055555555554</v>
      </c>
      <c r="FX55" s="18"/>
      <c r="FY55" s="17">
        <f t="shared" si="5"/>
        <v>0.71176837594269271</v>
      </c>
      <c r="FZ55" s="18"/>
      <c r="GA55" s="18"/>
      <c r="GB55" s="19">
        <v>17.71</v>
      </c>
      <c r="GC55" s="18"/>
      <c r="GD55" s="18"/>
      <c r="GE55" s="19">
        <v>24</v>
      </c>
      <c r="GF55" s="18"/>
      <c r="GG55" s="17">
        <f t="shared" si="6"/>
        <v>0.73791666666666667</v>
      </c>
      <c r="GH55" s="18"/>
      <c r="GI55" s="18"/>
      <c r="GJ55" s="19">
        <v>0</v>
      </c>
      <c r="GK55" s="18"/>
      <c r="GL55" s="18"/>
      <c r="GM55" s="19">
        <v>0</v>
      </c>
      <c r="GN55" s="18"/>
      <c r="GO55" s="17">
        <f t="shared" si="7"/>
        <v>0</v>
      </c>
      <c r="GP55" s="18"/>
      <c r="GQ55" s="18"/>
      <c r="GR55" s="19">
        <v>95.041755676269531</v>
      </c>
      <c r="GS55" s="18"/>
      <c r="GT55" s="18"/>
      <c r="GU55" s="19">
        <v>133.22305297851563</v>
      </c>
      <c r="GV55" s="18"/>
      <c r="GW55" s="17">
        <f t="shared" si="8"/>
        <v>0.71340322527810973</v>
      </c>
      <c r="GX55" s="18"/>
      <c r="GY55" s="18"/>
    </row>
    <row r="56" spans="1:207" ht="25.2" x14ac:dyDescent="0.35">
      <c r="A56" s="21" t="s">
        <v>79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6">
        <v>2512</v>
      </c>
      <c r="M56" s="26"/>
      <c r="N56" s="26"/>
      <c r="O56" s="26"/>
      <c r="P56" s="26"/>
      <c r="Q56" s="26"/>
      <c r="R56" s="26"/>
      <c r="S56" s="26"/>
      <c r="T56" s="26">
        <v>330</v>
      </c>
      <c r="U56" s="26"/>
      <c r="V56" s="26"/>
      <c r="W56" s="26"/>
      <c r="X56" s="26"/>
      <c r="Y56" s="26"/>
      <c r="Z56" s="26"/>
      <c r="AA56" s="26"/>
      <c r="AB56" s="26">
        <v>30</v>
      </c>
      <c r="AC56" s="26"/>
      <c r="AD56" s="26"/>
      <c r="AE56" s="26"/>
      <c r="AF56" s="26"/>
      <c r="AG56" s="26"/>
      <c r="AH56" s="26"/>
      <c r="AI56" s="26"/>
      <c r="AJ56" s="26">
        <v>5000</v>
      </c>
      <c r="AK56" s="26"/>
      <c r="AL56" s="26"/>
      <c r="AM56" s="26"/>
      <c r="AN56" s="26"/>
      <c r="AO56" s="26"/>
      <c r="AP56" s="26"/>
      <c r="AQ56" s="26"/>
      <c r="AR56" s="26">
        <v>1515153</v>
      </c>
      <c r="AS56" s="26"/>
      <c r="AT56" s="26"/>
      <c r="AU56" s="26"/>
      <c r="AV56" s="26"/>
      <c r="AW56" s="26"/>
      <c r="AX56" s="26"/>
      <c r="AY56" s="26"/>
      <c r="BB56" s="21" t="s">
        <v>41</v>
      </c>
      <c r="BC56" s="21"/>
      <c r="BD56" s="21"/>
      <c r="BE56" s="21"/>
      <c r="BF56" s="21"/>
      <c r="BG56" s="21"/>
      <c r="BH56" s="21"/>
      <c r="BI56" s="21"/>
      <c r="BJ56" s="21" t="s">
        <v>85</v>
      </c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6">
        <v>17740</v>
      </c>
      <c r="CA56" s="26"/>
      <c r="CB56" s="26"/>
      <c r="CC56" s="26"/>
      <c r="CD56" s="26"/>
      <c r="CE56" s="26"/>
      <c r="CF56" s="26"/>
      <c r="CG56" s="26"/>
      <c r="CH56" s="26">
        <v>90</v>
      </c>
      <c r="CI56" s="26"/>
      <c r="CJ56" s="26"/>
      <c r="CK56" s="26"/>
      <c r="CL56" s="26"/>
      <c r="CM56" s="26"/>
      <c r="CN56" s="26"/>
      <c r="CO56" s="26"/>
      <c r="CP56" s="26">
        <v>330</v>
      </c>
      <c r="CQ56" s="26"/>
      <c r="CR56" s="26"/>
      <c r="CS56" s="26"/>
      <c r="CT56" s="26"/>
      <c r="CU56" s="26"/>
      <c r="CV56" s="26"/>
      <c r="CW56" s="26"/>
      <c r="CX56" s="26">
        <v>24</v>
      </c>
      <c r="CY56" s="26"/>
      <c r="CZ56" s="26"/>
      <c r="DA56" s="26"/>
      <c r="DB56" s="26"/>
      <c r="DC56" s="26"/>
      <c r="DD56" s="26"/>
      <c r="DE56" s="26"/>
      <c r="DF56" s="26">
        <v>665</v>
      </c>
      <c r="DG56" s="26"/>
      <c r="DH56" s="26"/>
      <c r="DI56" s="26"/>
      <c r="DJ56" s="26"/>
      <c r="DK56" s="26"/>
      <c r="DL56" s="26"/>
      <c r="DM56" s="26"/>
      <c r="DN56" s="26">
        <v>201515</v>
      </c>
      <c r="DO56" s="26"/>
      <c r="DP56" s="26"/>
      <c r="DQ56" s="26"/>
      <c r="DR56" s="26"/>
      <c r="DS56" s="26"/>
      <c r="DT56" s="26"/>
      <c r="DU56" s="26"/>
      <c r="DX56" s="20">
        <v>46274</v>
      </c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19">
        <v>18.48</v>
      </c>
      <c r="EO56" s="18"/>
      <c r="EP56" s="18"/>
      <c r="EQ56" s="19">
        <v>24</v>
      </c>
      <c r="ER56" s="18"/>
      <c r="ES56" s="17">
        <f t="shared" si="1"/>
        <v>0.77</v>
      </c>
      <c r="ET56" s="18"/>
      <c r="EU56" s="18"/>
      <c r="EV56" s="19">
        <v>11.921855555555554</v>
      </c>
      <c r="EW56" s="18"/>
      <c r="EX56" s="18"/>
      <c r="EY56" s="19">
        <v>24</v>
      </c>
      <c r="EZ56" s="18"/>
      <c r="FA56" s="17">
        <f t="shared" si="2"/>
        <v>0.49674398148148141</v>
      </c>
      <c r="FB56" s="18"/>
      <c r="FC56" s="18"/>
      <c r="FD56" s="19">
        <v>5.508</v>
      </c>
      <c r="FE56" s="18"/>
      <c r="FF56" s="18"/>
      <c r="FG56" s="19">
        <v>24</v>
      </c>
      <c r="FH56" s="18"/>
      <c r="FI56" s="17">
        <f t="shared" si="3"/>
        <v>0.22950000000000001</v>
      </c>
      <c r="FJ56" s="18"/>
      <c r="FK56" s="18"/>
      <c r="FL56" s="19">
        <v>16.8</v>
      </c>
      <c r="FM56" s="18"/>
      <c r="FN56" s="18"/>
      <c r="FO56" s="19">
        <v>24</v>
      </c>
      <c r="FP56" s="18"/>
      <c r="FQ56" s="17">
        <f t="shared" si="4"/>
        <v>0.70000000000000007</v>
      </c>
      <c r="FR56" s="18"/>
      <c r="FS56" s="18"/>
      <c r="FT56" s="19">
        <v>10.588022222222222</v>
      </c>
      <c r="FU56" s="18"/>
      <c r="FV56" s="18"/>
      <c r="FW56" s="19">
        <v>13.912222222222223</v>
      </c>
      <c r="FX56" s="18"/>
      <c r="FY56" s="17">
        <f t="shared" si="5"/>
        <v>0.76105902084498034</v>
      </c>
      <c r="FZ56" s="18"/>
      <c r="GA56" s="18"/>
      <c r="GB56" s="19">
        <v>14.63</v>
      </c>
      <c r="GC56" s="18"/>
      <c r="GD56" s="18"/>
      <c r="GE56" s="19">
        <v>24</v>
      </c>
      <c r="GF56" s="18"/>
      <c r="GG56" s="17">
        <f t="shared" si="6"/>
        <v>0.60958333333333337</v>
      </c>
      <c r="GH56" s="18"/>
      <c r="GI56" s="18"/>
      <c r="GJ56" s="19">
        <v>0</v>
      </c>
      <c r="GK56" s="18"/>
      <c r="GL56" s="18"/>
      <c r="GM56" s="19">
        <v>0</v>
      </c>
      <c r="GN56" s="18"/>
      <c r="GO56" s="17">
        <f t="shared" si="7"/>
        <v>0</v>
      </c>
      <c r="GP56" s="18"/>
      <c r="GQ56" s="18"/>
      <c r="GR56" s="19">
        <v>77.927879333496094</v>
      </c>
      <c r="GS56" s="18"/>
      <c r="GT56" s="18"/>
      <c r="GU56" s="19">
        <v>133.91221618652344</v>
      </c>
      <c r="GV56" s="18"/>
      <c r="GW56" s="17">
        <f t="shared" si="8"/>
        <v>0.58193256412807048</v>
      </c>
      <c r="GX56" s="18"/>
      <c r="GY56" s="18"/>
    </row>
    <row r="57" spans="1:207" ht="25.2" x14ac:dyDescent="0.35">
      <c r="A57" s="21" t="s">
        <v>81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6">
        <v>16210</v>
      </c>
      <c r="M57" s="26"/>
      <c r="N57" s="26"/>
      <c r="O57" s="26"/>
      <c r="P57" s="26"/>
      <c r="Q57" s="26"/>
      <c r="R57" s="26"/>
      <c r="S57" s="26"/>
      <c r="T57" s="26">
        <v>330</v>
      </c>
      <c r="U57" s="26"/>
      <c r="V57" s="26"/>
      <c r="W57" s="26"/>
      <c r="X57" s="26"/>
      <c r="Y57" s="26"/>
      <c r="Z57" s="26"/>
      <c r="AA57" s="26"/>
      <c r="AB57" s="26">
        <v>6</v>
      </c>
      <c r="AC57" s="26"/>
      <c r="AD57" s="26"/>
      <c r="AE57" s="26"/>
      <c r="AF57" s="26"/>
      <c r="AG57" s="26"/>
      <c r="AH57" s="26"/>
      <c r="AI57" s="26"/>
      <c r="AJ57" s="26">
        <v>2935</v>
      </c>
      <c r="AK57" s="26"/>
      <c r="AL57" s="26"/>
      <c r="AM57" s="26"/>
      <c r="AN57" s="26"/>
      <c r="AO57" s="26"/>
      <c r="AP57" s="26"/>
      <c r="AQ57" s="26"/>
      <c r="AR57" s="26">
        <v>889394</v>
      </c>
      <c r="AS57" s="26"/>
      <c r="AT57" s="26"/>
      <c r="AU57" s="26"/>
      <c r="AV57" s="26"/>
      <c r="AW57" s="26"/>
      <c r="AX57" s="26"/>
      <c r="AY57" s="26"/>
      <c r="BB57" s="21" t="s">
        <v>50</v>
      </c>
      <c r="BC57" s="21"/>
      <c r="BD57" s="21"/>
      <c r="BE57" s="21"/>
      <c r="BF57" s="21"/>
      <c r="BG57" s="21"/>
      <c r="BH57" s="21"/>
      <c r="BI57" s="21"/>
      <c r="BJ57" s="21" t="s">
        <v>70</v>
      </c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6">
        <v>9494</v>
      </c>
      <c r="CA57" s="26"/>
      <c r="CB57" s="26"/>
      <c r="CC57" s="26"/>
      <c r="CD57" s="26"/>
      <c r="CE57" s="26"/>
      <c r="CF57" s="26"/>
      <c r="CG57" s="26"/>
      <c r="CH57" s="26">
        <v>90</v>
      </c>
      <c r="CI57" s="26"/>
      <c r="CJ57" s="26"/>
      <c r="CK57" s="26"/>
      <c r="CL57" s="26"/>
      <c r="CM57" s="26"/>
      <c r="CN57" s="26"/>
      <c r="CO57" s="26"/>
      <c r="CP57" s="26">
        <v>1000</v>
      </c>
      <c r="CQ57" s="26"/>
      <c r="CR57" s="26"/>
      <c r="CS57" s="26"/>
      <c r="CT57" s="26"/>
      <c r="CU57" s="26"/>
      <c r="CV57" s="26"/>
      <c r="CW57" s="26"/>
      <c r="CX57" s="26">
        <v>13</v>
      </c>
      <c r="CY57" s="26"/>
      <c r="CZ57" s="26"/>
      <c r="DA57" s="26"/>
      <c r="DB57" s="26"/>
      <c r="DC57" s="26"/>
      <c r="DD57" s="26"/>
      <c r="DE57" s="26"/>
      <c r="DF57" s="26">
        <v>3400</v>
      </c>
      <c r="DG57" s="26"/>
      <c r="DH57" s="26"/>
      <c r="DI57" s="26"/>
      <c r="DJ57" s="26"/>
      <c r="DK57" s="26"/>
      <c r="DL57" s="26"/>
      <c r="DM57" s="26"/>
      <c r="DN57" s="26">
        <v>340000</v>
      </c>
      <c r="DO57" s="26"/>
      <c r="DP57" s="26"/>
      <c r="DQ57" s="26"/>
      <c r="DR57" s="26"/>
      <c r="DS57" s="26"/>
      <c r="DT57" s="26"/>
      <c r="DU57" s="26"/>
      <c r="DX57" s="20">
        <v>46275</v>
      </c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19">
        <v>9.24</v>
      </c>
      <c r="EO57" s="18"/>
      <c r="EP57" s="18"/>
      <c r="EQ57" s="19">
        <v>24</v>
      </c>
      <c r="ER57" s="18"/>
      <c r="ES57" s="17">
        <f t="shared" si="1"/>
        <v>0.38500000000000001</v>
      </c>
      <c r="ET57" s="18"/>
      <c r="EU57" s="18"/>
      <c r="EV57" s="19">
        <v>18</v>
      </c>
      <c r="EW57" s="18"/>
      <c r="EX57" s="18"/>
      <c r="EY57" s="19">
        <v>24</v>
      </c>
      <c r="EZ57" s="18"/>
      <c r="FA57" s="17">
        <f t="shared" si="2"/>
        <v>0.75</v>
      </c>
      <c r="FB57" s="18"/>
      <c r="FC57" s="18"/>
      <c r="FD57" s="19">
        <v>17.760000000000002</v>
      </c>
      <c r="FE57" s="18"/>
      <c r="FF57" s="18"/>
      <c r="FG57" s="19">
        <v>24</v>
      </c>
      <c r="FH57" s="18"/>
      <c r="FI57" s="17">
        <f t="shared" si="3"/>
        <v>0.7400000000000001</v>
      </c>
      <c r="FJ57" s="18"/>
      <c r="FK57" s="18"/>
      <c r="FL57" s="19">
        <v>10.717000000000001</v>
      </c>
      <c r="FM57" s="18"/>
      <c r="FN57" s="18"/>
      <c r="FO57" s="19">
        <v>23.31</v>
      </c>
      <c r="FP57" s="18"/>
      <c r="FQ57" s="17">
        <f t="shared" si="4"/>
        <v>0.4597597597597598</v>
      </c>
      <c r="FR57" s="18"/>
      <c r="FS57" s="18"/>
      <c r="FT57" s="19">
        <v>10.66</v>
      </c>
      <c r="FU57" s="18"/>
      <c r="FV57" s="18"/>
      <c r="FW57" s="19">
        <v>14</v>
      </c>
      <c r="FX57" s="18"/>
      <c r="FY57" s="17">
        <f t="shared" si="5"/>
        <v>0.76142857142857145</v>
      </c>
      <c r="FZ57" s="18"/>
      <c r="GA57" s="18"/>
      <c r="GB57" s="19">
        <v>18.48</v>
      </c>
      <c r="GC57" s="18"/>
      <c r="GD57" s="18"/>
      <c r="GE57" s="19">
        <v>24</v>
      </c>
      <c r="GF57" s="18"/>
      <c r="GG57" s="17">
        <f t="shared" si="6"/>
        <v>0.77</v>
      </c>
      <c r="GH57" s="18"/>
      <c r="GI57" s="18"/>
      <c r="GJ57" s="19">
        <v>0</v>
      </c>
      <c r="GK57" s="18"/>
      <c r="GL57" s="18"/>
      <c r="GM57" s="19">
        <v>0</v>
      </c>
      <c r="GN57" s="18"/>
      <c r="GO57" s="17">
        <f t="shared" si="7"/>
        <v>0</v>
      </c>
      <c r="GP57" s="18"/>
      <c r="GQ57" s="18"/>
      <c r="GR57" s="19">
        <v>84.857002258300781</v>
      </c>
      <c r="GS57" s="18"/>
      <c r="GT57" s="18"/>
      <c r="GU57" s="19">
        <v>133.30999755859375</v>
      </c>
      <c r="GV57" s="18"/>
      <c r="GW57" s="17">
        <f t="shared" si="8"/>
        <v>0.63653892290413983</v>
      </c>
      <c r="GX57" s="18"/>
      <c r="GY57" s="18"/>
    </row>
    <row r="58" spans="1:207" ht="25.2" x14ac:dyDescent="0.35">
      <c r="A58" s="21" t="s">
        <v>131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6">
        <v>21173</v>
      </c>
      <c r="M58" s="26"/>
      <c r="N58" s="26"/>
      <c r="O58" s="26"/>
      <c r="P58" s="26"/>
      <c r="Q58" s="26"/>
      <c r="R58" s="26"/>
      <c r="S58" s="26"/>
      <c r="T58" s="26">
        <v>1000</v>
      </c>
      <c r="U58" s="26"/>
      <c r="V58" s="26"/>
      <c r="W58" s="26"/>
      <c r="X58" s="26"/>
      <c r="Y58" s="26"/>
      <c r="Z58" s="26"/>
      <c r="AA58" s="26"/>
      <c r="AB58" s="26">
        <v>15</v>
      </c>
      <c r="AC58" s="26"/>
      <c r="AD58" s="26"/>
      <c r="AE58" s="26"/>
      <c r="AF58" s="26"/>
      <c r="AG58" s="26"/>
      <c r="AH58" s="26"/>
      <c r="AI58" s="26"/>
      <c r="AJ58" s="26">
        <v>5000</v>
      </c>
      <c r="AK58" s="26"/>
      <c r="AL58" s="26"/>
      <c r="AM58" s="26"/>
      <c r="AN58" s="26"/>
      <c r="AO58" s="26"/>
      <c r="AP58" s="26"/>
      <c r="AQ58" s="26"/>
      <c r="AR58" s="26">
        <v>500000</v>
      </c>
      <c r="AS58" s="26"/>
      <c r="AT58" s="26"/>
      <c r="AU58" s="26"/>
      <c r="AV58" s="26"/>
      <c r="AW58" s="26"/>
      <c r="AX58" s="26"/>
      <c r="AY58" s="26"/>
      <c r="BB58" s="21" t="s">
        <v>50</v>
      </c>
      <c r="BC58" s="21"/>
      <c r="BD58" s="21"/>
      <c r="BE58" s="21"/>
      <c r="BF58" s="21"/>
      <c r="BG58" s="21"/>
      <c r="BH58" s="21"/>
      <c r="BI58" s="21"/>
      <c r="BJ58" s="21" t="s">
        <v>166</v>
      </c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6">
        <v>9482</v>
      </c>
      <c r="CA58" s="26"/>
      <c r="CB58" s="26"/>
      <c r="CC58" s="26"/>
      <c r="CD58" s="26"/>
      <c r="CE58" s="26"/>
      <c r="CF58" s="26"/>
      <c r="CG58" s="26"/>
      <c r="CH58" s="26">
        <v>90</v>
      </c>
      <c r="CI58" s="26"/>
      <c r="CJ58" s="26"/>
      <c r="CK58" s="26"/>
      <c r="CL58" s="26"/>
      <c r="CM58" s="26"/>
      <c r="CN58" s="26"/>
      <c r="CO58" s="26"/>
      <c r="CP58" s="26">
        <v>1000</v>
      </c>
      <c r="CQ58" s="26"/>
      <c r="CR58" s="26"/>
      <c r="CS58" s="26"/>
      <c r="CT58" s="26"/>
      <c r="CU58" s="26"/>
      <c r="CV58" s="26"/>
      <c r="CW58" s="26"/>
      <c r="CX58" s="26">
        <v>13</v>
      </c>
      <c r="CY58" s="26"/>
      <c r="CZ58" s="26"/>
      <c r="DA58" s="26"/>
      <c r="DB58" s="26"/>
      <c r="DC58" s="26"/>
      <c r="DD58" s="26"/>
      <c r="DE58" s="26"/>
      <c r="DF58" s="26">
        <v>2000</v>
      </c>
      <c r="DG58" s="26"/>
      <c r="DH58" s="26"/>
      <c r="DI58" s="26"/>
      <c r="DJ58" s="26"/>
      <c r="DK58" s="26"/>
      <c r="DL58" s="26"/>
      <c r="DM58" s="26"/>
      <c r="DN58" s="26">
        <v>200000</v>
      </c>
      <c r="DO58" s="26"/>
      <c r="DP58" s="26"/>
      <c r="DQ58" s="26"/>
      <c r="DR58" s="26"/>
      <c r="DS58" s="26"/>
      <c r="DT58" s="26"/>
      <c r="DU58" s="26"/>
      <c r="DX58" s="20">
        <v>46276</v>
      </c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19">
        <v>18.48</v>
      </c>
      <c r="EO58" s="18"/>
      <c r="EP58" s="18"/>
      <c r="EQ58" s="19">
        <v>24</v>
      </c>
      <c r="ER58" s="18"/>
      <c r="ES58" s="17">
        <f t="shared" si="1"/>
        <v>0.77</v>
      </c>
      <c r="ET58" s="18"/>
      <c r="EU58" s="18"/>
      <c r="EV58" s="19">
        <v>18</v>
      </c>
      <c r="EW58" s="18"/>
      <c r="EX58" s="18"/>
      <c r="EY58" s="19">
        <v>24</v>
      </c>
      <c r="EZ58" s="18"/>
      <c r="FA58" s="17">
        <f t="shared" si="2"/>
        <v>0.75</v>
      </c>
      <c r="FB58" s="18"/>
      <c r="FC58" s="18"/>
      <c r="FD58" s="19">
        <v>17.760000000000002</v>
      </c>
      <c r="FE58" s="18"/>
      <c r="FF58" s="18"/>
      <c r="FG58" s="19">
        <v>24</v>
      </c>
      <c r="FH58" s="18"/>
      <c r="FI58" s="17">
        <f t="shared" si="3"/>
        <v>0.7400000000000001</v>
      </c>
      <c r="FJ58" s="18"/>
      <c r="FK58" s="18"/>
      <c r="FL58" s="19">
        <v>14.823083333333333</v>
      </c>
      <c r="FM58" s="18"/>
      <c r="FN58" s="18"/>
      <c r="FO58" s="19">
        <v>23.175833333333333</v>
      </c>
      <c r="FP58" s="18"/>
      <c r="FQ58" s="17">
        <f t="shared" si="4"/>
        <v>0.63959224767178458</v>
      </c>
      <c r="FR58" s="18"/>
      <c r="FS58" s="18"/>
      <c r="FT58" s="19">
        <v>1.104494444444444</v>
      </c>
      <c r="FU58" s="18"/>
      <c r="FV58" s="18"/>
      <c r="FW58" s="19">
        <v>1.3469444444444441</v>
      </c>
      <c r="FX58" s="18"/>
      <c r="FY58" s="17">
        <f t="shared" si="5"/>
        <v>0.82</v>
      </c>
      <c r="FZ58" s="18"/>
      <c r="GA58" s="18"/>
      <c r="GB58" s="19">
        <v>17.71</v>
      </c>
      <c r="GC58" s="18"/>
      <c r="GD58" s="18"/>
      <c r="GE58" s="19">
        <v>24</v>
      </c>
      <c r="GF58" s="18"/>
      <c r="GG58" s="17">
        <f t="shared" si="6"/>
        <v>0.73791666666666667</v>
      </c>
      <c r="GH58" s="18"/>
      <c r="GI58" s="18"/>
      <c r="GJ58" s="19">
        <v>0</v>
      </c>
      <c r="GK58" s="18"/>
      <c r="GL58" s="18"/>
      <c r="GM58" s="19">
        <v>0</v>
      </c>
      <c r="GN58" s="18"/>
      <c r="GO58" s="17">
        <f t="shared" si="7"/>
        <v>0</v>
      </c>
      <c r="GP58" s="18"/>
      <c r="GQ58" s="18"/>
      <c r="GR58" s="19">
        <v>87.877578735351563</v>
      </c>
      <c r="GS58" s="18"/>
      <c r="GT58" s="18"/>
      <c r="GU58" s="19">
        <v>120.52278137207031</v>
      </c>
      <c r="GV58" s="18"/>
      <c r="GW58" s="17">
        <f t="shared" si="8"/>
        <v>0.72913666391469556</v>
      </c>
      <c r="GX58" s="18"/>
      <c r="GY58" s="18"/>
    </row>
    <row r="59" spans="1:207" ht="25.2" x14ac:dyDescent="0.35">
      <c r="A59" s="21" t="s">
        <v>132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6">
        <v>21447</v>
      </c>
      <c r="M59" s="26"/>
      <c r="N59" s="26"/>
      <c r="O59" s="26"/>
      <c r="P59" s="26"/>
      <c r="Q59" s="26"/>
      <c r="R59" s="26"/>
      <c r="S59" s="26"/>
      <c r="T59" s="26">
        <v>200</v>
      </c>
      <c r="U59" s="26"/>
      <c r="V59" s="26"/>
      <c r="W59" s="26"/>
      <c r="X59" s="26"/>
      <c r="Y59" s="26"/>
      <c r="Z59" s="26"/>
      <c r="AA59" s="26"/>
      <c r="AB59" s="26">
        <v>6</v>
      </c>
      <c r="AC59" s="26"/>
      <c r="AD59" s="26"/>
      <c r="AE59" s="26"/>
      <c r="AF59" s="26"/>
      <c r="AG59" s="26"/>
      <c r="AH59" s="26"/>
      <c r="AI59" s="26"/>
      <c r="AJ59" s="26">
        <v>2200</v>
      </c>
      <c r="AK59" s="26"/>
      <c r="AL59" s="26"/>
      <c r="AM59" s="26"/>
      <c r="AN59" s="26"/>
      <c r="AO59" s="26"/>
      <c r="AP59" s="26"/>
      <c r="AQ59" s="26"/>
      <c r="AR59" s="26">
        <v>1100000</v>
      </c>
      <c r="AS59" s="26"/>
      <c r="AT59" s="26"/>
      <c r="AU59" s="26"/>
      <c r="AV59" s="26"/>
      <c r="AW59" s="26"/>
      <c r="AX59" s="26"/>
      <c r="AY59" s="26"/>
      <c r="BB59" s="21" t="s">
        <v>50</v>
      </c>
      <c r="BC59" s="21"/>
      <c r="BD59" s="21"/>
      <c r="BE59" s="21"/>
      <c r="BF59" s="21"/>
      <c r="BG59" s="21"/>
      <c r="BH59" s="21"/>
      <c r="BI59" s="21"/>
      <c r="BJ59" s="21" t="s">
        <v>129</v>
      </c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6">
        <v>9480</v>
      </c>
      <c r="CA59" s="26"/>
      <c r="CB59" s="26"/>
      <c r="CC59" s="26"/>
      <c r="CD59" s="26"/>
      <c r="CE59" s="26"/>
      <c r="CF59" s="26"/>
      <c r="CG59" s="26"/>
      <c r="CH59" s="26">
        <v>85</v>
      </c>
      <c r="CI59" s="26"/>
      <c r="CJ59" s="26"/>
      <c r="CK59" s="26"/>
      <c r="CL59" s="26"/>
      <c r="CM59" s="26"/>
      <c r="CN59" s="26"/>
      <c r="CO59" s="26"/>
      <c r="CP59" s="26">
        <v>1000</v>
      </c>
      <c r="CQ59" s="26"/>
      <c r="CR59" s="26"/>
      <c r="CS59" s="26"/>
      <c r="CT59" s="26"/>
      <c r="CU59" s="26"/>
      <c r="CV59" s="26"/>
      <c r="CW59" s="26"/>
      <c r="CX59" s="26">
        <v>13</v>
      </c>
      <c r="CY59" s="26"/>
      <c r="CZ59" s="26"/>
      <c r="DA59" s="26"/>
      <c r="DB59" s="26"/>
      <c r="DC59" s="26"/>
      <c r="DD59" s="26"/>
      <c r="DE59" s="26"/>
      <c r="DF59" s="26">
        <v>1600</v>
      </c>
      <c r="DG59" s="26"/>
      <c r="DH59" s="26"/>
      <c r="DI59" s="26"/>
      <c r="DJ59" s="26"/>
      <c r="DK59" s="26"/>
      <c r="DL59" s="26"/>
      <c r="DM59" s="26"/>
      <c r="DN59" s="26">
        <v>160000</v>
      </c>
      <c r="DO59" s="26"/>
      <c r="DP59" s="26"/>
      <c r="DQ59" s="26"/>
      <c r="DR59" s="26"/>
      <c r="DS59" s="26"/>
      <c r="DT59" s="26"/>
      <c r="DU59" s="26"/>
      <c r="DX59" s="20">
        <v>46277</v>
      </c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19">
        <v>18.48</v>
      </c>
      <c r="EO59" s="18"/>
      <c r="EP59" s="18"/>
      <c r="EQ59" s="19">
        <v>24</v>
      </c>
      <c r="ER59" s="18"/>
      <c r="ES59" s="17">
        <f t="shared" si="1"/>
        <v>0.77</v>
      </c>
      <c r="ET59" s="18"/>
      <c r="EU59" s="18"/>
      <c r="EV59" s="19">
        <v>16.296847222222222</v>
      </c>
      <c r="EW59" s="18"/>
      <c r="EX59" s="18"/>
      <c r="EY59" s="19">
        <v>24</v>
      </c>
      <c r="EZ59" s="18"/>
      <c r="FA59" s="17">
        <f t="shared" si="2"/>
        <v>0.6790353009259259</v>
      </c>
      <c r="FB59" s="18"/>
      <c r="FC59" s="18"/>
      <c r="FD59" s="19">
        <v>17.760000000000002</v>
      </c>
      <c r="FE59" s="18"/>
      <c r="FF59" s="18"/>
      <c r="FG59" s="19">
        <v>24</v>
      </c>
      <c r="FH59" s="18"/>
      <c r="FI59" s="17">
        <f t="shared" si="3"/>
        <v>0.7400000000000001</v>
      </c>
      <c r="FJ59" s="18"/>
      <c r="FK59" s="18"/>
      <c r="FL59" s="19">
        <v>13.3302</v>
      </c>
      <c r="FM59" s="18"/>
      <c r="FN59" s="18"/>
      <c r="FO59" s="19">
        <v>23.514166666666664</v>
      </c>
      <c r="FP59" s="18"/>
      <c r="FQ59" s="17">
        <f t="shared" si="4"/>
        <v>0.56690080447956914</v>
      </c>
      <c r="FR59" s="18"/>
      <c r="FS59" s="18"/>
      <c r="FT59" s="19">
        <v>0</v>
      </c>
      <c r="FU59" s="18"/>
      <c r="FV59" s="18"/>
      <c r="FW59" s="19">
        <v>0</v>
      </c>
      <c r="FX59" s="18"/>
      <c r="FY59" s="17">
        <f t="shared" si="5"/>
        <v>0</v>
      </c>
      <c r="FZ59" s="18"/>
      <c r="GA59" s="18"/>
      <c r="GB59" s="19">
        <v>16.990691666666667</v>
      </c>
      <c r="GC59" s="18"/>
      <c r="GD59" s="18"/>
      <c r="GE59" s="19">
        <v>22.06583333333333</v>
      </c>
      <c r="GF59" s="18"/>
      <c r="GG59" s="17">
        <f t="shared" si="6"/>
        <v>0.77000000000000013</v>
      </c>
      <c r="GH59" s="18"/>
      <c r="GI59" s="18"/>
      <c r="GJ59" s="19">
        <v>0</v>
      </c>
      <c r="GK59" s="18"/>
      <c r="GL59" s="18"/>
      <c r="GM59" s="19">
        <v>0</v>
      </c>
      <c r="GN59" s="18"/>
      <c r="GO59" s="17">
        <f t="shared" si="7"/>
        <v>0</v>
      </c>
      <c r="GP59" s="18"/>
      <c r="GQ59" s="18"/>
      <c r="GR59" s="19">
        <v>82.857742309570313</v>
      </c>
      <c r="GS59" s="18"/>
      <c r="GT59" s="18"/>
      <c r="GU59" s="19">
        <v>117.58000183105469</v>
      </c>
      <c r="GV59" s="18"/>
      <c r="GW59" s="17">
        <f t="shared" si="8"/>
        <v>0.70469247337336161</v>
      </c>
      <c r="GX59" s="18"/>
      <c r="GY59" s="18"/>
    </row>
    <row r="60" spans="1:207" ht="25.2" x14ac:dyDescent="0.35">
      <c r="A60" s="21" t="s">
        <v>85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6">
        <v>17740</v>
      </c>
      <c r="M60" s="26"/>
      <c r="N60" s="26"/>
      <c r="O60" s="26"/>
      <c r="P60" s="26"/>
      <c r="Q60" s="26"/>
      <c r="R60" s="26"/>
      <c r="S60" s="26"/>
      <c r="T60" s="26">
        <v>330</v>
      </c>
      <c r="U60" s="26"/>
      <c r="V60" s="26"/>
      <c r="W60" s="26"/>
      <c r="X60" s="26"/>
      <c r="Y60" s="26"/>
      <c r="Z60" s="26"/>
      <c r="AA60" s="26"/>
      <c r="AB60" s="26">
        <v>24</v>
      </c>
      <c r="AC60" s="26"/>
      <c r="AD60" s="26"/>
      <c r="AE60" s="26"/>
      <c r="AF60" s="26"/>
      <c r="AG60" s="26"/>
      <c r="AH60" s="26"/>
      <c r="AI60" s="26"/>
      <c r="AJ60" s="26">
        <v>665</v>
      </c>
      <c r="AK60" s="26"/>
      <c r="AL60" s="26"/>
      <c r="AM60" s="26"/>
      <c r="AN60" s="26"/>
      <c r="AO60" s="26"/>
      <c r="AP60" s="26"/>
      <c r="AQ60" s="26"/>
      <c r="AR60" s="26">
        <v>201515</v>
      </c>
      <c r="AS60" s="26"/>
      <c r="AT60" s="26"/>
      <c r="AU60" s="26"/>
      <c r="AV60" s="26"/>
      <c r="AW60" s="26"/>
      <c r="AX60" s="26"/>
      <c r="AY60" s="26"/>
      <c r="BB60" s="21" t="s">
        <v>53</v>
      </c>
      <c r="BC60" s="21"/>
      <c r="BD60" s="21"/>
      <c r="BE60" s="21"/>
      <c r="BF60" s="21"/>
      <c r="BG60" s="21"/>
      <c r="BH60" s="21"/>
      <c r="BI60" s="21"/>
      <c r="BJ60" s="21" t="s">
        <v>131</v>
      </c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6">
        <v>21173</v>
      </c>
      <c r="CA60" s="26"/>
      <c r="CB60" s="26"/>
      <c r="CC60" s="26"/>
      <c r="CD60" s="26"/>
      <c r="CE60" s="26"/>
      <c r="CF60" s="26"/>
      <c r="CG60" s="26"/>
      <c r="CH60" s="26">
        <v>90</v>
      </c>
      <c r="CI60" s="26"/>
      <c r="CJ60" s="26"/>
      <c r="CK60" s="26"/>
      <c r="CL60" s="26"/>
      <c r="CM60" s="26"/>
      <c r="CN60" s="26"/>
      <c r="CO60" s="26"/>
      <c r="CP60" s="26">
        <v>1000</v>
      </c>
      <c r="CQ60" s="26"/>
      <c r="CR60" s="26"/>
      <c r="CS60" s="26"/>
      <c r="CT60" s="26"/>
      <c r="CU60" s="26"/>
      <c r="CV60" s="26"/>
      <c r="CW60" s="26"/>
      <c r="CX60" s="26">
        <v>15</v>
      </c>
      <c r="CY60" s="26"/>
      <c r="CZ60" s="26"/>
      <c r="DA60" s="26"/>
      <c r="DB60" s="26"/>
      <c r="DC60" s="26"/>
      <c r="DD60" s="26"/>
      <c r="DE60" s="26"/>
      <c r="DF60" s="26">
        <v>5000</v>
      </c>
      <c r="DG60" s="26"/>
      <c r="DH60" s="26"/>
      <c r="DI60" s="26"/>
      <c r="DJ60" s="26"/>
      <c r="DK60" s="26"/>
      <c r="DL60" s="26"/>
      <c r="DM60" s="26"/>
      <c r="DN60" s="26">
        <v>500000</v>
      </c>
      <c r="DO60" s="26"/>
      <c r="DP60" s="26"/>
      <c r="DQ60" s="26"/>
      <c r="DR60" s="26"/>
      <c r="DS60" s="26"/>
      <c r="DT60" s="26"/>
      <c r="DU60" s="26"/>
      <c r="DX60" s="20">
        <v>46278</v>
      </c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19">
        <v>18.48</v>
      </c>
      <c r="EO60" s="18"/>
      <c r="EP60" s="18"/>
      <c r="EQ60" s="19">
        <v>24</v>
      </c>
      <c r="ER60" s="18"/>
      <c r="ES60" s="17">
        <f t="shared" si="1"/>
        <v>0.77</v>
      </c>
      <c r="ET60" s="18"/>
      <c r="EU60" s="18"/>
      <c r="EV60" s="19">
        <v>17.760000000000002</v>
      </c>
      <c r="EW60" s="18"/>
      <c r="EX60" s="18"/>
      <c r="EY60" s="19">
        <v>24</v>
      </c>
      <c r="EZ60" s="18"/>
      <c r="FA60" s="17">
        <f t="shared" si="2"/>
        <v>0.7400000000000001</v>
      </c>
      <c r="FB60" s="18"/>
      <c r="FC60" s="18"/>
      <c r="FD60" s="19">
        <v>13.722250000000001</v>
      </c>
      <c r="FE60" s="18"/>
      <c r="FF60" s="18"/>
      <c r="FG60" s="19">
        <v>24</v>
      </c>
      <c r="FH60" s="18"/>
      <c r="FI60" s="17">
        <f t="shared" si="3"/>
        <v>0.57176041666666666</v>
      </c>
      <c r="FJ60" s="18"/>
      <c r="FK60" s="18"/>
      <c r="FL60" s="19">
        <v>17.28</v>
      </c>
      <c r="FM60" s="18"/>
      <c r="FN60" s="18"/>
      <c r="FO60" s="19">
        <v>24</v>
      </c>
      <c r="FP60" s="18"/>
      <c r="FQ60" s="17">
        <f t="shared" si="4"/>
        <v>0.72000000000000008</v>
      </c>
      <c r="FR60" s="18"/>
      <c r="FS60" s="18"/>
      <c r="FT60" s="19">
        <v>0</v>
      </c>
      <c r="FU60" s="18"/>
      <c r="FV60" s="18"/>
      <c r="FW60" s="19">
        <v>0</v>
      </c>
      <c r="FX60" s="18"/>
      <c r="FY60" s="17">
        <f t="shared" si="5"/>
        <v>0</v>
      </c>
      <c r="FZ60" s="18"/>
      <c r="GA60" s="18"/>
      <c r="GB60" s="19">
        <v>0</v>
      </c>
      <c r="GC60" s="18"/>
      <c r="GD60" s="18"/>
      <c r="GE60" s="19">
        <v>0</v>
      </c>
      <c r="GF60" s="18"/>
      <c r="GG60" s="17">
        <f t="shared" si="6"/>
        <v>0</v>
      </c>
      <c r="GH60" s="18"/>
      <c r="GI60" s="18"/>
      <c r="GJ60" s="19">
        <v>0</v>
      </c>
      <c r="GK60" s="18"/>
      <c r="GL60" s="18"/>
      <c r="GM60" s="19">
        <v>0</v>
      </c>
      <c r="GN60" s="18"/>
      <c r="GO60" s="17">
        <f t="shared" si="7"/>
        <v>0</v>
      </c>
      <c r="GP60" s="18"/>
      <c r="GQ60" s="18"/>
      <c r="GR60" s="19">
        <v>67.24224853515625</v>
      </c>
      <c r="GS60" s="18"/>
      <c r="GT60" s="18"/>
      <c r="GU60" s="19">
        <v>96</v>
      </c>
      <c r="GV60" s="18"/>
      <c r="GW60" s="17">
        <f t="shared" si="8"/>
        <v>0.70044008890787757</v>
      </c>
      <c r="GX60" s="18"/>
      <c r="GY60" s="18"/>
    </row>
    <row r="61" spans="1:207" ht="25.2" x14ac:dyDescent="0.35">
      <c r="A61" s="21" t="s">
        <v>87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6">
        <v>7078</v>
      </c>
      <c r="M61" s="26"/>
      <c r="N61" s="26"/>
      <c r="O61" s="26"/>
      <c r="P61" s="26"/>
      <c r="Q61" s="26"/>
      <c r="R61" s="26"/>
      <c r="S61" s="26"/>
      <c r="T61" s="26">
        <v>1000</v>
      </c>
      <c r="U61" s="26"/>
      <c r="V61" s="26"/>
      <c r="W61" s="26"/>
      <c r="X61" s="26"/>
      <c r="Y61" s="26"/>
      <c r="Z61" s="26"/>
      <c r="AA61" s="26"/>
      <c r="AB61" s="26">
        <v>15</v>
      </c>
      <c r="AC61" s="26"/>
      <c r="AD61" s="26"/>
      <c r="AE61" s="26"/>
      <c r="AF61" s="26"/>
      <c r="AG61" s="26"/>
      <c r="AH61" s="26"/>
      <c r="AI61" s="26"/>
      <c r="AJ61" s="26">
        <v>4000</v>
      </c>
      <c r="AK61" s="26"/>
      <c r="AL61" s="26"/>
      <c r="AM61" s="26"/>
      <c r="AN61" s="26"/>
      <c r="AO61" s="26"/>
      <c r="AP61" s="26"/>
      <c r="AQ61" s="26"/>
      <c r="AR61" s="26">
        <v>400000</v>
      </c>
      <c r="AS61" s="26"/>
      <c r="AT61" s="26"/>
      <c r="AU61" s="26"/>
      <c r="AV61" s="26"/>
      <c r="AW61" s="26"/>
      <c r="AX61" s="26"/>
      <c r="AY61" s="26"/>
      <c r="BB61" s="21" t="s">
        <v>53</v>
      </c>
      <c r="BC61" s="21"/>
      <c r="BD61" s="21"/>
      <c r="BE61" s="21"/>
      <c r="BF61" s="21"/>
      <c r="BG61" s="21"/>
      <c r="BH61" s="21"/>
      <c r="BI61" s="21"/>
      <c r="BJ61" s="21" t="s">
        <v>132</v>
      </c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6">
        <v>21447</v>
      </c>
      <c r="CA61" s="26"/>
      <c r="CB61" s="26"/>
      <c r="CC61" s="26"/>
      <c r="CD61" s="26"/>
      <c r="CE61" s="26"/>
      <c r="CF61" s="26"/>
      <c r="CG61" s="26"/>
      <c r="CH61" s="26">
        <v>90</v>
      </c>
      <c r="CI61" s="26"/>
      <c r="CJ61" s="26"/>
      <c r="CK61" s="26"/>
      <c r="CL61" s="26"/>
      <c r="CM61" s="26"/>
      <c r="CN61" s="26"/>
      <c r="CO61" s="26"/>
      <c r="CP61" s="26">
        <v>200</v>
      </c>
      <c r="CQ61" s="26"/>
      <c r="CR61" s="26"/>
      <c r="CS61" s="26"/>
      <c r="CT61" s="26"/>
      <c r="CU61" s="26"/>
      <c r="CV61" s="26"/>
      <c r="CW61" s="26"/>
      <c r="CX61" s="26">
        <v>6</v>
      </c>
      <c r="CY61" s="26"/>
      <c r="CZ61" s="26"/>
      <c r="DA61" s="26"/>
      <c r="DB61" s="26"/>
      <c r="DC61" s="26"/>
      <c r="DD61" s="26"/>
      <c r="DE61" s="26"/>
      <c r="DF61" s="26">
        <v>2200</v>
      </c>
      <c r="DG61" s="26"/>
      <c r="DH61" s="26"/>
      <c r="DI61" s="26"/>
      <c r="DJ61" s="26"/>
      <c r="DK61" s="26"/>
      <c r="DL61" s="26"/>
      <c r="DM61" s="26"/>
      <c r="DN61" s="26">
        <v>1100000</v>
      </c>
      <c r="DO61" s="26"/>
      <c r="DP61" s="26"/>
      <c r="DQ61" s="26"/>
      <c r="DR61" s="26"/>
      <c r="DS61" s="26"/>
      <c r="DT61" s="26"/>
      <c r="DU61" s="26"/>
      <c r="DX61" s="21" t="s">
        <v>69</v>
      </c>
      <c r="DY61" s="21" t="s">
        <v>69</v>
      </c>
      <c r="DZ61" s="21" t="s">
        <v>69</v>
      </c>
      <c r="EA61" s="21" t="s">
        <v>69</v>
      </c>
      <c r="EB61" s="21" t="s">
        <v>69</v>
      </c>
      <c r="EC61" s="21" t="s">
        <v>69</v>
      </c>
      <c r="ED61" s="21" t="s">
        <v>69</v>
      </c>
      <c r="EE61" s="21" t="s">
        <v>69</v>
      </c>
      <c r="EF61" s="21" t="s">
        <v>69</v>
      </c>
      <c r="EG61" s="21" t="s">
        <v>69</v>
      </c>
      <c r="EH61" s="21" t="s">
        <v>69</v>
      </c>
      <c r="EI61" s="21" t="s">
        <v>69</v>
      </c>
      <c r="EJ61" s="21" t="s">
        <v>69</v>
      </c>
      <c r="EK61" s="21" t="s">
        <v>69</v>
      </c>
      <c r="EL61" s="21" t="s">
        <v>69</v>
      </c>
      <c r="EM61" s="21" t="s">
        <v>69</v>
      </c>
      <c r="EN61" s="22">
        <f>SUM(EN54:EP60)</f>
        <v>120.12</v>
      </c>
      <c r="EO61" s="18"/>
      <c r="EP61" s="18"/>
      <c r="EQ61" s="22">
        <f>SUM(EQ54:ER60)</f>
        <v>168</v>
      </c>
      <c r="ER61" s="18"/>
      <c r="ES61" s="23">
        <f t="shared" si="1"/>
        <v>0.71500000000000008</v>
      </c>
      <c r="ET61" s="18"/>
      <c r="EU61" s="18"/>
      <c r="EV61" s="22">
        <f>SUM(EV54:EX60)</f>
        <v>116.75870277777778</v>
      </c>
      <c r="EW61" s="18"/>
      <c r="EX61" s="18"/>
      <c r="EY61" s="22">
        <f>SUM(EY54:EZ60)</f>
        <v>168</v>
      </c>
      <c r="EZ61" s="18"/>
      <c r="FA61" s="23">
        <f t="shared" si="2"/>
        <v>0.69499227843915345</v>
      </c>
      <c r="FB61" s="18"/>
      <c r="FC61" s="18"/>
      <c r="FD61" s="22">
        <f>SUM(FD54:FF60)</f>
        <v>103.79025000000001</v>
      </c>
      <c r="FE61" s="18"/>
      <c r="FF61" s="18"/>
      <c r="FG61" s="22">
        <f>SUM(FG54:FH60)</f>
        <v>168</v>
      </c>
      <c r="FH61" s="18"/>
      <c r="FI61" s="23">
        <f t="shared" si="3"/>
        <v>0.61779910714285724</v>
      </c>
      <c r="FJ61" s="18"/>
      <c r="FK61" s="18"/>
      <c r="FL61" s="22">
        <f>SUM(FL54:FN60)</f>
        <v>105.35717222222222</v>
      </c>
      <c r="FM61" s="18"/>
      <c r="FN61" s="18"/>
      <c r="FO61" s="22">
        <f>SUM(FO54:FP60)</f>
        <v>165.29555555555555</v>
      </c>
      <c r="FP61" s="18"/>
      <c r="FQ61" s="23">
        <f t="shared" si="4"/>
        <v>0.63738660043289463</v>
      </c>
      <c r="FR61" s="18"/>
      <c r="FS61" s="18"/>
      <c r="FT61" s="22">
        <f>SUM(FT54:FV60)</f>
        <v>41.175819444444443</v>
      </c>
      <c r="FU61" s="18"/>
      <c r="FV61" s="18"/>
      <c r="FW61" s="22">
        <f>SUM(FW54:FX60)</f>
        <v>54.959722222222226</v>
      </c>
      <c r="FX61" s="18"/>
      <c r="FY61" s="23">
        <f t="shared" si="5"/>
        <v>0.74919991913269812</v>
      </c>
      <c r="FZ61" s="18"/>
      <c r="GA61" s="18"/>
      <c r="GB61" s="22">
        <f>SUM(GB54:GD60)</f>
        <v>95.530691666666655</v>
      </c>
      <c r="GC61" s="18"/>
      <c r="GD61" s="18"/>
      <c r="GE61" s="22">
        <f>SUM(GE54:GF60)</f>
        <v>134.06583333333333</v>
      </c>
      <c r="GF61" s="18"/>
      <c r="GG61" s="23">
        <f t="shared" si="6"/>
        <v>0.71256553061617733</v>
      </c>
      <c r="GH61" s="18"/>
      <c r="GI61" s="18"/>
      <c r="GJ61" s="22">
        <f>SUM(GJ54:GL60)</f>
        <v>0</v>
      </c>
      <c r="GK61" s="18"/>
      <c r="GL61" s="18"/>
      <c r="GM61" s="22">
        <f>SUM(GM54:GN60)</f>
        <v>0</v>
      </c>
      <c r="GN61" s="18"/>
      <c r="GO61" s="23">
        <f t="shared" si="7"/>
        <v>0</v>
      </c>
      <c r="GP61" s="18"/>
      <c r="GQ61" s="18"/>
      <c r="GR61" s="22">
        <f>SUM(GR54:GT60)</f>
        <v>582.73264312744141</v>
      </c>
      <c r="GS61" s="18"/>
      <c r="GT61" s="18"/>
      <c r="GU61" s="22">
        <f>SUM(GU54:GV60)</f>
        <v>858.32110595703125</v>
      </c>
      <c r="GV61" s="18"/>
      <c r="GW61" s="23">
        <f t="shared" si="8"/>
        <v>0.67892148880306558</v>
      </c>
      <c r="GX61" s="18"/>
      <c r="GY61" s="18"/>
    </row>
    <row r="62" spans="1:207" ht="25.2" x14ac:dyDescent="0.35">
      <c r="A62" s="21" t="s">
        <v>90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6">
        <v>3810</v>
      </c>
      <c r="M62" s="26"/>
      <c r="N62" s="26"/>
      <c r="O62" s="26"/>
      <c r="P62" s="26"/>
      <c r="Q62" s="26"/>
      <c r="R62" s="26"/>
      <c r="S62" s="26"/>
      <c r="T62" s="26">
        <v>200</v>
      </c>
      <c r="U62" s="26"/>
      <c r="V62" s="26"/>
      <c r="W62" s="26"/>
      <c r="X62" s="26"/>
      <c r="Y62" s="26"/>
      <c r="Z62" s="26"/>
      <c r="AA62" s="26"/>
      <c r="AB62" s="26">
        <v>30</v>
      </c>
      <c r="AC62" s="26"/>
      <c r="AD62" s="26"/>
      <c r="AE62" s="26"/>
      <c r="AF62" s="26"/>
      <c r="AG62" s="26"/>
      <c r="AH62" s="26"/>
      <c r="AI62" s="26"/>
      <c r="AJ62" s="26">
        <v>3600</v>
      </c>
      <c r="AK62" s="26"/>
      <c r="AL62" s="26"/>
      <c r="AM62" s="26"/>
      <c r="AN62" s="26"/>
      <c r="AO62" s="26"/>
      <c r="AP62" s="26"/>
      <c r="AQ62" s="26"/>
      <c r="AR62" s="26">
        <v>1800000</v>
      </c>
      <c r="AS62" s="26"/>
      <c r="AT62" s="26"/>
      <c r="AU62" s="26"/>
      <c r="AV62" s="26"/>
      <c r="AW62" s="26"/>
      <c r="AX62" s="26"/>
      <c r="AY62" s="26"/>
      <c r="BB62" s="21" t="s">
        <v>53</v>
      </c>
      <c r="BC62" s="21"/>
      <c r="BD62" s="21"/>
      <c r="BE62" s="21"/>
      <c r="BF62" s="21"/>
      <c r="BG62" s="21"/>
      <c r="BH62" s="21"/>
      <c r="BI62" s="21"/>
      <c r="BJ62" s="21" t="s">
        <v>87</v>
      </c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6">
        <v>7078</v>
      </c>
      <c r="CA62" s="26"/>
      <c r="CB62" s="26"/>
      <c r="CC62" s="26"/>
      <c r="CD62" s="26"/>
      <c r="CE62" s="26"/>
      <c r="CF62" s="26"/>
      <c r="CG62" s="26"/>
      <c r="CH62" s="26">
        <v>90</v>
      </c>
      <c r="CI62" s="26"/>
      <c r="CJ62" s="26"/>
      <c r="CK62" s="26"/>
      <c r="CL62" s="26"/>
      <c r="CM62" s="26"/>
      <c r="CN62" s="26"/>
      <c r="CO62" s="26"/>
      <c r="CP62" s="26">
        <v>1000</v>
      </c>
      <c r="CQ62" s="26"/>
      <c r="CR62" s="26"/>
      <c r="CS62" s="26"/>
      <c r="CT62" s="26"/>
      <c r="CU62" s="26"/>
      <c r="CV62" s="26"/>
      <c r="CW62" s="26"/>
      <c r="CX62" s="26">
        <v>15</v>
      </c>
      <c r="CY62" s="26"/>
      <c r="CZ62" s="26"/>
      <c r="DA62" s="26"/>
      <c r="DB62" s="26"/>
      <c r="DC62" s="26"/>
      <c r="DD62" s="26"/>
      <c r="DE62" s="26"/>
      <c r="DF62" s="26">
        <v>4000</v>
      </c>
      <c r="DG62" s="26"/>
      <c r="DH62" s="26"/>
      <c r="DI62" s="26"/>
      <c r="DJ62" s="26"/>
      <c r="DK62" s="26"/>
      <c r="DL62" s="26"/>
      <c r="DM62" s="26"/>
      <c r="DN62" s="26">
        <v>400000</v>
      </c>
      <c r="DO62" s="26"/>
      <c r="DP62" s="26"/>
      <c r="DQ62" s="26"/>
      <c r="DR62" s="26"/>
      <c r="DS62" s="26"/>
      <c r="DT62" s="26"/>
      <c r="DU62" s="26"/>
    </row>
    <row r="63" spans="1:207" ht="25.2" x14ac:dyDescent="0.35">
      <c r="A63" s="21" t="s">
        <v>133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6">
        <v>2224</v>
      </c>
      <c r="M63" s="26"/>
      <c r="N63" s="26"/>
      <c r="O63" s="26"/>
      <c r="P63" s="26"/>
      <c r="Q63" s="26"/>
      <c r="R63" s="26"/>
      <c r="S63" s="26"/>
      <c r="T63" s="26">
        <v>1500</v>
      </c>
      <c r="U63" s="26"/>
      <c r="V63" s="26"/>
      <c r="W63" s="26"/>
      <c r="X63" s="26"/>
      <c r="Y63" s="26"/>
      <c r="Z63" s="26"/>
      <c r="AA63" s="26"/>
      <c r="AB63" s="26">
        <v>6</v>
      </c>
      <c r="AC63" s="26"/>
      <c r="AD63" s="26"/>
      <c r="AE63" s="26"/>
      <c r="AF63" s="26"/>
      <c r="AG63" s="26"/>
      <c r="AH63" s="26"/>
      <c r="AI63" s="26"/>
      <c r="AJ63" s="26">
        <v>3200</v>
      </c>
      <c r="AK63" s="26"/>
      <c r="AL63" s="26"/>
      <c r="AM63" s="26"/>
      <c r="AN63" s="26"/>
      <c r="AO63" s="26"/>
      <c r="AP63" s="26"/>
      <c r="AQ63" s="26"/>
      <c r="AR63" s="26">
        <v>213333</v>
      </c>
      <c r="AS63" s="26"/>
      <c r="AT63" s="26"/>
      <c r="AU63" s="26"/>
      <c r="AV63" s="26"/>
      <c r="AW63" s="26"/>
      <c r="AX63" s="26"/>
      <c r="AY63" s="26"/>
      <c r="BB63" s="21" t="s">
        <v>53</v>
      </c>
      <c r="BC63" s="21"/>
      <c r="BD63" s="21"/>
      <c r="BE63" s="21"/>
      <c r="BF63" s="21"/>
      <c r="BG63" s="21"/>
      <c r="BH63" s="21"/>
      <c r="BI63" s="21"/>
      <c r="BJ63" s="21" t="s">
        <v>90</v>
      </c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6">
        <v>3810</v>
      </c>
      <c r="CA63" s="26"/>
      <c r="CB63" s="26"/>
      <c r="CC63" s="26"/>
      <c r="CD63" s="26"/>
      <c r="CE63" s="26"/>
      <c r="CF63" s="26"/>
      <c r="CG63" s="26"/>
      <c r="CH63" s="26">
        <v>90</v>
      </c>
      <c r="CI63" s="26"/>
      <c r="CJ63" s="26"/>
      <c r="CK63" s="26"/>
      <c r="CL63" s="26"/>
      <c r="CM63" s="26"/>
      <c r="CN63" s="26"/>
      <c r="CO63" s="26"/>
      <c r="CP63" s="26">
        <v>200</v>
      </c>
      <c r="CQ63" s="26"/>
      <c r="CR63" s="26"/>
      <c r="CS63" s="26"/>
      <c r="CT63" s="26"/>
      <c r="CU63" s="26"/>
      <c r="CV63" s="26"/>
      <c r="CW63" s="26"/>
      <c r="CX63" s="26">
        <v>30</v>
      </c>
      <c r="CY63" s="26"/>
      <c r="CZ63" s="26"/>
      <c r="DA63" s="26"/>
      <c r="DB63" s="26"/>
      <c r="DC63" s="26"/>
      <c r="DD63" s="26"/>
      <c r="DE63" s="26"/>
      <c r="DF63" s="26">
        <v>3600</v>
      </c>
      <c r="DG63" s="26"/>
      <c r="DH63" s="26"/>
      <c r="DI63" s="26"/>
      <c r="DJ63" s="26"/>
      <c r="DK63" s="26"/>
      <c r="DL63" s="26"/>
      <c r="DM63" s="26"/>
      <c r="DN63" s="26">
        <v>1800000</v>
      </c>
      <c r="DO63" s="26"/>
      <c r="DP63" s="26"/>
      <c r="DQ63" s="26"/>
      <c r="DR63" s="26"/>
      <c r="DS63" s="26"/>
      <c r="DT63" s="26"/>
      <c r="DU63" s="26"/>
    </row>
    <row r="64" spans="1:207" ht="25.2" x14ac:dyDescent="0.35">
      <c r="A64" s="21" t="s">
        <v>91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>
        <f>SUM(AJ43:AQ63)</f>
        <v>107373</v>
      </c>
      <c r="AK64" s="26"/>
      <c r="AL64" s="26"/>
      <c r="AM64" s="26"/>
      <c r="AN64" s="26"/>
      <c r="AO64" s="26"/>
      <c r="AP64" s="26"/>
      <c r="AQ64" s="26"/>
      <c r="AR64" s="26">
        <f>SUM(AR43:AY63)</f>
        <v>34121810</v>
      </c>
      <c r="AS64" s="26"/>
      <c r="AT64" s="26"/>
      <c r="AU64" s="26"/>
      <c r="AV64" s="26"/>
      <c r="AW64" s="26"/>
      <c r="AX64" s="26"/>
      <c r="AY64" s="26"/>
      <c r="BB64" s="21" t="s">
        <v>53</v>
      </c>
      <c r="BC64" s="21"/>
      <c r="BD64" s="21"/>
      <c r="BE64" s="21"/>
      <c r="BF64" s="21"/>
      <c r="BG64" s="21"/>
      <c r="BH64" s="21"/>
      <c r="BI64" s="21"/>
      <c r="BJ64" s="21" t="s">
        <v>133</v>
      </c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6">
        <v>2224</v>
      </c>
      <c r="CA64" s="26"/>
      <c r="CB64" s="26"/>
      <c r="CC64" s="26"/>
      <c r="CD64" s="26"/>
      <c r="CE64" s="26"/>
      <c r="CF64" s="26"/>
      <c r="CG64" s="26"/>
      <c r="CH64" s="26">
        <v>90</v>
      </c>
      <c r="CI64" s="26"/>
      <c r="CJ64" s="26"/>
      <c r="CK64" s="26"/>
      <c r="CL64" s="26"/>
      <c r="CM64" s="26"/>
      <c r="CN64" s="26"/>
      <c r="CO64" s="26"/>
      <c r="CP64" s="26">
        <v>1500</v>
      </c>
      <c r="CQ64" s="26"/>
      <c r="CR64" s="26"/>
      <c r="CS64" s="26"/>
      <c r="CT64" s="26"/>
      <c r="CU64" s="26"/>
      <c r="CV64" s="26"/>
      <c r="CW64" s="26"/>
      <c r="CX64" s="26">
        <v>6</v>
      </c>
      <c r="CY64" s="26"/>
      <c r="CZ64" s="26"/>
      <c r="DA64" s="26"/>
      <c r="DB64" s="26"/>
      <c r="DC64" s="26"/>
      <c r="DD64" s="26"/>
      <c r="DE64" s="26"/>
      <c r="DF64" s="26">
        <v>3200</v>
      </c>
      <c r="DG64" s="26"/>
      <c r="DH64" s="26"/>
      <c r="DI64" s="26"/>
      <c r="DJ64" s="26"/>
      <c r="DK64" s="26"/>
      <c r="DL64" s="26"/>
      <c r="DM64" s="26"/>
      <c r="DN64" s="26">
        <v>213333</v>
      </c>
      <c r="DO64" s="26"/>
      <c r="DP64" s="26"/>
      <c r="DQ64" s="26"/>
      <c r="DR64" s="26"/>
      <c r="DS64" s="26"/>
      <c r="DT64" s="26"/>
      <c r="DU64" s="26"/>
    </row>
    <row r="65" spans="54:125" ht="25.2" x14ac:dyDescent="0.35">
      <c r="BB65" s="21" t="s">
        <v>91</v>
      </c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>
        <f>SUM(DF43:DM64)</f>
        <v>107373</v>
      </c>
      <c r="DG65" s="26"/>
      <c r="DH65" s="26"/>
      <c r="DI65" s="26"/>
      <c r="DJ65" s="26"/>
      <c r="DK65" s="26"/>
      <c r="DL65" s="26"/>
      <c r="DM65" s="26"/>
      <c r="DN65" s="26">
        <f>SUM(DN43:DU64)</f>
        <v>34121810</v>
      </c>
      <c r="DO65" s="26"/>
      <c r="DP65" s="26"/>
      <c r="DQ65" s="26"/>
      <c r="DR65" s="26"/>
      <c r="DS65" s="26"/>
      <c r="DT65" s="26"/>
      <c r="DU65" s="26"/>
    </row>
    <row r="68" spans="54:125" x14ac:dyDescent="0.35">
      <c r="DN68" s="109"/>
      <c r="DO68" s="109"/>
      <c r="DP68" s="109"/>
      <c r="DQ68" s="109"/>
      <c r="DR68" s="109"/>
      <c r="DS68" s="109"/>
      <c r="DT68" s="109"/>
      <c r="DU68" s="109"/>
    </row>
    <row r="69" spans="54:125" x14ac:dyDescent="0.35">
      <c r="DN69" s="109"/>
      <c r="DO69" s="109"/>
      <c r="DP69" s="109"/>
      <c r="DQ69" s="109"/>
      <c r="DR69" s="109"/>
      <c r="DS69" s="109"/>
      <c r="DT69" s="109"/>
      <c r="DU69" s="109"/>
    </row>
    <row r="70" spans="54:125" x14ac:dyDescent="0.35">
      <c r="DN70" s="109"/>
      <c r="DO70" s="109"/>
      <c r="DP70" s="109"/>
      <c r="DQ70" s="109"/>
      <c r="DR70" s="109"/>
      <c r="DS70" s="109"/>
      <c r="DT70" s="109"/>
      <c r="DU70" s="109"/>
    </row>
  </sheetData>
  <mergeCells count="1232">
    <mergeCell ref="DN69:DU69"/>
    <mergeCell ref="DN70:DU70"/>
    <mergeCell ref="AJ9:AQ9"/>
    <mergeCell ref="AR9:AY9"/>
    <mergeCell ref="A6:C6"/>
    <mergeCell ref="D6:AA6"/>
    <mergeCell ref="AB6:AI6"/>
    <mergeCell ref="AJ6:AN6"/>
    <mergeCell ref="D8:AA8"/>
    <mergeCell ref="Q1:FT4"/>
    <mergeCell ref="A1:C1"/>
    <mergeCell ref="A2:C2"/>
    <mergeCell ref="A3:C3"/>
    <mergeCell ref="A4:C4"/>
    <mergeCell ref="D1:P1"/>
    <mergeCell ref="D2:P2"/>
    <mergeCell ref="D3:P3"/>
    <mergeCell ref="D4:P4"/>
    <mergeCell ref="DN68:DU68"/>
    <mergeCell ref="A11:C11"/>
    <mergeCell ref="A12:C12"/>
    <mergeCell ref="A13:C13"/>
    <mergeCell ref="A14:C14"/>
    <mergeCell ref="D11:AA11"/>
    <mergeCell ref="D14:AA14"/>
    <mergeCell ref="ER8:FO8"/>
    <mergeCell ref="ER9:EY9"/>
    <mergeCell ref="EZ9:FG9"/>
    <mergeCell ref="FH9:FO9"/>
    <mergeCell ref="FP8:FT10"/>
    <mergeCell ref="CV8:DS8"/>
    <mergeCell ref="CV9:DC9"/>
    <mergeCell ref="DD9:DK9"/>
    <mergeCell ref="DL9:DS9"/>
    <mergeCell ref="DT8:EQ8"/>
    <mergeCell ref="DT9:EA9"/>
    <mergeCell ref="EB9:EI9"/>
    <mergeCell ref="EJ9:EQ9"/>
    <mergeCell ref="AZ8:BW8"/>
    <mergeCell ref="AZ9:BG9"/>
    <mergeCell ref="BH9:BO9"/>
    <mergeCell ref="BP9:BW9"/>
    <mergeCell ref="BX8:CU8"/>
    <mergeCell ref="BX9:CE9"/>
    <mergeCell ref="CF9:CM9"/>
    <mergeCell ref="CN9:CU9"/>
    <mergeCell ref="D9:K9"/>
    <mergeCell ref="L9:S9"/>
    <mergeCell ref="T9:AA9"/>
    <mergeCell ref="AB8:AY8"/>
    <mergeCell ref="AB9:AI9"/>
    <mergeCell ref="AB14:AY14"/>
    <mergeCell ref="AZ12:BG12"/>
    <mergeCell ref="AZ13:BG13"/>
    <mergeCell ref="BH12:BO12"/>
    <mergeCell ref="BH13:BO13"/>
    <mergeCell ref="CV11:DS11"/>
    <mergeCell ref="DT11:EQ11"/>
    <mergeCell ref="ER11:FO11"/>
    <mergeCell ref="D12:K12"/>
    <mergeCell ref="D13:K13"/>
    <mergeCell ref="L12:S12"/>
    <mergeCell ref="L13:S13"/>
    <mergeCell ref="T12:AA12"/>
    <mergeCell ref="T13:AA13"/>
    <mergeCell ref="AB12:AI12"/>
    <mergeCell ref="AB13:AI13"/>
    <mergeCell ref="AJ12:AQ12"/>
    <mergeCell ref="AJ13:AQ13"/>
    <mergeCell ref="AR12:AY12"/>
    <mergeCell ref="AR13:AY13"/>
    <mergeCell ref="BP12:BW12"/>
    <mergeCell ref="AB11:AY11"/>
    <mergeCell ref="AZ11:BW11"/>
    <mergeCell ref="BX11:CE11"/>
    <mergeCell ref="CF11:CQ11"/>
    <mergeCell ref="CR11:CU11"/>
    <mergeCell ref="DT12:EA12"/>
    <mergeCell ref="DT13:EA13"/>
    <mergeCell ref="EB12:EI12"/>
    <mergeCell ref="EB13:EI13"/>
    <mergeCell ref="EJ12:EQ12"/>
    <mergeCell ref="EJ13:EQ13"/>
    <mergeCell ref="DD12:DK12"/>
    <mergeCell ref="DD13:DK13"/>
    <mergeCell ref="DL12:DS12"/>
    <mergeCell ref="DL13:DS13"/>
    <mergeCell ref="CV14:DS14"/>
    <mergeCell ref="CR12:CU12"/>
    <mergeCell ref="CR13:CU13"/>
    <mergeCell ref="BX14:CU14"/>
    <mergeCell ref="CV12:DC12"/>
    <mergeCell ref="CV13:DC13"/>
    <mergeCell ref="BP13:BW13"/>
    <mergeCell ref="AZ14:BW14"/>
    <mergeCell ref="BX12:CE12"/>
    <mergeCell ref="BX13:CE13"/>
    <mergeCell ref="CF12:CQ12"/>
    <mergeCell ref="CF13:CQ13"/>
    <mergeCell ref="D15:AA15"/>
    <mergeCell ref="AB15:AC15"/>
    <mergeCell ref="D16:K16"/>
    <mergeCell ref="D17:K17"/>
    <mergeCell ref="L16:S16"/>
    <mergeCell ref="L17:S17"/>
    <mergeCell ref="T16:AA16"/>
    <mergeCell ref="T17:AA17"/>
    <mergeCell ref="D18:AA18"/>
    <mergeCell ref="AB16:AC16"/>
    <mergeCell ref="AB17:AC17"/>
    <mergeCell ref="FH12:FO12"/>
    <mergeCell ref="FH13:FO13"/>
    <mergeCell ref="ER14:FO14"/>
    <mergeCell ref="FP11:FT14"/>
    <mergeCell ref="A15:C15"/>
    <mergeCell ref="AD15"/>
    <mergeCell ref="AE15:AY15"/>
    <mergeCell ref="AZ15:BG15"/>
    <mergeCell ref="BH15:BO15"/>
    <mergeCell ref="BP15:BW15"/>
    <mergeCell ref="BX15:CU15"/>
    <mergeCell ref="CV15:DS15"/>
    <mergeCell ref="DT15:DU15"/>
    <mergeCell ref="DV15:DW15"/>
    <mergeCell ref="DX15:EQ15"/>
    <mergeCell ref="ER15:FO15"/>
    <mergeCell ref="DT14:EQ14"/>
    <mergeCell ref="ER12:EY12"/>
    <mergeCell ref="ER13:EY13"/>
    <mergeCell ref="EZ12:FG12"/>
    <mergeCell ref="EZ13:FG13"/>
    <mergeCell ref="BH16:BO16"/>
    <mergeCell ref="BH17:BO17"/>
    <mergeCell ref="BP16:BW16"/>
    <mergeCell ref="BP17:BW17"/>
    <mergeCell ref="AZ18:BW18"/>
    <mergeCell ref="AR16:AY16"/>
    <mergeCell ref="AR17:AY17"/>
    <mergeCell ref="AB18:AY18"/>
    <mergeCell ref="AZ16:BG16"/>
    <mergeCell ref="AZ17:BG17"/>
    <mergeCell ref="AD16"/>
    <mergeCell ref="AD17"/>
    <mergeCell ref="AE16:AI16"/>
    <mergeCell ref="AE17:AI17"/>
    <mergeCell ref="AJ16:AQ16"/>
    <mergeCell ref="AJ17:AQ17"/>
    <mergeCell ref="A16:C16"/>
    <mergeCell ref="A17:C17"/>
    <mergeCell ref="A18:C18"/>
    <mergeCell ref="A19:C19"/>
    <mergeCell ref="A20:C20"/>
    <mergeCell ref="A21:C21"/>
    <mergeCell ref="A22:C22"/>
    <mergeCell ref="D19:G19"/>
    <mergeCell ref="H19:I19"/>
    <mergeCell ref="J19:AA19"/>
    <mergeCell ref="AB19:AY19"/>
    <mergeCell ref="AZ19:BF19"/>
    <mergeCell ref="BG19:BV19"/>
    <mergeCell ref="BW19"/>
    <mergeCell ref="BX19:CU19"/>
    <mergeCell ref="CV19:DS19"/>
    <mergeCell ref="DT19:EQ19"/>
    <mergeCell ref="ER19"/>
    <mergeCell ref="EZ16:FG16"/>
    <mergeCell ref="EZ17:FG17"/>
    <mergeCell ref="ER18:FO18"/>
    <mergeCell ref="EJ16:EQ16"/>
    <mergeCell ref="EJ17:EQ17"/>
    <mergeCell ref="DT18:EQ18"/>
    <mergeCell ref="ER16:EY16"/>
    <mergeCell ref="ER17:EY17"/>
    <mergeCell ref="DV16:DW16"/>
    <mergeCell ref="DV17:DW17"/>
    <mergeCell ref="DX16:EA16"/>
    <mergeCell ref="DX17:EA17"/>
    <mergeCell ref="EB16:EI16"/>
    <mergeCell ref="EB17:EI17"/>
    <mergeCell ref="DL16:DS16"/>
    <mergeCell ref="DL17:DS17"/>
    <mergeCell ref="CV18:DS18"/>
    <mergeCell ref="ES19:EU19"/>
    <mergeCell ref="EV19:FO19"/>
    <mergeCell ref="D20:G20"/>
    <mergeCell ref="D21:G21"/>
    <mergeCell ref="H20:I20"/>
    <mergeCell ref="H21:I21"/>
    <mergeCell ref="J20:K20"/>
    <mergeCell ref="J21:K21"/>
    <mergeCell ref="L20:S20"/>
    <mergeCell ref="L21:S21"/>
    <mergeCell ref="T20:AA20"/>
    <mergeCell ref="T21:AA21"/>
    <mergeCell ref="AR20:AY20"/>
    <mergeCell ref="AR21:AY21"/>
    <mergeCell ref="AZ20:BF20"/>
    <mergeCell ref="AZ21:BF21"/>
    <mergeCell ref="FP15:FT18"/>
    <mergeCell ref="FH16:FO16"/>
    <mergeCell ref="FH17:FO17"/>
    <mergeCell ref="DT16:DU16"/>
    <mergeCell ref="DT17:DU17"/>
    <mergeCell ref="BX18:CU18"/>
    <mergeCell ref="CV16:DC16"/>
    <mergeCell ref="CV17:DC17"/>
    <mergeCell ref="DD16:DK16"/>
    <mergeCell ref="DD17:DK17"/>
    <mergeCell ref="BX16:CE16"/>
    <mergeCell ref="BX17:CE17"/>
    <mergeCell ref="CF16:CM16"/>
    <mergeCell ref="CF17:CM17"/>
    <mergeCell ref="CN16:CU16"/>
    <mergeCell ref="CN17:CU17"/>
    <mergeCell ref="CN20:CU20"/>
    <mergeCell ref="CN21:CU21"/>
    <mergeCell ref="BX22:CU22"/>
    <mergeCell ref="CV20:DC20"/>
    <mergeCell ref="CV21:DC21"/>
    <mergeCell ref="AZ22:BW22"/>
    <mergeCell ref="BX20:CE20"/>
    <mergeCell ref="BX21:CE21"/>
    <mergeCell ref="CF20:CM20"/>
    <mergeCell ref="CF21:CM21"/>
    <mergeCell ref="BG20:BR20"/>
    <mergeCell ref="BG21:BR21"/>
    <mergeCell ref="BS20:BV20"/>
    <mergeCell ref="BS21:BV21"/>
    <mergeCell ref="BW20"/>
    <mergeCell ref="BW21"/>
    <mergeCell ref="D22:AA22"/>
    <mergeCell ref="AB20:AI20"/>
    <mergeCell ref="AB21:AI21"/>
    <mergeCell ref="AJ20:AQ20"/>
    <mergeCell ref="AJ21:AQ21"/>
    <mergeCell ref="AB22:AY22"/>
    <mergeCell ref="FH20:FO20"/>
    <mergeCell ref="FH21:FO21"/>
    <mergeCell ref="DT22:EQ22"/>
    <mergeCell ref="ER20"/>
    <mergeCell ref="ER21"/>
    <mergeCell ref="ES20:EU20"/>
    <mergeCell ref="ES21:EU21"/>
    <mergeCell ref="ER22:FO22"/>
    <mergeCell ref="DT20:EA20"/>
    <mergeCell ref="DT21:EA21"/>
    <mergeCell ref="EB20:EI20"/>
    <mergeCell ref="EB21:EI21"/>
    <mergeCell ref="EJ20:EQ20"/>
    <mergeCell ref="EJ21:EQ21"/>
    <mergeCell ref="DD20:DK20"/>
    <mergeCell ref="DD21:DK21"/>
    <mergeCell ref="DL20:DS20"/>
    <mergeCell ref="DL21:DS21"/>
    <mergeCell ref="CV22:DS22"/>
    <mergeCell ref="DQ23:DS23"/>
    <mergeCell ref="DT23:DX23"/>
    <mergeCell ref="DY23:EQ23"/>
    <mergeCell ref="ER23:FO23"/>
    <mergeCell ref="D24"/>
    <mergeCell ref="T24:AA24"/>
    <mergeCell ref="AP24"/>
    <mergeCell ref="AZ24:BG24"/>
    <mergeCell ref="CI24:CP24"/>
    <mergeCell ref="CV24:DC24"/>
    <mergeCell ref="EB24:EI24"/>
    <mergeCell ref="EZ24:FG24"/>
    <mergeCell ref="FP19:FT22"/>
    <mergeCell ref="A23:C23"/>
    <mergeCell ref="A24:C24"/>
    <mergeCell ref="A25:C25"/>
    <mergeCell ref="A26:C26"/>
    <mergeCell ref="D23"/>
    <mergeCell ref="E23:AA23"/>
    <mergeCell ref="AB23:AO23"/>
    <mergeCell ref="AP23"/>
    <mergeCell ref="AQ23:AY23"/>
    <mergeCell ref="AZ23:BW23"/>
    <mergeCell ref="BX23:CH23"/>
    <mergeCell ref="CI23:CP23"/>
    <mergeCell ref="CQ23:CT23"/>
    <mergeCell ref="CU23"/>
    <mergeCell ref="CV23:DP23"/>
    <mergeCell ref="EV20:EY20"/>
    <mergeCell ref="EV21:EY21"/>
    <mergeCell ref="EZ20:FG20"/>
    <mergeCell ref="EZ21:FG21"/>
    <mergeCell ref="AZ26:BW26"/>
    <mergeCell ref="BX24:CE24"/>
    <mergeCell ref="BX25:CE25"/>
    <mergeCell ref="CF24:CH24"/>
    <mergeCell ref="CF25:CH25"/>
    <mergeCell ref="BX26:CU26"/>
    <mergeCell ref="AZ25:BG25"/>
    <mergeCell ref="BH24:BO24"/>
    <mergeCell ref="BH25:BO25"/>
    <mergeCell ref="BP24:BW24"/>
    <mergeCell ref="BP25:BW25"/>
    <mergeCell ref="AP25"/>
    <mergeCell ref="AQ24"/>
    <mergeCell ref="AQ25"/>
    <mergeCell ref="AR24:AY24"/>
    <mergeCell ref="AR25:AY25"/>
    <mergeCell ref="T25:AA25"/>
    <mergeCell ref="D26:AA26"/>
    <mergeCell ref="AB24:AI24"/>
    <mergeCell ref="AB25:AI25"/>
    <mergeCell ref="AJ24:AO24"/>
    <mergeCell ref="AJ25:AO25"/>
    <mergeCell ref="AB26:AY26"/>
    <mergeCell ref="D25"/>
    <mergeCell ref="E24:K24"/>
    <mergeCell ref="E25:K25"/>
    <mergeCell ref="L24:S24"/>
    <mergeCell ref="L25:S25"/>
    <mergeCell ref="A27:C27"/>
    <mergeCell ref="A28:C28"/>
    <mergeCell ref="A29:C29"/>
    <mergeCell ref="A30:C30"/>
    <mergeCell ref="D27:N27"/>
    <mergeCell ref="D30:AA30"/>
    <mergeCell ref="EZ25:FG25"/>
    <mergeCell ref="FH24:FO24"/>
    <mergeCell ref="FH25:FO25"/>
    <mergeCell ref="ER26:FO26"/>
    <mergeCell ref="FP23:FT26"/>
    <mergeCell ref="EB25:EI25"/>
    <mergeCell ref="EJ24:EQ24"/>
    <mergeCell ref="EJ25:EQ25"/>
    <mergeCell ref="DT26:EQ26"/>
    <mergeCell ref="ER24:EY24"/>
    <mergeCell ref="ER25:EY25"/>
    <mergeCell ref="CV26:DS26"/>
    <mergeCell ref="DQ24:DX24"/>
    <mergeCell ref="DQ25:DX25"/>
    <mergeCell ref="DY24:EA24"/>
    <mergeCell ref="DY25:EA25"/>
    <mergeCell ref="CV25:DC25"/>
    <mergeCell ref="DD24:DK24"/>
    <mergeCell ref="DD25:DK25"/>
    <mergeCell ref="DL24:DP24"/>
    <mergeCell ref="DL25:DP25"/>
    <mergeCell ref="CI25:CP25"/>
    <mergeCell ref="CQ24:CT24"/>
    <mergeCell ref="CQ25:CT25"/>
    <mergeCell ref="CU24"/>
    <mergeCell ref="CU25"/>
    <mergeCell ref="CW27:DS27"/>
    <mergeCell ref="DT27:EQ27"/>
    <mergeCell ref="ER27:FO27"/>
    <mergeCell ref="D28:K28"/>
    <mergeCell ref="D29:K29"/>
    <mergeCell ref="L28:M28"/>
    <mergeCell ref="L29:M29"/>
    <mergeCell ref="N28"/>
    <mergeCell ref="N29"/>
    <mergeCell ref="O28:S28"/>
    <mergeCell ref="O29:S29"/>
    <mergeCell ref="T28:Y28"/>
    <mergeCell ref="T29:Y29"/>
    <mergeCell ref="Z28:AA28"/>
    <mergeCell ref="Z29:AA29"/>
    <mergeCell ref="AB28:AI28"/>
    <mergeCell ref="AZ27:BJ27"/>
    <mergeCell ref="BK27:BW27"/>
    <mergeCell ref="BX27:CH27"/>
    <mergeCell ref="CI27:CU27"/>
    <mergeCell ref="CV27"/>
    <mergeCell ref="O27:Y27"/>
    <mergeCell ref="Z27:AA27"/>
    <mergeCell ref="AB27:AL27"/>
    <mergeCell ref="AM27:AX27"/>
    <mergeCell ref="AY27"/>
    <mergeCell ref="BJ28"/>
    <mergeCell ref="BJ29"/>
    <mergeCell ref="BK28:BO28"/>
    <mergeCell ref="BK29:BO29"/>
    <mergeCell ref="BP28:BW28"/>
    <mergeCell ref="BP29:BW29"/>
    <mergeCell ref="AB30:AY30"/>
    <mergeCell ref="AZ28:BG28"/>
    <mergeCell ref="AZ29:BG29"/>
    <mergeCell ref="BH28:BI28"/>
    <mergeCell ref="BH29:BI29"/>
    <mergeCell ref="AZ30:BW30"/>
    <mergeCell ref="AM28:AQ28"/>
    <mergeCell ref="AM29:AQ29"/>
    <mergeCell ref="AR28:AX28"/>
    <mergeCell ref="AR29:AX29"/>
    <mergeCell ref="AY28"/>
    <mergeCell ref="AY29"/>
    <mergeCell ref="AB29:AI29"/>
    <mergeCell ref="AJ28:AK28"/>
    <mergeCell ref="AJ29:AK29"/>
    <mergeCell ref="AL28"/>
    <mergeCell ref="AL29"/>
    <mergeCell ref="DT30:EQ30"/>
    <mergeCell ref="DL28:DS28"/>
    <mergeCell ref="DL29:DS29"/>
    <mergeCell ref="CV30:DS30"/>
    <mergeCell ref="DT28:EA28"/>
    <mergeCell ref="DT29:EA29"/>
    <mergeCell ref="CV28"/>
    <mergeCell ref="CV29"/>
    <mergeCell ref="CW28:DC28"/>
    <mergeCell ref="CW29:DC29"/>
    <mergeCell ref="DD28:DK28"/>
    <mergeCell ref="DD29:DK29"/>
    <mergeCell ref="CI28:CM28"/>
    <mergeCell ref="CI29:CM29"/>
    <mergeCell ref="CN28:CU28"/>
    <mergeCell ref="CN29:CU29"/>
    <mergeCell ref="BX30:CU30"/>
    <mergeCell ref="BX28:CE28"/>
    <mergeCell ref="BX29:CE29"/>
    <mergeCell ref="CF28:CG28"/>
    <mergeCell ref="CF29:CG29"/>
    <mergeCell ref="CH28"/>
    <mergeCell ref="CH29"/>
    <mergeCell ref="A34:C34"/>
    <mergeCell ref="D31:L31"/>
    <mergeCell ref="M31:V31"/>
    <mergeCell ref="W31:X31"/>
    <mergeCell ref="Y31:AA31"/>
    <mergeCell ref="D34:AA34"/>
    <mergeCell ref="ER30:FO30"/>
    <mergeCell ref="FP27:FT30"/>
    <mergeCell ref="A31:C31"/>
    <mergeCell ref="A32:C32"/>
    <mergeCell ref="A33:C33"/>
    <mergeCell ref="AB31:AP31"/>
    <mergeCell ref="AQ31"/>
    <mergeCell ref="AR31:AY31"/>
    <mergeCell ref="AZ31:BO31"/>
    <mergeCell ref="BP31:BT31"/>
    <mergeCell ref="BU31:BW31"/>
    <mergeCell ref="BX31:CU31"/>
    <mergeCell ref="CV31"/>
    <mergeCell ref="CW31:DS31"/>
    <mergeCell ref="DT31:EO31"/>
    <mergeCell ref="EP31:EQ31"/>
    <mergeCell ref="ER28:EY28"/>
    <mergeCell ref="ER29:EY29"/>
    <mergeCell ref="EZ28:FG28"/>
    <mergeCell ref="EZ29:FG29"/>
    <mergeCell ref="FH28:FO28"/>
    <mergeCell ref="FH29:FO29"/>
    <mergeCell ref="EB28:EI28"/>
    <mergeCell ref="EB29:EI29"/>
    <mergeCell ref="EJ28:EQ28"/>
    <mergeCell ref="EJ29:EQ29"/>
    <mergeCell ref="BP32:BT32"/>
    <mergeCell ref="BP33:BT33"/>
    <mergeCell ref="BU32:BW32"/>
    <mergeCell ref="BU33:BW33"/>
    <mergeCell ref="AZ34:BW34"/>
    <mergeCell ref="AB34:AY34"/>
    <mergeCell ref="AZ32:BG32"/>
    <mergeCell ref="AZ33:BG33"/>
    <mergeCell ref="BH32:BO32"/>
    <mergeCell ref="BH33:BO33"/>
    <mergeCell ref="AJ33:AP33"/>
    <mergeCell ref="AQ32"/>
    <mergeCell ref="AQ33"/>
    <mergeCell ref="AR32:AY32"/>
    <mergeCell ref="AR33:AY33"/>
    <mergeCell ref="ER31:FO31"/>
    <mergeCell ref="D32:K32"/>
    <mergeCell ref="D33:K33"/>
    <mergeCell ref="L32"/>
    <mergeCell ref="L33"/>
    <mergeCell ref="M32:S32"/>
    <mergeCell ref="M33:S33"/>
    <mergeCell ref="T32:V32"/>
    <mergeCell ref="T33:V33"/>
    <mergeCell ref="W32:X32"/>
    <mergeCell ref="W33:X33"/>
    <mergeCell ref="Y32:AA32"/>
    <mergeCell ref="Y33:AA33"/>
    <mergeCell ref="AB32:AI32"/>
    <mergeCell ref="AB33:AI33"/>
    <mergeCell ref="AJ32:AP32"/>
    <mergeCell ref="DT33:EA33"/>
    <mergeCell ref="EB32:EI32"/>
    <mergeCell ref="EB33:EI33"/>
    <mergeCell ref="EJ32:EO32"/>
    <mergeCell ref="EJ33:EO33"/>
    <mergeCell ref="DD32:DK32"/>
    <mergeCell ref="DD33:DK33"/>
    <mergeCell ref="DL32:DS32"/>
    <mergeCell ref="DL33:DS33"/>
    <mergeCell ref="CV34:DS34"/>
    <mergeCell ref="BX34:CU34"/>
    <mergeCell ref="CV32"/>
    <mergeCell ref="CV33"/>
    <mergeCell ref="CW32:DC32"/>
    <mergeCell ref="CW33:DC33"/>
    <mergeCell ref="BX32:CE32"/>
    <mergeCell ref="BX33:CE33"/>
    <mergeCell ref="CF32:CM32"/>
    <mergeCell ref="CF33:CM33"/>
    <mergeCell ref="CN32:CU32"/>
    <mergeCell ref="CN33:CU33"/>
    <mergeCell ref="T36:AA36"/>
    <mergeCell ref="T37:AA37"/>
    <mergeCell ref="D38:AA38"/>
    <mergeCell ref="AB36:AI36"/>
    <mergeCell ref="AB37:AI37"/>
    <mergeCell ref="FP31:FT34"/>
    <mergeCell ref="A35:C35"/>
    <mergeCell ref="A36:C36"/>
    <mergeCell ref="A37:C37"/>
    <mergeCell ref="A38:C38"/>
    <mergeCell ref="D35:AA35"/>
    <mergeCell ref="AB35:AY35"/>
    <mergeCell ref="AZ35:BW35"/>
    <mergeCell ref="BX35:CU35"/>
    <mergeCell ref="CV35:DS35"/>
    <mergeCell ref="DT35:EQ35"/>
    <mergeCell ref="ER35:FO35"/>
    <mergeCell ref="D36:K36"/>
    <mergeCell ref="D37:K37"/>
    <mergeCell ref="L36:S36"/>
    <mergeCell ref="L37:S37"/>
    <mergeCell ref="EZ32:FG32"/>
    <mergeCell ref="EZ33:FG33"/>
    <mergeCell ref="FH32:FO32"/>
    <mergeCell ref="FH33:FO33"/>
    <mergeCell ref="ER34:FO34"/>
    <mergeCell ref="EP32:EQ32"/>
    <mergeCell ref="EP33:EQ33"/>
    <mergeCell ref="DT34:EQ34"/>
    <mergeCell ref="ER32:EY32"/>
    <mergeCell ref="ER33:EY33"/>
    <mergeCell ref="DT32:EA32"/>
    <mergeCell ref="CV36:DC36"/>
    <mergeCell ref="CV37:DC37"/>
    <mergeCell ref="AZ38:BW38"/>
    <mergeCell ref="BX36:CE36"/>
    <mergeCell ref="BX37:CE37"/>
    <mergeCell ref="CF36:CM36"/>
    <mergeCell ref="CF37:CM37"/>
    <mergeCell ref="AZ36:BG36"/>
    <mergeCell ref="AZ37:BG37"/>
    <mergeCell ref="BH36:BO36"/>
    <mergeCell ref="BH37:BO37"/>
    <mergeCell ref="BP36:BW36"/>
    <mergeCell ref="BP37:BW37"/>
    <mergeCell ref="AJ36:AQ36"/>
    <mergeCell ref="AJ37:AQ37"/>
    <mergeCell ref="AR36:AY36"/>
    <mergeCell ref="AR37:AY37"/>
    <mergeCell ref="AB38:AY38"/>
    <mergeCell ref="FH36:FO36"/>
    <mergeCell ref="FH37:FO37"/>
    <mergeCell ref="ER38:FO38"/>
    <mergeCell ref="FP35:FT38"/>
    <mergeCell ref="A39:C39"/>
    <mergeCell ref="FP39:FT39"/>
    <mergeCell ref="D39:AA39"/>
    <mergeCell ref="AB39:AY39"/>
    <mergeCell ref="AZ39:BW39"/>
    <mergeCell ref="BX39:CU39"/>
    <mergeCell ref="CV39:DS39"/>
    <mergeCell ref="DT39:EQ39"/>
    <mergeCell ref="ER39:FO39"/>
    <mergeCell ref="DT38:EQ38"/>
    <mergeCell ref="ER36:EY36"/>
    <mergeCell ref="ER37:EY37"/>
    <mergeCell ref="EZ36:FG36"/>
    <mergeCell ref="EZ37:FG37"/>
    <mergeCell ref="DT36:EA36"/>
    <mergeCell ref="DT37:EA37"/>
    <mergeCell ref="EB36:EI36"/>
    <mergeCell ref="EB37:EI37"/>
    <mergeCell ref="EJ36:EQ36"/>
    <mergeCell ref="EJ37:EQ37"/>
    <mergeCell ref="DD36:DK36"/>
    <mergeCell ref="DD37:DK37"/>
    <mergeCell ref="DL36:DS36"/>
    <mergeCell ref="DL37:DS37"/>
    <mergeCell ref="CV38:DS38"/>
    <mergeCell ref="CN36:CU36"/>
    <mergeCell ref="CN37:CU37"/>
    <mergeCell ref="BX38:CU38"/>
    <mergeCell ref="AR43:AY43"/>
    <mergeCell ref="A44:K44"/>
    <mergeCell ref="L44:S44"/>
    <mergeCell ref="T44:AA44"/>
    <mergeCell ref="AB44:AI44"/>
    <mergeCell ref="AJ44:AQ44"/>
    <mergeCell ref="AR44:AY44"/>
    <mergeCell ref="A43:K43"/>
    <mergeCell ref="L43:S43"/>
    <mergeCell ref="T43:AA43"/>
    <mergeCell ref="AB43:AI43"/>
    <mergeCell ref="AJ43:AQ43"/>
    <mergeCell ref="A41:AY41"/>
    <mergeCell ref="A42:K42"/>
    <mergeCell ref="L42:S42"/>
    <mergeCell ref="T42:AA42"/>
    <mergeCell ref="AB42:AI42"/>
    <mergeCell ref="AJ42:AQ42"/>
    <mergeCell ref="AR42:AY42"/>
    <mergeCell ref="AR47:AY47"/>
    <mergeCell ref="A48:K48"/>
    <mergeCell ref="L48:S48"/>
    <mergeCell ref="T48:AA48"/>
    <mergeCell ref="AB48:AI48"/>
    <mergeCell ref="AJ48:AQ48"/>
    <mergeCell ref="AR48:AY48"/>
    <mergeCell ref="A47:K47"/>
    <mergeCell ref="L47:S47"/>
    <mergeCell ref="T47:AA47"/>
    <mergeCell ref="AB47:AI47"/>
    <mergeCell ref="AJ47:AQ47"/>
    <mergeCell ref="AR45:AY45"/>
    <mergeCell ref="A46:K46"/>
    <mergeCell ref="L46:S46"/>
    <mergeCell ref="T46:AA46"/>
    <mergeCell ref="AB46:AI46"/>
    <mergeCell ref="AJ46:AQ46"/>
    <mergeCell ref="AR46:AY46"/>
    <mergeCell ref="A45:K45"/>
    <mergeCell ref="L45:S45"/>
    <mergeCell ref="T45:AA45"/>
    <mergeCell ref="AB45:AI45"/>
    <mergeCell ref="AJ45:AQ45"/>
    <mergeCell ref="AR51:AY51"/>
    <mergeCell ref="A52:K52"/>
    <mergeCell ref="L52:S52"/>
    <mergeCell ref="T52:AA52"/>
    <mergeCell ref="AB52:AI52"/>
    <mergeCell ref="AJ52:AQ52"/>
    <mergeCell ref="AR52:AY52"/>
    <mergeCell ref="A51:K51"/>
    <mergeCell ref="L51:S51"/>
    <mergeCell ref="T51:AA51"/>
    <mergeCell ref="AB51:AI51"/>
    <mergeCell ref="AJ51:AQ51"/>
    <mergeCell ref="AR49:AY49"/>
    <mergeCell ref="A50:K50"/>
    <mergeCell ref="L50:S50"/>
    <mergeCell ref="T50:AA50"/>
    <mergeCell ref="AB50:AI50"/>
    <mergeCell ref="AJ50:AQ50"/>
    <mergeCell ref="AR50:AY50"/>
    <mergeCell ref="A49:K49"/>
    <mergeCell ref="L49:S49"/>
    <mergeCell ref="T49:AA49"/>
    <mergeCell ref="AB49:AI49"/>
    <mergeCell ref="AJ49:AQ49"/>
    <mergeCell ref="AR55:AY55"/>
    <mergeCell ref="A56:K56"/>
    <mergeCell ref="L56:S56"/>
    <mergeCell ref="T56:AA56"/>
    <mergeCell ref="AB56:AI56"/>
    <mergeCell ref="AJ56:AQ56"/>
    <mergeCell ref="AR56:AY56"/>
    <mergeCell ref="A55:K55"/>
    <mergeCell ref="L55:S55"/>
    <mergeCell ref="T55:AA55"/>
    <mergeCell ref="AB55:AI55"/>
    <mergeCell ref="AJ55:AQ55"/>
    <mergeCell ref="AR53:AY53"/>
    <mergeCell ref="A54:K54"/>
    <mergeCell ref="L54:S54"/>
    <mergeCell ref="T54:AA54"/>
    <mergeCell ref="AB54:AI54"/>
    <mergeCell ref="AJ54:AQ54"/>
    <mergeCell ref="AR54:AY54"/>
    <mergeCell ref="A53:K53"/>
    <mergeCell ref="L53:S53"/>
    <mergeCell ref="T53:AA53"/>
    <mergeCell ref="AB53:AI53"/>
    <mergeCell ref="AJ53:AQ53"/>
    <mergeCell ref="AJ61:AQ61"/>
    <mergeCell ref="AR59:AY59"/>
    <mergeCell ref="A60:K60"/>
    <mergeCell ref="L60:S60"/>
    <mergeCell ref="T60:AA60"/>
    <mergeCell ref="AB60:AI60"/>
    <mergeCell ref="AJ60:AQ60"/>
    <mergeCell ref="AR60:AY60"/>
    <mergeCell ref="A59:K59"/>
    <mergeCell ref="L59:S59"/>
    <mergeCell ref="T59:AA59"/>
    <mergeCell ref="AB59:AI59"/>
    <mergeCell ref="AJ59:AQ59"/>
    <mergeCell ref="AR57:AY57"/>
    <mergeCell ref="A58:K58"/>
    <mergeCell ref="L58:S58"/>
    <mergeCell ref="T58:AA58"/>
    <mergeCell ref="AB58:AI58"/>
    <mergeCell ref="AJ58:AQ58"/>
    <mergeCell ref="AR58:AY58"/>
    <mergeCell ref="A57:K57"/>
    <mergeCell ref="L57:S57"/>
    <mergeCell ref="T57:AA57"/>
    <mergeCell ref="AB57:AI57"/>
    <mergeCell ref="AJ57:AQ57"/>
    <mergeCell ref="BB41:DU41"/>
    <mergeCell ref="BB42:BI42"/>
    <mergeCell ref="BJ42:BY42"/>
    <mergeCell ref="BZ42:CG42"/>
    <mergeCell ref="CH42:CO42"/>
    <mergeCell ref="CP42:CW42"/>
    <mergeCell ref="CX42:DE42"/>
    <mergeCell ref="DF42:DM42"/>
    <mergeCell ref="DN42:DU42"/>
    <mergeCell ref="AR63:AY63"/>
    <mergeCell ref="A64:K64"/>
    <mergeCell ref="L64:S64"/>
    <mergeCell ref="T64:AA64"/>
    <mergeCell ref="AB64:AI64"/>
    <mergeCell ref="AJ64:AQ64"/>
    <mergeCell ref="AR64:AY64"/>
    <mergeCell ref="A63:K63"/>
    <mergeCell ref="L63:S63"/>
    <mergeCell ref="T63:AA63"/>
    <mergeCell ref="AB63:AI63"/>
    <mergeCell ref="AJ63:AQ63"/>
    <mergeCell ref="AR61:AY61"/>
    <mergeCell ref="A62:K62"/>
    <mergeCell ref="L62:S62"/>
    <mergeCell ref="T62:AA62"/>
    <mergeCell ref="AB62:AI62"/>
    <mergeCell ref="AJ62:AQ62"/>
    <mergeCell ref="AR62:AY62"/>
    <mergeCell ref="A61:K61"/>
    <mergeCell ref="L61:S61"/>
    <mergeCell ref="T61:AA61"/>
    <mergeCell ref="AB61:AI61"/>
    <mergeCell ref="CX45:DE45"/>
    <mergeCell ref="DF45:DM45"/>
    <mergeCell ref="DN45:DU45"/>
    <mergeCell ref="BB46:BI46"/>
    <mergeCell ref="BJ46:BY46"/>
    <mergeCell ref="BZ46:CG46"/>
    <mergeCell ref="CH46:CO46"/>
    <mergeCell ref="CP46:CW46"/>
    <mergeCell ref="CX46:DE46"/>
    <mergeCell ref="DF46:DM46"/>
    <mergeCell ref="DN46:DU46"/>
    <mergeCell ref="BB45:BI45"/>
    <mergeCell ref="BJ45:BY45"/>
    <mergeCell ref="BZ45:CG45"/>
    <mergeCell ref="CH45:CO45"/>
    <mergeCell ref="CP45:CW45"/>
    <mergeCell ref="CX43:DE43"/>
    <mergeCell ref="DF43:DM43"/>
    <mergeCell ref="DN43:DU43"/>
    <mergeCell ref="BB44:BI44"/>
    <mergeCell ref="BJ44:BY44"/>
    <mergeCell ref="BZ44:CG44"/>
    <mergeCell ref="CH44:CO44"/>
    <mergeCell ref="CP44:CW44"/>
    <mergeCell ref="CX44:DE44"/>
    <mergeCell ref="DF44:DM44"/>
    <mergeCell ref="DN44:DU44"/>
    <mergeCell ref="BB43:BI43"/>
    <mergeCell ref="BJ43:BY43"/>
    <mergeCell ref="BZ43:CG43"/>
    <mergeCell ref="CH43:CO43"/>
    <mergeCell ref="CP43:CW43"/>
    <mergeCell ref="CX49:DE49"/>
    <mergeCell ref="DF49:DM49"/>
    <mergeCell ref="DN49:DU49"/>
    <mergeCell ref="BB50:BI50"/>
    <mergeCell ref="BJ50:BY50"/>
    <mergeCell ref="BZ50:CG50"/>
    <mergeCell ref="CH50:CO50"/>
    <mergeCell ref="CP50:CW50"/>
    <mergeCell ref="CX50:DE50"/>
    <mergeCell ref="DF50:DM50"/>
    <mergeCell ref="DN50:DU50"/>
    <mergeCell ref="BB49:BI49"/>
    <mergeCell ref="BJ49:BY49"/>
    <mergeCell ref="BZ49:CG49"/>
    <mergeCell ref="CH49:CO49"/>
    <mergeCell ref="CP49:CW49"/>
    <mergeCell ref="CX47:DE47"/>
    <mergeCell ref="DF47:DM47"/>
    <mergeCell ref="DN47:DU47"/>
    <mergeCell ref="BB48:BI48"/>
    <mergeCell ref="BJ48:BY48"/>
    <mergeCell ref="BZ48:CG48"/>
    <mergeCell ref="CH48:CO48"/>
    <mergeCell ref="CP48:CW48"/>
    <mergeCell ref="CX48:DE48"/>
    <mergeCell ref="DF48:DM48"/>
    <mergeCell ref="DN48:DU48"/>
    <mergeCell ref="BB47:BI47"/>
    <mergeCell ref="BJ47:BY47"/>
    <mergeCell ref="BZ47:CG47"/>
    <mergeCell ref="CH47:CO47"/>
    <mergeCell ref="CP47:CW47"/>
    <mergeCell ref="CX53:DE53"/>
    <mergeCell ref="DF53:DM53"/>
    <mergeCell ref="DN53:DU53"/>
    <mergeCell ref="BB54:BI54"/>
    <mergeCell ref="BJ54:BY54"/>
    <mergeCell ref="BZ54:CG54"/>
    <mergeCell ref="CH54:CO54"/>
    <mergeCell ref="CP54:CW54"/>
    <mergeCell ref="CX54:DE54"/>
    <mergeCell ref="DF54:DM54"/>
    <mergeCell ref="DN54:DU54"/>
    <mergeCell ref="BB53:BI53"/>
    <mergeCell ref="BJ53:BY53"/>
    <mergeCell ref="BZ53:CG53"/>
    <mergeCell ref="CH53:CO53"/>
    <mergeCell ref="CP53:CW53"/>
    <mergeCell ref="CX51:DE51"/>
    <mergeCell ref="DF51:DM51"/>
    <mergeCell ref="DN51:DU51"/>
    <mergeCell ref="BB52:BI52"/>
    <mergeCell ref="BJ52:BY52"/>
    <mergeCell ref="BZ52:CG52"/>
    <mergeCell ref="CH52:CO52"/>
    <mergeCell ref="CP52:CW52"/>
    <mergeCell ref="CX52:DE52"/>
    <mergeCell ref="DF52:DM52"/>
    <mergeCell ref="DN52:DU52"/>
    <mergeCell ref="BB51:BI51"/>
    <mergeCell ref="BJ51:BY51"/>
    <mergeCell ref="BZ51:CG51"/>
    <mergeCell ref="CH51:CO51"/>
    <mergeCell ref="CP51:CW51"/>
    <mergeCell ref="CX57:DE57"/>
    <mergeCell ref="DF57:DM57"/>
    <mergeCell ref="DN57:DU57"/>
    <mergeCell ref="BB58:BI58"/>
    <mergeCell ref="BJ58:BY58"/>
    <mergeCell ref="BZ58:CG58"/>
    <mergeCell ref="CH58:CO58"/>
    <mergeCell ref="CP58:CW58"/>
    <mergeCell ref="CX58:DE58"/>
    <mergeCell ref="DF58:DM58"/>
    <mergeCell ref="DN58:DU58"/>
    <mergeCell ref="BB57:BI57"/>
    <mergeCell ref="BJ57:BY57"/>
    <mergeCell ref="BZ57:CG57"/>
    <mergeCell ref="CH57:CO57"/>
    <mergeCell ref="CP57:CW57"/>
    <mergeCell ref="CX55:DE55"/>
    <mergeCell ref="DF55:DM55"/>
    <mergeCell ref="DN55:DU55"/>
    <mergeCell ref="BB56:BI56"/>
    <mergeCell ref="BJ56:BY56"/>
    <mergeCell ref="BZ56:CG56"/>
    <mergeCell ref="CH56:CO56"/>
    <mergeCell ref="CP56:CW56"/>
    <mergeCell ref="CX56:DE56"/>
    <mergeCell ref="DF56:DM56"/>
    <mergeCell ref="DN56:DU56"/>
    <mergeCell ref="BB55:BI55"/>
    <mergeCell ref="BJ55:BY55"/>
    <mergeCell ref="BZ55:CG55"/>
    <mergeCell ref="CH55:CO55"/>
    <mergeCell ref="CP55:CW55"/>
    <mergeCell ref="DN61:DU61"/>
    <mergeCell ref="BB62:BI62"/>
    <mergeCell ref="BJ62:BY62"/>
    <mergeCell ref="BZ62:CG62"/>
    <mergeCell ref="CH62:CO62"/>
    <mergeCell ref="CP62:CW62"/>
    <mergeCell ref="CX62:DE62"/>
    <mergeCell ref="DF62:DM62"/>
    <mergeCell ref="DN62:DU62"/>
    <mergeCell ref="BB61:BI61"/>
    <mergeCell ref="BJ61:BY61"/>
    <mergeCell ref="BZ61:CG61"/>
    <mergeCell ref="CH61:CO61"/>
    <mergeCell ref="CP61:CW61"/>
    <mergeCell ref="CX59:DE59"/>
    <mergeCell ref="DF59:DM59"/>
    <mergeCell ref="DN59:DU59"/>
    <mergeCell ref="BB60:BI60"/>
    <mergeCell ref="BJ60:BY60"/>
    <mergeCell ref="BZ60:CG60"/>
    <mergeCell ref="CH60:CO60"/>
    <mergeCell ref="CP60:CW60"/>
    <mergeCell ref="CX60:DE60"/>
    <mergeCell ref="DF60:DM60"/>
    <mergeCell ref="DN60:DU60"/>
    <mergeCell ref="BB59:BI59"/>
    <mergeCell ref="BJ59:BY59"/>
    <mergeCell ref="BZ59:CG59"/>
    <mergeCell ref="CH59:CO59"/>
    <mergeCell ref="CP59:CW59"/>
    <mergeCell ref="BB65:BI65"/>
    <mergeCell ref="BJ65:BY65"/>
    <mergeCell ref="BZ65:CG65"/>
    <mergeCell ref="CH65:CO65"/>
    <mergeCell ref="CP65:CW65"/>
    <mergeCell ref="CX63:DE63"/>
    <mergeCell ref="DF63:DM63"/>
    <mergeCell ref="DN63:DU63"/>
    <mergeCell ref="BB64:BI64"/>
    <mergeCell ref="BJ64:BY64"/>
    <mergeCell ref="BZ64:CG64"/>
    <mergeCell ref="CH64:CO64"/>
    <mergeCell ref="CP64:CW64"/>
    <mergeCell ref="CX64:DE64"/>
    <mergeCell ref="DF64:DM64"/>
    <mergeCell ref="DN64:DU64"/>
    <mergeCell ref="BB63:BI63"/>
    <mergeCell ref="BJ63:BY63"/>
    <mergeCell ref="BZ63:CG63"/>
    <mergeCell ref="CH63:CO63"/>
    <mergeCell ref="CP63:CW63"/>
    <mergeCell ref="EV42:FC42"/>
    <mergeCell ref="EV43:FC43"/>
    <mergeCell ref="EV44:FC44"/>
    <mergeCell ref="EV45:FC45"/>
    <mergeCell ref="EV46:FC46"/>
    <mergeCell ref="EV47:FC47"/>
    <mergeCell ref="EV48:FC48"/>
    <mergeCell ref="EV49:FC49"/>
    <mergeCell ref="EV50:FC50"/>
    <mergeCell ref="EN42:EU42"/>
    <mergeCell ref="EN43:EU43"/>
    <mergeCell ref="EN44:EU44"/>
    <mergeCell ref="EN45:EU45"/>
    <mergeCell ref="EN46:EU46"/>
    <mergeCell ref="CX65:DE65"/>
    <mergeCell ref="DF65:DM65"/>
    <mergeCell ref="DN65:DU65"/>
    <mergeCell ref="DX42:EM42"/>
    <mergeCell ref="DX43:EM43"/>
    <mergeCell ref="DX44:EM44"/>
    <mergeCell ref="DX45:EM45"/>
    <mergeCell ref="DX46:EM46"/>
    <mergeCell ref="DX47:EM47"/>
    <mergeCell ref="DX48:EM48"/>
    <mergeCell ref="DX49:EM49"/>
    <mergeCell ref="DX50:EM50"/>
    <mergeCell ref="DX52:EM53"/>
    <mergeCell ref="DX61:EM61"/>
    <mergeCell ref="DX54:EM54"/>
    <mergeCell ref="DX55:EM55"/>
    <mergeCell ref="CX61:DE61"/>
    <mergeCell ref="DF61:DM61"/>
    <mergeCell ref="FT46:GA46"/>
    <mergeCell ref="FD47:FK47"/>
    <mergeCell ref="FD48:FK48"/>
    <mergeCell ref="FD49:FK49"/>
    <mergeCell ref="FD50:FK50"/>
    <mergeCell ref="FL42:FS42"/>
    <mergeCell ref="FL43:FS43"/>
    <mergeCell ref="FL44:FS44"/>
    <mergeCell ref="FL45:FS45"/>
    <mergeCell ref="FL46:FS46"/>
    <mergeCell ref="FL47:FS47"/>
    <mergeCell ref="FL48:FS48"/>
    <mergeCell ref="FL49:FS49"/>
    <mergeCell ref="FL50:FS50"/>
    <mergeCell ref="FD42:FK42"/>
    <mergeCell ref="FD43:FK43"/>
    <mergeCell ref="FD44:FK44"/>
    <mergeCell ref="FD45:FK45"/>
    <mergeCell ref="FD46:FK46"/>
    <mergeCell ref="DX41:GY41"/>
    <mergeCell ref="GR42:GY42"/>
    <mergeCell ref="GR43:GY43"/>
    <mergeCell ref="GR44:GY44"/>
    <mergeCell ref="GR45:GY45"/>
    <mergeCell ref="GR46:GY46"/>
    <mergeCell ref="GR47:GY47"/>
    <mergeCell ref="GR48:GY48"/>
    <mergeCell ref="GR49:GY49"/>
    <mergeCell ref="GR50:GY50"/>
    <mergeCell ref="GJ42:GQ42"/>
    <mergeCell ref="GJ43:GQ43"/>
    <mergeCell ref="GJ44:GQ44"/>
    <mergeCell ref="GJ45:GQ45"/>
    <mergeCell ref="GJ46:GQ46"/>
    <mergeCell ref="FT47:GA47"/>
    <mergeCell ref="FT48:GA48"/>
    <mergeCell ref="FT49:GA49"/>
    <mergeCell ref="FT50:GA50"/>
    <mergeCell ref="GB42:GI42"/>
    <mergeCell ref="GB43:GI43"/>
    <mergeCell ref="GB44:GI44"/>
    <mergeCell ref="GB45:GI45"/>
    <mergeCell ref="GB46:GI46"/>
    <mergeCell ref="GB47:GI47"/>
    <mergeCell ref="GB48:GI48"/>
    <mergeCell ref="GB49:GI49"/>
    <mergeCell ref="GB50:GI50"/>
    <mergeCell ref="FT42:GA42"/>
    <mergeCell ref="FT43:GA43"/>
    <mergeCell ref="FT44:GA44"/>
    <mergeCell ref="FT45:GA45"/>
    <mergeCell ref="EN53:EP53"/>
    <mergeCell ref="EQ53:ER53"/>
    <mergeCell ref="ES53:EU53"/>
    <mergeCell ref="EN52:EU52"/>
    <mergeCell ref="EN61:EP61"/>
    <mergeCell ref="EQ61:ER61"/>
    <mergeCell ref="ES61:EU61"/>
    <mergeCell ref="EN54:EP54"/>
    <mergeCell ref="EQ54:ER54"/>
    <mergeCell ref="ES54:EU54"/>
    <mergeCell ref="EN55:EP55"/>
    <mergeCell ref="EQ55:ER55"/>
    <mergeCell ref="ES55:EU55"/>
    <mergeCell ref="GJ47:GQ47"/>
    <mergeCell ref="GJ48:GQ48"/>
    <mergeCell ref="GJ49:GQ49"/>
    <mergeCell ref="GJ50:GQ50"/>
    <mergeCell ref="EN47:EU47"/>
    <mergeCell ref="EN48:EU48"/>
    <mergeCell ref="EN49:EU49"/>
    <mergeCell ref="EN50:EU50"/>
    <mergeCell ref="FD53:FF53"/>
    <mergeCell ref="FG53:FH53"/>
    <mergeCell ref="FI53:FK53"/>
    <mergeCell ref="FD52:FK52"/>
    <mergeCell ref="FD61:FF61"/>
    <mergeCell ref="FG61:FH61"/>
    <mergeCell ref="FI61:FK61"/>
    <mergeCell ref="FD54:FF54"/>
    <mergeCell ref="FG54:FH54"/>
    <mergeCell ref="FI54:FK54"/>
    <mergeCell ref="FD55:FF55"/>
    <mergeCell ref="FG55:FH55"/>
    <mergeCell ref="FI55:FK55"/>
    <mergeCell ref="FD56:FF56"/>
    <mergeCell ref="FG56:FH56"/>
    <mergeCell ref="FI56:FK56"/>
    <mergeCell ref="EV53:EX53"/>
    <mergeCell ref="EY53:EZ53"/>
    <mergeCell ref="FA53:FC53"/>
    <mergeCell ref="EV52:FC52"/>
    <mergeCell ref="EV61:EX61"/>
    <mergeCell ref="EY61:EZ61"/>
    <mergeCell ref="FA61:FC61"/>
    <mergeCell ref="EV54:EX54"/>
    <mergeCell ref="EY54:EZ54"/>
    <mergeCell ref="FA54:FC54"/>
    <mergeCell ref="EV55:EX55"/>
    <mergeCell ref="EY55:EZ55"/>
    <mergeCell ref="FA55:FC55"/>
    <mergeCell ref="EY56:EZ56"/>
    <mergeCell ref="FA56:FC56"/>
    <mergeCell ref="EY57:EZ57"/>
    <mergeCell ref="FT53:FV53"/>
    <mergeCell ref="FW53:FX53"/>
    <mergeCell ref="FY53:GA53"/>
    <mergeCell ref="FT52:GA52"/>
    <mergeCell ref="FT61:FV61"/>
    <mergeCell ref="FW61:FX61"/>
    <mergeCell ref="FY61:GA61"/>
    <mergeCell ref="FT54:FV54"/>
    <mergeCell ref="FW54:FX54"/>
    <mergeCell ref="FY54:GA54"/>
    <mergeCell ref="FT55:FV55"/>
    <mergeCell ref="FW55:FX55"/>
    <mergeCell ref="FY55:GA55"/>
    <mergeCell ref="FT56:FV56"/>
    <mergeCell ref="FW56:FX56"/>
    <mergeCell ref="FY56:GA56"/>
    <mergeCell ref="FL53:FN53"/>
    <mergeCell ref="FO53:FP53"/>
    <mergeCell ref="FQ53:FS53"/>
    <mergeCell ref="FL52:FS52"/>
    <mergeCell ref="FL61:FN61"/>
    <mergeCell ref="FO61:FP61"/>
    <mergeCell ref="FQ61:FS61"/>
    <mergeCell ref="FL54:FN54"/>
    <mergeCell ref="FO54:FP54"/>
    <mergeCell ref="FQ54:FS54"/>
    <mergeCell ref="FL55:FN55"/>
    <mergeCell ref="FO55:FP55"/>
    <mergeCell ref="FQ55:FS55"/>
    <mergeCell ref="FL56:FN56"/>
    <mergeCell ref="FO56:FP56"/>
    <mergeCell ref="FQ56:FS56"/>
    <mergeCell ref="GJ54:GL54"/>
    <mergeCell ref="GM54:GN54"/>
    <mergeCell ref="GO54:GQ54"/>
    <mergeCell ref="GJ55:GL55"/>
    <mergeCell ref="GM55:GN55"/>
    <mergeCell ref="GO55:GQ55"/>
    <mergeCell ref="GJ56:GL56"/>
    <mergeCell ref="GM56:GN56"/>
    <mergeCell ref="GO56:GQ56"/>
    <mergeCell ref="GB53:GD53"/>
    <mergeCell ref="GE53:GF53"/>
    <mergeCell ref="GG53:GI53"/>
    <mergeCell ref="GB52:GI52"/>
    <mergeCell ref="GB61:GD61"/>
    <mergeCell ref="GE61:GF61"/>
    <mergeCell ref="GG61:GI61"/>
    <mergeCell ref="GB54:GD54"/>
    <mergeCell ref="GE54:GF54"/>
    <mergeCell ref="GG54:GI54"/>
    <mergeCell ref="GB55:GD55"/>
    <mergeCell ref="GE55:GF55"/>
    <mergeCell ref="GG55:GI55"/>
    <mergeCell ref="GB56:GD56"/>
    <mergeCell ref="GE56:GF56"/>
    <mergeCell ref="GG56:GI56"/>
    <mergeCell ref="EN57:EP57"/>
    <mergeCell ref="EQ57:ER57"/>
    <mergeCell ref="ES57:EU57"/>
    <mergeCell ref="EV57:EX57"/>
    <mergeCell ref="DX56:EM56"/>
    <mergeCell ref="EN56:EP56"/>
    <mergeCell ref="EQ56:ER56"/>
    <mergeCell ref="ES56:EU56"/>
    <mergeCell ref="EV56:EX56"/>
    <mergeCell ref="GR53:GT53"/>
    <mergeCell ref="GU53:GV53"/>
    <mergeCell ref="GW53:GY53"/>
    <mergeCell ref="GR52:GY52"/>
    <mergeCell ref="GR61:GT61"/>
    <mergeCell ref="GU61:GV61"/>
    <mergeCell ref="GW61:GY61"/>
    <mergeCell ref="GR54:GT54"/>
    <mergeCell ref="GU54:GV54"/>
    <mergeCell ref="GW54:GY54"/>
    <mergeCell ref="GR55:GT55"/>
    <mergeCell ref="GU55:GV55"/>
    <mergeCell ref="GW55:GY55"/>
    <mergeCell ref="GR56:GT56"/>
    <mergeCell ref="GU56:GV56"/>
    <mergeCell ref="GW56:GY56"/>
    <mergeCell ref="GJ53:GL53"/>
    <mergeCell ref="GM53:GN53"/>
    <mergeCell ref="GO53:GQ53"/>
    <mergeCell ref="GJ52:GQ52"/>
    <mergeCell ref="GJ61:GL61"/>
    <mergeCell ref="GM61:GN61"/>
    <mergeCell ref="GO61:GQ61"/>
    <mergeCell ref="GO57:GQ57"/>
    <mergeCell ref="GR57:GT57"/>
    <mergeCell ref="GU57:GV57"/>
    <mergeCell ref="GW57:GY57"/>
    <mergeCell ref="DX58:EM58"/>
    <mergeCell ref="EN58:EP58"/>
    <mergeCell ref="EQ58:ER58"/>
    <mergeCell ref="ES58:EU58"/>
    <mergeCell ref="EV58:EX58"/>
    <mergeCell ref="EY58:EZ58"/>
    <mergeCell ref="FA58:FC58"/>
    <mergeCell ref="FD58:FF58"/>
    <mergeCell ref="FG58:FH58"/>
    <mergeCell ref="FI58:FK58"/>
    <mergeCell ref="FL58:FN58"/>
    <mergeCell ref="FO58:FP58"/>
    <mergeCell ref="GB57:GD57"/>
    <mergeCell ref="GE57:GF57"/>
    <mergeCell ref="GG57:GI57"/>
    <mergeCell ref="GJ57:GL57"/>
    <mergeCell ref="GM57:GN57"/>
    <mergeCell ref="FO57:FP57"/>
    <mergeCell ref="FQ57:FS57"/>
    <mergeCell ref="FT57:FV57"/>
    <mergeCell ref="FW57:FX57"/>
    <mergeCell ref="FY57:GA57"/>
    <mergeCell ref="FA57:FC57"/>
    <mergeCell ref="FD57:FF57"/>
    <mergeCell ref="FG57:FH57"/>
    <mergeCell ref="FI57:FK57"/>
    <mergeCell ref="FL57:FN57"/>
    <mergeCell ref="DX57:EM57"/>
    <mergeCell ref="FT59:FV59"/>
    <mergeCell ref="FW59:FX59"/>
    <mergeCell ref="FY59:GA59"/>
    <mergeCell ref="GB59:GD59"/>
    <mergeCell ref="GE59:GF59"/>
    <mergeCell ref="GR58:GT58"/>
    <mergeCell ref="GU58:GV58"/>
    <mergeCell ref="GW58:GY58"/>
    <mergeCell ref="DX59:EM59"/>
    <mergeCell ref="EN59:EP59"/>
    <mergeCell ref="EQ59:ER59"/>
    <mergeCell ref="ES59:EU59"/>
    <mergeCell ref="EV59:EX59"/>
    <mergeCell ref="EY59:EZ59"/>
    <mergeCell ref="FA59:FC59"/>
    <mergeCell ref="FD59:FF59"/>
    <mergeCell ref="FG59:FH59"/>
    <mergeCell ref="FI59:FK59"/>
    <mergeCell ref="FL59:FN59"/>
    <mergeCell ref="FO59:FP59"/>
    <mergeCell ref="FQ59:FS59"/>
    <mergeCell ref="GE58:GF58"/>
    <mergeCell ref="GG58:GI58"/>
    <mergeCell ref="GJ58:GL58"/>
    <mergeCell ref="GM58:GN58"/>
    <mergeCell ref="GO58:GQ58"/>
    <mergeCell ref="FQ58:FS58"/>
    <mergeCell ref="FT58:FV58"/>
    <mergeCell ref="FW58:FX58"/>
    <mergeCell ref="FY58:GA58"/>
    <mergeCell ref="GB58:GD58"/>
    <mergeCell ref="GW60:GY60"/>
    <mergeCell ref="GJ60:GL60"/>
    <mergeCell ref="GM60:GN60"/>
    <mergeCell ref="GO60:GQ60"/>
    <mergeCell ref="GR60:GT60"/>
    <mergeCell ref="GU60:GV60"/>
    <mergeCell ref="FW60:FX60"/>
    <mergeCell ref="FY60:GA60"/>
    <mergeCell ref="GB60:GD60"/>
    <mergeCell ref="GE60:GF60"/>
    <mergeCell ref="GG60:GI60"/>
    <mergeCell ref="GU59:GV59"/>
    <mergeCell ref="GW59:GY59"/>
    <mergeCell ref="DX60:EM60"/>
    <mergeCell ref="EN60:EP60"/>
    <mergeCell ref="EQ60:ER60"/>
    <mergeCell ref="ES60:EU60"/>
    <mergeCell ref="EV60:EX60"/>
    <mergeCell ref="EY60:EZ60"/>
    <mergeCell ref="FA60:FC60"/>
    <mergeCell ref="FD60:FF60"/>
    <mergeCell ref="FG60:FH60"/>
    <mergeCell ref="FI60:FK60"/>
    <mergeCell ref="FL60:FN60"/>
    <mergeCell ref="FO60:FP60"/>
    <mergeCell ref="FQ60:FS60"/>
    <mergeCell ref="FT60:FV60"/>
    <mergeCell ref="GG59:GI59"/>
    <mergeCell ref="GJ59:GL59"/>
    <mergeCell ref="GM59:GN59"/>
    <mergeCell ref="GO59:GQ59"/>
    <mergeCell ref="GR59:GT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Y63"/>
  <sheetViews>
    <sheetView topLeftCell="A38" zoomScale="40" workbookViewId="0">
      <selection activeCell="BB43" sqref="BB43:DU62"/>
    </sheetView>
  </sheetViews>
  <sheetFormatPr baseColWidth="10" defaultColWidth="9.109375" defaultRowHeight="24" x14ac:dyDescent="0.35"/>
  <cols>
    <col min="1" max="3" width="9.109375" style="1" customWidth="1"/>
    <col min="4" max="250" width="3" style="1" customWidth="1"/>
    <col min="251" max="251" width="9.109375" style="1" customWidth="1"/>
    <col min="252" max="16384" width="9.109375" style="1"/>
  </cols>
  <sheetData>
    <row r="1" spans="1:176" x14ac:dyDescent="0.35">
      <c r="A1" s="83" t="s">
        <v>0</v>
      </c>
      <c r="B1" s="69"/>
      <c r="C1" s="69"/>
      <c r="D1" s="69" t="s">
        <v>1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80" t="s">
        <v>2</v>
      </c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9"/>
      <c r="EY1" s="69"/>
      <c r="EZ1" s="69"/>
      <c r="FA1" s="69"/>
      <c r="FB1" s="69"/>
      <c r="FC1" s="69"/>
      <c r="FD1" s="69"/>
      <c r="FE1" s="69"/>
      <c r="FF1" s="69"/>
      <c r="FG1" s="69"/>
      <c r="FH1" s="69"/>
      <c r="FI1" s="69"/>
      <c r="FJ1" s="69"/>
      <c r="FK1" s="69"/>
      <c r="FL1" s="69"/>
      <c r="FM1" s="69"/>
      <c r="FN1" s="69"/>
      <c r="FO1" s="69"/>
      <c r="FP1" s="69"/>
      <c r="FQ1" s="69"/>
      <c r="FR1" s="69"/>
      <c r="FS1" s="69"/>
      <c r="FT1" s="70"/>
    </row>
    <row r="2" spans="1:176" x14ac:dyDescent="0.35">
      <c r="A2" s="84" t="s">
        <v>3</v>
      </c>
      <c r="B2" s="21"/>
      <c r="C2" s="21"/>
      <c r="D2" s="21" t="s">
        <v>4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74"/>
    </row>
    <row r="3" spans="1:176" x14ac:dyDescent="0.35">
      <c r="A3" s="84" t="s">
        <v>5</v>
      </c>
      <c r="B3" s="21"/>
      <c r="C3" s="21"/>
      <c r="D3" s="21" t="s">
        <v>6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74"/>
    </row>
    <row r="4" spans="1:176" x14ac:dyDescent="0.35">
      <c r="A4" s="85" t="s">
        <v>7</v>
      </c>
      <c r="B4" s="81"/>
      <c r="C4" s="81"/>
      <c r="D4" s="81" t="s">
        <v>169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  <c r="DF4" s="81"/>
      <c r="DG4" s="81"/>
      <c r="DH4" s="81"/>
      <c r="DI4" s="81"/>
      <c r="DJ4" s="81"/>
      <c r="DK4" s="81"/>
      <c r="DL4" s="81"/>
      <c r="DM4" s="81"/>
      <c r="DN4" s="81"/>
      <c r="DO4" s="81"/>
      <c r="DP4" s="81"/>
      <c r="DQ4" s="81"/>
      <c r="DR4" s="81"/>
      <c r="DS4" s="81"/>
      <c r="DT4" s="81"/>
      <c r="DU4" s="81"/>
      <c r="DV4" s="81"/>
      <c r="DW4" s="81"/>
      <c r="DX4" s="81"/>
      <c r="DY4" s="81"/>
      <c r="DZ4" s="81"/>
      <c r="EA4" s="81"/>
      <c r="EB4" s="81"/>
      <c r="EC4" s="81"/>
      <c r="ED4" s="81"/>
      <c r="EE4" s="81"/>
      <c r="EF4" s="81"/>
      <c r="EG4" s="81"/>
      <c r="EH4" s="81"/>
      <c r="EI4" s="81"/>
      <c r="EJ4" s="81"/>
      <c r="EK4" s="81"/>
      <c r="EL4" s="81"/>
      <c r="EM4" s="81"/>
      <c r="EN4" s="81"/>
      <c r="EO4" s="81"/>
      <c r="EP4" s="81"/>
      <c r="EQ4" s="81"/>
      <c r="ER4" s="81"/>
      <c r="ES4" s="81"/>
      <c r="ET4" s="81"/>
      <c r="EU4" s="81"/>
      <c r="EV4" s="81"/>
      <c r="EW4" s="81"/>
      <c r="EX4" s="81"/>
      <c r="EY4" s="81"/>
      <c r="EZ4" s="81"/>
      <c r="FA4" s="81"/>
      <c r="FB4" s="81"/>
      <c r="FC4" s="81"/>
      <c r="FD4" s="81"/>
      <c r="FE4" s="81"/>
      <c r="FF4" s="81"/>
      <c r="FG4" s="81"/>
      <c r="FH4" s="81"/>
      <c r="FI4" s="81"/>
      <c r="FJ4" s="81"/>
      <c r="FK4" s="81"/>
      <c r="FL4" s="81"/>
      <c r="FM4" s="81"/>
      <c r="FN4" s="81"/>
      <c r="FO4" s="81"/>
      <c r="FP4" s="81"/>
      <c r="FQ4" s="81"/>
      <c r="FR4" s="81"/>
      <c r="FS4" s="81"/>
      <c r="FT4" s="82"/>
    </row>
    <row r="5" spans="1:176" x14ac:dyDescent="0.35">
      <c r="A5" s="4"/>
      <c r="FT5" s="6"/>
    </row>
    <row r="6" spans="1:176" x14ac:dyDescent="0.35">
      <c r="A6" s="78" t="s">
        <v>5</v>
      </c>
      <c r="B6" s="79"/>
      <c r="C6" s="79"/>
      <c r="D6" s="79" t="s">
        <v>154</v>
      </c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 t="s">
        <v>10</v>
      </c>
      <c r="AC6" s="79"/>
      <c r="AD6" s="79"/>
      <c r="AE6" s="79"/>
      <c r="AF6" s="79"/>
      <c r="AG6" s="79"/>
      <c r="AH6" s="79"/>
      <c r="AI6" s="79"/>
      <c r="AJ6" s="79" t="s">
        <v>170</v>
      </c>
      <c r="AK6" s="79"/>
      <c r="AL6" s="79"/>
      <c r="AM6" s="79"/>
      <c r="AN6" s="79"/>
      <c r="FT6" s="6"/>
    </row>
    <row r="7" spans="1:176" x14ac:dyDescent="0.35">
      <c r="A7" s="4"/>
      <c r="FT7" s="6"/>
    </row>
    <row r="8" spans="1:176" x14ac:dyDescent="0.35">
      <c r="A8" s="4"/>
      <c r="D8" s="68" t="s">
        <v>171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70"/>
      <c r="AB8" s="68" t="s">
        <v>172</v>
      </c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70"/>
      <c r="AZ8" s="68" t="s">
        <v>173</v>
      </c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70"/>
      <c r="BX8" s="68" t="s">
        <v>174</v>
      </c>
      <c r="BY8" s="69"/>
      <c r="BZ8" s="69"/>
      <c r="CA8" s="69"/>
      <c r="CB8" s="69"/>
      <c r="CC8" s="69"/>
      <c r="CD8" s="69"/>
      <c r="CE8" s="69"/>
      <c r="CF8" s="69"/>
      <c r="CG8" s="69"/>
      <c r="CH8" s="69"/>
      <c r="CI8" s="69"/>
      <c r="CJ8" s="69"/>
      <c r="CK8" s="69"/>
      <c r="CL8" s="69"/>
      <c r="CM8" s="69"/>
      <c r="CN8" s="69"/>
      <c r="CO8" s="69"/>
      <c r="CP8" s="69"/>
      <c r="CQ8" s="69"/>
      <c r="CR8" s="69"/>
      <c r="CS8" s="69"/>
      <c r="CT8" s="69"/>
      <c r="CU8" s="70"/>
      <c r="CV8" s="68" t="s">
        <v>175</v>
      </c>
      <c r="CW8" s="69"/>
      <c r="CX8" s="69"/>
      <c r="CY8" s="69"/>
      <c r="CZ8" s="69"/>
      <c r="DA8" s="69"/>
      <c r="DB8" s="69"/>
      <c r="DC8" s="69"/>
      <c r="DD8" s="69"/>
      <c r="DE8" s="69"/>
      <c r="DF8" s="69"/>
      <c r="DG8" s="69"/>
      <c r="DH8" s="69"/>
      <c r="DI8" s="69"/>
      <c r="DJ8" s="69"/>
      <c r="DK8" s="69"/>
      <c r="DL8" s="69"/>
      <c r="DM8" s="69"/>
      <c r="DN8" s="69"/>
      <c r="DO8" s="69"/>
      <c r="DP8" s="69"/>
      <c r="DQ8" s="69"/>
      <c r="DR8" s="69"/>
      <c r="DS8" s="70"/>
      <c r="DT8" s="68" t="s">
        <v>176</v>
      </c>
      <c r="DU8" s="69"/>
      <c r="DV8" s="69"/>
      <c r="DW8" s="69"/>
      <c r="DX8" s="69"/>
      <c r="DY8" s="69"/>
      <c r="DZ8" s="69"/>
      <c r="EA8" s="69"/>
      <c r="EB8" s="69"/>
      <c r="EC8" s="69"/>
      <c r="ED8" s="69"/>
      <c r="EE8" s="69"/>
      <c r="EF8" s="69"/>
      <c r="EG8" s="69"/>
      <c r="EH8" s="69"/>
      <c r="EI8" s="69"/>
      <c r="EJ8" s="69"/>
      <c r="EK8" s="69"/>
      <c r="EL8" s="69"/>
      <c r="EM8" s="69"/>
      <c r="EN8" s="69"/>
      <c r="EO8" s="69"/>
      <c r="EP8" s="69"/>
      <c r="EQ8" s="70"/>
      <c r="ER8" s="68" t="s">
        <v>177</v>
      </c>
      <c r="ES8" s="69"/>
      <c r="ET8" s="69"/>
      <c r="EU8" s="69"/>
      <c r="EV8" s="69"/>
      <c r="EW8" s="69"/>
      <c r="EX8" s="69"/>
      <c r="EY8" s="69"/>
      <c r="EZ8" s="69"/>
      <c r="FA8" s="69"/>
      <c r="FB8" s="69"/>
      <c r="FC8" s="69"/>
      <c r="FD8" s="69"/>
      <c r="FE8" s="69"/>
      <c r="FF8" s="69"/>
      <c r="FG8" s="69"/>
      <c r="FH8" s="69"/>
      <c r="FI8" s="69"/>
      <c r="FJ8" s="69"/>
      <c r="FK8" s="69"/>
      <c r="FL8" s="69"/>
      <c r="FM8" s="69"/>
      <c r="FN8" s="69"/>
      <c r="FO8" s="70"/>
      <c r="FP8" s="75" t="s">
        <v>19</v>
      </c>
      <c r="FQ8" s="76"/>
      <c r="FR8" s="76"/>
      <c r="FS8" s="76"/>
      <c r="FT8" s="76"/>
    </row>
    <row r="9" spans="1:176" x14ac:dyDescent="0.35">
      <c r="A9" s="4"/>
      <c r="D9" s="71" t="s">
        <v>20</v>
      </c>
      <c r="E9" s="21"/>
      <c r="F9" s="21"/>
      <c r="G9" s="21"/>
      <c r="H9" s="21"/>
      <c r="I9" s="21"/>
      <c r="J9" s="21"/>
      <c r="K9" s="21"/>
      <c r="L9" s="72" t="s">
        <v>21</v>
      </c>
      <c r="M9" s="21"/>
      <c r="N9" s="21"/>
      <c r="O9" s="21"/>
      <c r="P9" s="21"/>
      <c r="Q9" s="21"/>
      <c r="R9" s="21"/>
      <c r="S9" s="21"/>
      <c r="T9" s="73" t="s">
        <v>22</v>
      </c>
      <c r="U9" s="21"/>
      <c r="V9" s="21"/>
      <c r="W9" s="21"/>
      <c r="X9" s="21"/>
      <c r="Y9" s="21"/>
      <c r="Z9" s="21"/>
      <c r="AA9" s="74"/>
      <c r="AB9" s="71" t="s">
        <v>20</v>
      </c>
      <c r="AC9" s="21"/>
      <c r="AD9" s="21"/>
      <c r="AE9" s="21"/>
      <c r="AF9" s="21"/>
      <c r="AG9" s="21"/>
      <c r="AH9" s="21"/>
      <c r="AI9" s="21"/>
      <c r="AJ9" s="72" t="s">
        <v>21</v>
      </c>
      <c r="AK9" s="21"/>
      <c r="AL9" s="21"/>
      <c r="AM9" s="21"/>
      <c r="AN9" s="21"/>
      <c r="AO9" s="21"/>
      <c r="AP9" s="21"/>
      <c r="AQ9" s="21"/>
      <c r="AR9" s="73" t="s">
        <v>22</v>
      </c>
      <c r="AS9" s="21"/>
      <c r="AT9" s="21"/>
      <c r="AU9" s="21"/>
      <c r="AV9" s="21"/>
      <c r="AW9" s="21"/>
      <c r="AX9" s="21"/>
      <c r="AY9" s="74"/>
      <c r="AZ9" s="71" t="s">
        <v>20</v>
      </c>
      <c r="BA9" s="21"/>
      <c r="BB9" s="21"/>
      <c r="BC9" s="21"/>
      <c r="BD9" s="21"/>
      <c r="BE9" s="21"/>
      <c r="BF9" s="21"/>
      <c r="BG9" s="21"/>
      <c r="BH9" s="72" t="s">
        <v>21</v>
      </c>
      <c r="BI9" s="21"/>
      <c r="BJ9" s="21"/>
      <c r="BK9" s="21"/>
      <c r="BL9" s="21"/>
      <c r="BM9" s="21"/>
      <c r="BN9" s="21"/>
      <c r="BO9" s="21"/>
      <c r="BP9" s="73" t="s">
        <v>22</v>
      </c>
      <c r="BQ9" s="21"/>
      <c r="BR9" s="21"/>
      <c r="BS9" s="21"/>
      <c r="BT9" s="21"/>
      <c r="BU9" s="21"/>
      <c r="BV9" s="21"/>
      <c r="BW9" s="74"/>
      <c r="BX9" s="71" t="s">
        <v>20</v>
      </c>
      <c r="BY9" s="21"/>
      <c r="BZ9" s="21"/>
      <c r="CA9" s="21"/>
      <c r="CB9" s="21"/>
      <c r="CC9" s="21"/>
      <c r="CD9" s="21"/>
      <c r="CE9" s="21"/>
      <c r="CF9" s="72" t="s">
        <v>21</v>
      </c>
      <c r="CG9" s="21"/>
      <c r="CH9" s="21"/>
      <c r="CI9" s="21"/>
      <c r="CJ9" s="21"/>
      <c r="CK9" s="21"/>
      <c r="CL9" s="21"/>
      <c r="CM9" s="21"/>
      <c r="CN9" s="73" t="s">
        <v>22</v>
      </c>
      <c r="CO9" s="21"/>
      <c r="CP9" s="21"/>
      <c r="CQ9" s="21"/>
      <c r="CR9" s="21"/>
      <c r="CS9" s="21"/>
      <c r="CT9" s="21"/>
      <c r="CU9" s="74"/>
      <c r="CV9" s="71" t="s">
        <v>20</v>
      </c>
      <c r="CW9" s="21"/>
      <c r="CX9" s="21"/>
      <c r="CY9" s="21"/>
      <c r="CZ9" s="21"/>
      <c r="DA9" s="21"/>
      <c r="DB9" s="21"/>
      <c r="DC9" s="21"/>
      <c r="DD9" s="72" t="s">
        <v>21</v>
      </c>
      <c r="DE9" s="21"/>
      <c r="DF9" s="21"/>
      <c r="DG9" s="21"/>
      <c r="DH9" s="21"/>
      <c r="DI9" s="21"/>
      <c r="DJ9" s="21"/>
      <c r="DK9" s="21"/>
      <c r="DL9" s="73" t="s">
        <v>22</v>
      </c>
      <c r="DM9" s="21"/>
      <c r="DN9" s="21"/>
      <c r="DO9" s="21"/>
      <c r="DP9" s="21"/>
      <c r="DQ9" s="21"/>
      <c r="DR9" s="21"/>
      <c r="DS9" s="74"/>
      <c r="DT9" s="71" t="s">
        <v>20</v>
      </c>
      <c r="DU9" s="21"/>
      <c r="DV9" s="21"/>
      <c r="DW9" s="21"/>
      <c r="DX9" s="21"/>
      <c r="DY9" s="21"/>
      <c r="DZ9" s="21"/>
      <c r="EA9" s="21"/>
      <c r="EB9" s="72" t="s">
        <v>21</v>
      </c>
      <c r="EC9" s="21"/>
      <c r="ED9" s="21"/>
      <c r="EE9" s="21"/>
      <c r="EF9" s="21"/>
      <c r="EG9" s="21"/>
      <c r="EH9" s="21"/>
      <c r="EI9" s="21"/>
      <c r="EJ9" s="73" t="s">
        <v>22</v>
      </c>
      <c r="EK9" s="21"/>
      <c r="EL9" s="21"/>
      <c r="EM9" s="21"/>
      <c r="EN9" s="21"/>
      <c r="EO9" s="21"/>
      <c r="EP9" s="21"/>
      <c r="EQ9" s="74"/>
      <c r="ER9" s="71" t="s">
        <v>20</v>
      </c>
      <c r="ES9" s="21"/>
      <c r="ET9" s="21"/>
      <c r="EU9" s="21"/>
      <c r="EV9" s="21"/>
      <c r="EW9" s="21"/>
      <c r="EX9" s="21"/>
      <c r="EY9" s="21"/>
      <c r="EZ9" s="72" t="s">
        <v>21</v>
      </c>
      <c r="FA9" s="21"/>
      <c r="FB9" s="21"/>
      <c r="FC9" s="21"/>
      <c r="FD9" s="21"/>
      <c r="FE9" s="21"/>
      <c r="FF9" s="21"/>
      <c r="FG9" s="21"/>
      <c r="FH9" s="73" t="s">
        <v>22</v>
      </c>
      <c r="FI9" s="21"/>
      <c r="FJ9" s="21"/>
      <c r="FK9" s="21"/>
      <c r="FL9" s="21"/>
      <c r="FM9" s="21"/>
      <c r="FN9" s="21"/>
      <c r="FO9" s="74"/>
      <c r="FP9" s="76"/>
      <c r="FQ9" s="76"/>
      <c r="FR9" s="76"/>
      <c r="FS9" s="76"/>
      <c r="FT9" s="76"/>
    </row>
    <row r="10" spans="1:176" s="2" customFormat="1" ht="58.05" customHeight="1" x14ac:dyDescent="0.3">
      <c r="A10" s="5"/>
      <c r="D10" s="7">
        <v>0</v>
      </c>
      <c r="E10" s="8">
        <v>4.1666666666666699E-2</v>
      </c>
      <c r="F10" s="8">
        <v>8.3333333333333301E-2</v>
      </c>
      <c r="G10" s="8">
        <v>0.125</v>
      </c>
      <c r="H10" s="8">
        <v>0.16666666666666699</v>
      </c>
      <c r="I10" s="8">
        <v>0.20833333333333301</v>
      </c>
      <c r="J10" s="8">
        <v>0.25</v>
      </c>
      <c r="K10" s="8">
        <v>0.29166666666666702</v>
      </c>
      <c r="L10" s="8">
        <v>0.33333333333333298</v>
      </c>
      <c r="M10" s="8">
        <v>0.375</v>
      </c>
      <c r="N10" s="8">
        <v>0.41666666666666702</v>
      </c>
      <c r="O10" s="8">
        <v>0.45833333333333298</v>
      </c>
      <c r="P10" s="8">
        <v>0.5</v>
      </c>
      <c r="Q10" s="8">
        <v>0.54166666666666696</v>
      </c>
      <c r="R10" s="8">
        <v>0.58333333333333304</v>
      </c>
      <c r="S10" s="8">
        <v>0.625</v>
      </c>
      <c r="T10" s="8">
        <v>0.66666666666666696</v>
      </c>
      <c r="U10" s="8">
        <v>0.70833333333333304</v>
      </c>
      <c r="V10" s="8">
        <v>0.75</v>
      </c>
      <c r="W10" s="8">
        <v>0.79166666666666696</v>
      </c>
      <c r="X10" s="8">
        <v>0.83333333333333304</v>
      </c>
      <c r="Y10" s="8">
        <v>0.875</v>
      </c>
      <c r="Z10" s="8">
        <v>0.91666666666666696</v>
      </c>
      <c r="AA10" s="9">
        <v>0.95833333333333304</v>
      </c>
      <c r="AB10" s="7">
        <v>0</v>
      </c>
      <c r="AC10" s="8">
        <v>4.1666666666666699E-2</v>
      </c>
      <c r="AD10" s="8">
        <v>8.3333333333333301E-2</v>
      </c>
      <c r="AE10" s="8">
        <v>0.125</v>
      </c>
      <c r="AF10" s="8">
        <v>0.16666666666666699</v>
      </c>
      <c r="AG10" s="8">
        <v>0.20833333333333301</v>
      </c>
      <c r="AH10" s="8">
        <v>0.25</v>
      </c>
      <c r="AI10" s="8">
        <v>0.29166666666666702</v>
      </c>
      <c r="AJ10" s="8">
        <v>0.33333333333333298</v>
      </c>
      <c r="AK10" s="8">
        <v>0.375</v>
      </c>
      <c r="AL10" s="8">
        <v>0.41666666666666702</v>
      </c>
      <c r="AM10" s="8">
        <v>0.45833333333333298</v>
      </c>
      <c r="AN10" s="8">
        <v>0.5</v>
      </c>
      <c r="AO10" s="8">
        <v>0.54166666666666696</v>
      </c>
      <c r="AP10" s="8">
        <v>0.58333333333333304</v>
      </c>
      <c r="AQ10" s="8">
        <v>0.625</v>
      </c>
      <c r="AR10" s="8">
        <v>0.66666666666666696</v>
      </c>
      <c r="AS10" s="8">
        <v>0.70833333333333304</v>
      </c>
      <c r="AT10" s="8">
        <v>0.75</v>
      </c>
      <c r="AU10" s="8">
        <v>0.79166666666666696</v>
      </c>
      <c r="AV10" s="8">
        <v>0.83333333333333304</v>
      </c>
      <c r="AW10" s="8">
        <v>0.875</v>
      </c>
      <c r="AX10" s="8">
        <v>0.91666666666666696</v>
      </c>
      <c r="AY10" s="9">
        <v>0.95833333333333304</v>
      </c>
      <c r="AZ10" s="7">
        <v>0</v>
      </c>
      <c r="BA10" s="8">
        <v>4.1666666666666699E-2</v>
      </c>
      <c r="BB10" s="8">
        <v>8.3333333333333301E-2</v>
      </c>
      <c r="BC10" s="8">
        <v>0.125</v>
      </c>
      <c r="BD10" s="8">
        <v>0.16666666666666699</v>
      </c>
      <c r="BE10" s="8">
        <v>0.20833333333333301</v>
      </c>
      <c r="BF10" s="8">
        <v>0.25</v>
      </c>
      <c r="BG10" s="8">
        <v>0.29166666666666702</v>
      </c>
      <c r="BH10" s="8">
        <v>0.33333333333333298</v>
      </c>
      <c r="BI10" s="8">
        <v>0.375</v>
      </c>
      <c r="BJ10" s="8">
        <v>0.41666666666666702</v>
      </c>
      <c r="BK10" s="8">
        <v>0.45833333333333298</v>
      </c>
      <c r="BL10" s="8">
        <v>0.5</v>
      </c>
      <c r="BM10" s="8">
        <v>0.54166666666666696</v>
      </c>
      <c r="BN10" s="8">
        <v>0.58333333333333304</v>
      </c>
      <c r="BO10" s="8">
        <v>0.625</v>
      </c>
      <c r="BP10" s="8">
        <v>0.66666666666666696</v>
      </c>
      <c r="BQ10" s="8">
        <v>0.70833333333333304</v>
      </c>
      <c r="BR10" s="8">
        <v>0.75</v>
      </c>
      <c r="BS10" s="8">
        <v>0.79166666666666696</v>
      </c>
      <c r="BT10" s="8">
        <v>0.83333333333333304</v>
      </c>
      <c r="BU10" s="8">
        <v>0.875</v>
      </c>
      <c r="BV10" s="8">
        <v>0.91666666666666696</v>
      </c>
      <c r="BW10" s="9">
        <v>0.95833333333333304</v>
      </c>
      <c r="BX10" s="7">
        <v>0</v>
      </c>
      <c r="BY10" s="8">
        <v>4.1666666666666699E-2</v>
      </c>
      <c r="BZ10" s="8">
        <v>8.3333333333333301E-2</v>
      </c>
      <c r="CA10" s="8">
        <v>0.125</v>
      </c>
      <c r="CB10" s="8">
        <v>0.16666666666666699</v>
      </c>
      <c r="CC10" s="8">
        <v>0.20833333333333301</v>
      </c>
      <c r="CD10" s="8">
        <v>0.25</v>
      </c>
      <c r="CE10" s="8">
        <v>0.29166666666666702</v>
      </c>
      <c r="CF10" s="8">
        <v>0.33333333333333298</v>
      </c>
      <c r="CG10" s="8">
        <v>0.375</v>
      </c>
      <c r="CH10" s="8">
        <v>0.41666666666666702</v>
      </c>
      <c r="CI10" s="8">
        <v>0.45833333333333298</v>
      </c>
      <c r="CJ10" s="8">
        <v>0.5</v>
      </c>
      <c r="CK10" s="8">
        <v>0.54166666666666696</v>
      </c>
      <c r="CL10" s="8">
        <v>0.58333333333333304</v>
      </c>
      <c r="CM10" s="8">
        <v>0.625</v>
      </c>
      <c r="CN10" s="8">
        <v>0.66666666666666696</v>
      </c>
      <c r="CO10" s="8">
        <v>0.70833333333333304</v>
      </c>
      <c r="CP10" s="8">
        <v>0.75</v>
      </c>
      <c r="CQ10" s="8">
        <v>0.79166666666666696</v>
      </c>
      <c r="CR10" s="8">
        <v>0.83333333333333304</v>
      </c>
      <c r="CS10" s="8">
        <v>0.875</v>
      </c>
      <c r="CT10" s="8">
        <v>0.91666666666666696</v>
      </c>
      <c r="CU10" s="9">
        <v>0.95833333333333304</v>
      </c>
      <c r="CV10" s="7">
        <v>0</v>
      </c>
      <c r="CW10" s="8">
        <v>4.1666666666666699E-2</v>
      </c>
      <c r="CX10" s="8">
        <v>8.3333333333333301E-2</v>
      </c>
      <c r="CY10" s="8">
        <v>0.125</v>
      </c>
      <c r="CZ10" s="8">
        <v>0.16666666666666699</v>
      </c>
      <c r="DA10" s="8">
        <v>0.20833333333333301</v>
      </c>
      <c r="DB10" s="8">
        <v>0.25</v>
      </c>
      <c r="DC10" s="8">
        <v>0.29166666666666702</v>
      </c>
      <c r="DD10" s="8">
        <v>0.33333333333333298</v>
      </c>
      <c r="DE10" s="8">
        <v>0.375</v>
      </c>
      <c r="DF10" s="8">
        <v>0.41666666666666702</v>
      </c>
      <c r="DG10" s="8">
        <v>0.45833333333333298</v>
      </c>
      <c r="DH10" s="8">
        <v>0.5</v>
      </c>
      <c r="DI10" s="8">
        <v>0.54166666666666696</v>
      </c>
      <c r="DJ10" s="8">
        <v>0.58333333333333304</v>
      </c>
      <c r="DK10" s="8">
        <v>0.625</v>
      </c>
      <c r="DL10" s="8">
        <v>0.66666666666666696</v>
      </c>
      <c r="DM10" s="8">
        <v>0.70833333333333304</v>
      </c>
      <c r="DN10" s="8">
        <v>0.75</v>
      </c>
      <c r="DO10" s="8">
        <v>0.79166666666666696</v>
      </c>
      <c r="DP10" s="8">
        <v>0.83333333333333304</v>
      </c>
      <c r="DQ10" s="8">
        <v>0.875</v>
      </c>
      <c r="DR10" s="8">
        <v>0.91666666666666696</v>
      </c>
      <c r="DS10" s="9">
        <v>0.95833333333333304</v>
      </c>
      <c r="DT10" s="7">
        <v>0</v>
      </c>
      <c r="DU10" s="8">
        <v>4.1666666666666699E-2</v>
      </c>
      <c r="DV10" s="8">
        <v>8.3333333333333301E-2</v>
      </c>
      <c r="DW10" s="8">
        <v>0.125</v>
      </c>
      <c r="DX10" s="8">
        <v>0.16666666666666699</v>
      </c>
      <c r="DY10" s="8">
        <v>0.20833333333333301</v>
      </c>
      <c r="DZ10" s="8">
        <v>0.25</v>
      </c>
      <c r="EA10" s="8">
        <v>0.29166666666666702</v>
      </c>
      <c r="EB10" s="8">
        <v>0.33333333333333298</v>
      </c>
      <c r="EC10" s="8">
        <v>0.375</v>
      </c>
      <c r="ED10" s="8">
        <v>0.41666666666666702</v>
      </c>
      <c r="EE10" s="8">
        <v>0.45833333333333298</v>
      </c>
      <c r="EF10" s="8">
        <v>0.5</v>
      </c>
      <c r="EG10" s="8">
        <v>0.54166666666666696</v>
      </c>
      <c r="EH10" s="8">
        <v>0.58333333333333304</v>
      </c>
      <c r="EI10" s="8">
        <v>0.625</v>
      </c>
      <c r="EJ10" s="8">
        <v>0.66666666666666696</v>
      </c>
      <c r="EK10" s="8">
        <v>0.70833333333333304</v>
      </c>
      <c r="EL10" s="8">
        <v>0.75</v>
      </c>
      <c r="EM10" s="8">
        <v>0.79166666666666696</v>
      </c>
      <c r="EN10" s="8">
        <v>0.83333333333333304</v>
      </c>
      <c r="EO10" s="8">
        <v>0.875</v>
      </c>
      <c r="EP10" s="8">
        <v>0.91666666666666696</v>
      </c>
      <c r="EQ10" s="9">
        <v>0.95833333333333304</v>
      </c>
      <c r="ER10" s="7">
        <v>0</v>
      </c>
      <c r="ES10" s="8">
        <v>4.1666666666666699E-2</v>
      </c>
      <c r="ET10" s="8">
        <v>8.3333333333333301E-2</v>
      </c>
      <c r="EU10" s="8">
        <v>0.125</v>
      </c>
      <c r="EV10" s="8">
        <v>0.16666666666666699</v>
      </c>
      <c r="EW10" s="8">
        <v>0.20833333333333301</v>
      </c>
      <c r="EX10" s="8">
        <v>0.25</v>
      </c>
      <c r="EY10" s="8">
        <v>0.29166666666666702</v>
      </c>
      <c r="EZ10" s="8">
        <v>0.33333333333333298</v>
      </c>
      <c r="FA10" s="8">
        <v>0.375</v>
      </c>
      <c r="FB10" s="8">
        <v>0.41666666666666702</v>
      </c>
      <c r="FC10" s="8">
        <v>0.45833333333333298</v>
      </c>
      <c r="FD10" s="8">
        <v>0.5</v>
      </c>
      <c r="FE10" s="8">
        <v>0.54166666666666696</v>
      </c>
      <c r="FF10" s="8">
        <v>0.58333333333333304</v>
      </c>
      <c r="FG10" s="8">
        <v>0.625</v>
      </c>
      <c r="FH10" s="8">
        <v>0.66666666666666696</v>
      </c>
      <c r="FI10" s="8">
        <v>0.70833333333333304</v>
      </c>
      <c r="FJ10" s="8">
        <v>0.75</v>
      </c>
      <c r="FK10" s="8">
        <v>0.79166666666666696</v>
      </c>
      <c r="FL10" s="8">
        <v>0.83333333333333304</v>
      </c>
      <c r="FM10" s="8">
        <v>0.875</v>
      </c>
      <c r="FN10" s="8">
        <v>0.91666666666666696</v>
      </c>
      <c r="FO10" s="9">
        <v>0.95833333333333304</v>
      </c>
      <c r="FP10" s="77"/>
      <c r="FQ10" s="77"/>
      <c r="FR10" s="77"/>
      <c r="FS10" s="77"/>
      <c r="FT10" s="77"/>
    </row>
    <row r="11" spans="1:176" s="3" customFormat="1" ht="60" customHeight="1" x14ac:dyDescent="0.35">
      <c r="A11" s="43" t="s">
        <v>23</v>
      </c>
      <c r="B11" s="44"/>
      <c r="C11" s="44"/>
      <c r="D11" s="66" t="s">
        <v>24</v>
      </c>
      <c r="E11" s="44"/>
      <c r="F11" s="44"/>
      <c r="G11" s="44"/>
      <c r="H11" s="44"/>
      <c r="I11" s="44"/>
      <c r="J11" s="44"/>
      <c r="K11" s="44"/>
      <c r="L11" s="67" t="s">
        <v>24</v>
      </c>
      <c r="M11" s="44"/>
      <c r="N11" s="44"/>
      <c r="O11" s="44"/>
      <c r="P11" s="44"/>
      <c r="Q11" s="44"/>
      <c r="R11" s="44"/>
      <c r="S11" s="44"/>
      <c r="T11" s="67" t="s">
        <v>24</v>
      </c>
      <c r="U11" s="44"/>
      <c r="V11" s="44"/>
      <c r="W11" s="44"/>
      <c r="X11" s="44"/>
      <c r="Y11" s="44"/>
      <c r="Z11" s="44"/>
      <c r="AA11" s="45"/>
      <c r="AB11" s="66" t="s">
        <v>24</v>
      </c>
      <c r="AC11" s="44"/>
      <c r="AD11" s="44"/>
      <c r="AE11" s="44"/>
      <c r="AF11" s="44"/>
      <c r="AG11" s="44"/>
      <c r="AH11" s="44"/>
      <c r="AI11" s="44"/>
      <c r="AJ11" s="67" t="s">
        <v>24</v>
      </c>
      <c r="AK11" s="44"/>
      <c r="AL11" s="44"/>
      <c r="AM11" s="44"/>
      <c r="AN11" s="44"/>
      <c r="AO11" s="44"/>
      <c r="AP11" s="44"/>
      <c r="AQ11" s="44"/>
      <c r="AR11" s="67" t="s">
        <v>24</v>
      </c>
      <c r="AS11" s="44"/>
      <c r="AT11" s="44"/>
      <c r="AU11" s="44"/>
      <c r="AV11" s="44"/>
      <c r="AW11" s="44"/>
      <c r="AX11" s="44"/>
      <c r="AY11" s="45"/>
      <c r="AZ11" s="66" t="s">
        <v>24</v>
      </c>
      <c r="BA11" s="44"/>
      <c r="BB11" s="44"/>
      <c r="BC11" s="44"/>
      <c r="BD11" s="44"/>
      <c r="BE11" s="44"/>
      <c r="BF11" s="44"/>
      <c r="BG11" s="44"/>
      <c r="BH11" s="67" t="s">
        <v>24</v>
      </c>
      <c r="BI11" s="44"/>
      <c r="BJ11" s="44"/>
      <c r="BK11" s="44"/>
      <c r="BL11" s="44"/>
      <c r="BM11" s="44"/>
      <c r="BN11" s="44"/>
      <c r="BO11" s="44"/>
      <c r="BP11" s="67" t="s">
        <v>24</v>
      </c>
      <c r="BQ11" s="44"/>
      <c r="BR11" s="44"/>
      <c r="BS11" s="44"/>
      <c r="BT11" s="44"/>
      <c r="BU11" s="44"/>
      <c r="BV11" s="44"/>
      <c r="BW11" s="45"/>
      <c r="BX11" s="66" t="s">
        <v>24</v>
      </c>
      <c r="BY11" s="44"/>
      <c r="BZ11" s="44"/>
      <c r="CA11" s="44"/>
      <c r="CB11" s="44"/>
      <c r="CC11" s="44"/>
      <c r="CD11" s="44"/>
      <c r="CE11" s="44"/>
      <c r="CF11" s="44" t="s">
        <v>31</v>
      </c>
      <c r="CG11" s="44"/>
      <c r="CH11" s="44"/>
      <c r="CI11" s="44"/>
      <c r="CJ11" s="44"/>
      <c r="CK11" s="44"/>
      <c r="CL11" s="44"/>
      <c r="CM11" s="44"/>
      <c r="CN11" s="67" t="s">
        <v>24</v>
      </c>
      <c r="CO11" s="44"/>
      <c r="CP11" s="44"/>
      <c r="CQ11" s="44"/>
      <c r="CR11" s="44"/>
      <c r="CS11" s="44"/>
      <c r="CT11" s="44"/>
      <c r="CU11" s="45"/>
      <c r="CV11" s="66" t="s">
        <v>24</v>
      </c>
      <c r="CW11" s="44"/>
      <c r="CX11" s="44"/>
      <c r="CY11" s="44"/>
      <c r="CZ11" s="44"/>
      <c r="DA11" s="44"/>
      <c r="DB11" s="44"/>
      <c r="DC11" s="44"/>
      <c r="DD11" s="67" t="s">
        <v>24</v>
      </c>
      <c r="DE11" s="44"/>
      <c r="DF11" s="44"/>
      <c r="DG11" s="44"/>
      <c r="DH11" s="44"/>
      <c r="DI11" s="44"/>
      <c r="DJ11" s="44"/>
      <c r="DK11" s="44"/>
      <c r="DL11" s="67" t="s">
        <v>24</v>
      </c>
      <c r="DM11" s="44"/>
      <c r="DN11" s="44"/>
      <c r="DO11" s="44"/>
      <c r="DP11" s="44"/>
      <c r="DQ11" s="44"/>
      <c r="DR11" s="44"/>
      <c r="DS11" s="45"/>
      <c r="DT11" s="66" t="s">
        <v>24</v>
      </c>
      <c r="DU11" s="44"/>
      <c r="DV11" s="44"/>
      <c r="DW11" s="44"/>
      <c r="DX11" s="44"/>
      <c r="DY11" s="44"/>
      <c r="DZ11" s="44"/>
      <c r="EA11" s="44"/>
      <c r="EB11" s="67" t="s">
        <v>24</v>
      </c>
      <c r="EC11" s="44"/>
      <c r="ED11" s="44"/>
      <c r="EE11" s="44"/>
      <c r="EF11" s="44"/>
      <c r="EG11" s="44"/>
      <c r="EH11" s="44"/>
      <c r="EI11" s="44"/>
      <c r="EJ11" s="67" t="s">
        <v>24</v>
      </c>
      <c r="EK11" s="44"/>
      <c r="EL11" s="44"/>
      <c r="EM11" s="44"/>
      <c r="EN11" s="44"/>
      <c r="EO11" s="44"/>
      <c r="EP11" s="44"/>
      <c r="EQ11" s="45"/>
      <c r="ER11" s="66" t="s">
        <v>24</v>
      </c>
      <c r="ES11" s="44"/>
      <c r="ET11" s="44"/>
      <c r="EU11" s="44"/>
      <c r="EV11" s="44"/>
      <c r="EW11" s="44"/>
      <c r="EX11" s="44"/>
      <c r="EY11" s="44"/>
      <c r="EZ11" s="67" t="s">
        <v>24</v>
      </c>
      <c r="FA11" s="44"/>
      <c r="FB11" s="44"/>
      <c r="FC11" s="44"/>
      <c r="FD11" s="44"/>
      <c r="FE11" s="44"/>
      <c r="FF11" s="44"/>
      <c r="FG11" s="44"/>
      <c r="FH11" s="67" t="s">
        <v>24</v>
      </c>
      <c r="FI11" s="44"/>
      <c r="FJ11" s="44"/>
      <c r="FK11" s="44"/>
      <c r="FL11" s="44"/>
      <c r="FM11" s="44"/>
      <c r="FN11" s="44"/>
      <c r="FO11" s="45"/>
      <c r="FP11" s="36">
        <v>12936</v>
      </c>
      <c r="FQ11" s="37"/>
      <c r="FR11" s="37"/>
      <c r="FS11" s="37"/>
      <c r="FT11" s="37"/>
    </row>
    <row r="12" spans="1:176" s="3" customFormat="1" ht="109.95" customHeight="1" x14ac:dyDescent="0.35">
      <c r="A12" s="43" t="s">
        <v>25</v>
      </c>
      <c r="B12" s="44"/>
      <c r="C12" s="44"/>
      <c r="D12" s="43" t="s">
        <v>26</v>
      </c>
      <c r="E12" s="44"/>
      <c r="F12" s="44"/>
      <c r="G12" s="44"/>
      <c r="H12" s="44"/>
      <c r="I12" s="44"/>
      <c r="J12" s="44"/>
      <c r="K12" s="44"/>
      <c r="L12" s="44" t="s">
        <v>26</v>
      </c>
      <c r="M12" s="44"/>
      <c r="N12" s="44"/>
      <c r="O12" s="44"/>
      <c r="P12" s="44"/>
      <c r="Q12" s="44"/>
      <c r="R12" s="44"/>
      <c r="S12" s="44"/>
      <c r="T12" s="44" t="s">
        <v>26</v>
      </c>
      <c r="U12" s="44"/>
      <c r="V12" s="44"/>
      <c r="W12" s="44"/>
      <c r="X12" s="44"/>
      <c r="Y12" s="44"/>
      <c r="Z12" s="44"/>
      <c r="AA12" s="45"/>
      <c r="AB12" s="43" t="s">
        <v>26</v>
      </c>
      <c r="AC12" s="44"/>
      <c r="AD12" s="44"/>
      <c r="AE12" s="44"/>
      <c r="AF12" s="44"/>
      <c r="AG12" s="44"/>
      <c r="AH12" s="44"/>
      <c r="AI12" s="44"/>
      <c r="AJ12" s="44" t="s">
        <v>26</v>
      </c>
      <c r="AK12" s="44"/>
      <c r="AL12" s="44"/>
      <c r="AM12" s="44"/>
      <c r="AN12" s="44"/>
      <c r="AO12" s="44"/>
      <c r="AP12" s="44"/>
      <c r="AQ12" s="44"/>
      <c r="AR12" s="44" t="s">
        <v>26</v>
      </c>
      <c r="AS12" s="44"/>
      <c r="AT12" s="44"/>
      <c r="AU12" s="44"/>
      <c r="AV12" s="44"/>
      <c r="AW12" s="44"/>
      <c r="AX12" s="44"/>
      <c r="AY12" s="45"/>
      <c r="AZ12" s="43" t="s">
        <v>26</v>
      </c>
      <c r="BA12" s="44"/>
      <c r="BB12" s="44"/>
      <c r="BC12" s="44"/>
      <c r="BD12" s="44"/>
      <c r="BE12" s="44"/>
      <c r="BF12" s="44"/>
      <c r="BG12" s="44"/>
      <c r="BH12" s="44" t="s">
        <v>26</v>
      </c>
      <c r="BI12" s="44"/>
      <c r="BJ12" s="44"/>
      <c r="BK12" s="44"/>
      <c r="BL12" s="44"/>
      <c r="BM12" s="44"/>
      <c r="BN12" s="44"/>
      <c r="BO12" s="44"/>
      <c r="BP12" s="44" t="s">
        <v>26</v>
      </c>
      <c r="BQ12" s="44"/>
      <c r="BR12" s="44"/>
      <c r="BS12" s="44"/>
      <c r="BT12" s="44"/>
      <c r="BU12" s="44"/>
      <c r="BV12" s="44"/>
      <c r="BW12" s="45"/>
      <c r="BX12" s="43" t="s">
        <v>26</v>
      </c>
      <c r="BY12" s="44"/>
      <c r="BZ12" s="44"/>
      <c r="CA12" s="44"/>
      <c r="CB12" s="44"/>
      <c r="CC12" s="44"/>
      <c r="CD12" s="44"/>
      <c r="CE12" s="44"/>
      <c r="CF12" s="56" t="s">
        <v>40</v>
      </c>
      <c r="CG12" s="44"/>
      <c r="CH12" s="44"/>
      <c r="CI12" s="44"/>
      <c r="CJ12" s="44"/>
      <c r="CK12" s="44"/>
      <c r="CL12" s="44"/>
      <c r="CM12" s="44"/>
      <c r="CN12" s="44" t="s">
        <v>26</v>
      </c>
      <c r="CO12" s="44"/>
      <c r="CP12" s="44"/>
      <c r="CQ12" s="44"/>
      <c r="CR12" s="44"/>
      <c r="CS12" s="44"/>
      <c r="CT12" s="44"/>
      <c r="CU12" s="45"/>
      <c r="CV12" s="43" t="s">
        <v>26</v>
      </c>
      <c r="CW12" s="44"/>
      <c r="CX12" s="44"/>
      <c r="CY12" s="44"/>
      <c r="CZ12" s="44"/>
      <c r="DA12" s="44"/>
      <c r="DB12" s="44"/>
      <c r="DC12" s="44"/>
      <c r="DD12" s="44" t="s">
        <v>26</v>
      </c>
      <c r="DE12" s="44"/>
      <c r="DF12" s="44"/>
      <c r="DG12" s="44"/>
      <c r="DH12" s="44"/>
      <c r="DI12" s="44"/>
      <c r="DJ12" s="44"/>
      <c r="DK12" s="44"/>
      <c r="DL12" s="44" t="s">
        <v>26</v>
      </c>
      <c r="DM12" s="44"/>
      <c r="DN12" s="44"/>
      <c r="DO12" s="44"/>
      <c r="DP12" s="44"/>
      <c r="DQ12" s="44"/>
      <c r="DR12" s="44"/>
      <c r="DS12" s="45"/>
      <c r="DT12" s="43" t="s">
        <v>26</v>
      </c>
      <c r="DU12" s="44"/>
      <c r="DV12" s="44"/>
      <c r="DW12" s="44"/>
      <c r="DX12" s="44"/>
      <c r="DY12" s="44"/>
      <c r="DZ12" s="44"/>
      <c r="EA12" s="44"/>
      <c r="EB12" s="44" t="s">
        <v>26</v>
      </c>
      <c r="EC12" s="44"/>
      <c r="ED12" s="44"/>
      <c r="EE12" s="44"/>
      <c r="EF12" s="44"/>
      <c r="EG12" s="44"/>
      <c r="EH12" s="44"/>
      <c r="EI12" s="44"/>
      <c r="EJ12" s="44" t="s">
        <v>26</v>
      </c>
      <c r="EK12" s="44"/>
      <c r="EL12" s="44"/>
      <c r="EM12" s="44"/>
      <c r="EN12" s="44"/>
      <c r="EO12" s="44"/>
      <c r="EP12" s="44"/>
      <c r="EQ12" s="45"/>
      <c r="ER12" s="43" t="s">
        <v>26</v>
      </c>
      <c r="ES12" s="44"/>
      <c r="ET12" s="44"/>
      <c r="EU12" s="44"/>
      <c r="EV12" s="44"/>
      <c r="EW12" s="44"/>
      <c r="EX12" s="44"/>
      <c r="EY12" s="44"/>
      <c r="EZ12" s="44" t="s">
        <v>26</v>
      </c>
      <c r="FA12" s="44"/>
      <c r="FB12" s="44"/>
      <c r="FC12" s="44"/>
      <c r="FD12" s="44"/>
      <c r="FE12" s="44"/>
      <c r="FF12" s="44"/>
      <c r="FG12" s="44"/>
      <c r="FH12" s="44" t="s">
        <v>26</v>
      </c>
      <c r="FI12" s="44"/>
      <c r="FJ12" s="44"/>
      <c r="FK12" s="44"/>
      <c r="FL12" s="44"/>
      <c r="FM12" s="44"/>
      <c r="FN12" s="44"/>
      <c r="FO12" s="45"/>
      <c r="FP12" s="37"/>
      <c r="FQ12" s="37"/>
      <c r="FR12" s="37"/>
      <c r="FS12" s="37"/>
      <c r="FT12" s="37"/>
    </row>
    <row r="13" spans="1:176" s="3" customFormat="1" ht="60" customHeight="1" x14ac:dyDescent="0.35">
      <c r="A13" s="43" t="s">
        <v>27</v>
      </c>
      <c r="B13" s="44"/>
      <c r="C13" s="44"/>
      <c r="D13" s="43">
        <v>647</v>
      </c>
      <c r="E13" s="44"/>
      <c r="F13" s="44"/>
      <c r="G13" s="44"/>
      <c r="H13" s="44"/>
      <c r="I13" s="44"/>
      <c r="J13" s="44"/>
      <c r="K13" s="44"/>
      <c r="L13" s="44">
        <v>647</v>
      </c>
      <c r="M13" s="44"/>
      <c r="N13" s="44"/>
      <c r="O13" s="44"/>
      <c r="P13" s="44"/>
      <c r="Q13" s="44"/>
      <c r="R13" s="44"/>
      <c r="S13" s="44"/>
      <c r="T13" s="44">
        <v>647</v>
      </c>
      <c r="U13" s="44"/>
      <c r="V13" s="44"/>
      <c r="W13" s="44"/>
      <c r="X13" s="44"/>
      <c r="Y13" s="44"/>
      <c r="Z13" s="44"/>
      <c r="AA13" s="45"/>
      <c r="AB13" s="43">
        <v>647</v>
      </c>
      <c r="AC13" s="44"/>
      <c r="AD13" s="44"/>
      <c r="AE13" s="44"/>
      <c r="AF13" s="44"/>
      <c r="AG13" s="44"/>
      <c r="AH13" s="44"/>
      <c r="AI13" s="44"/>
      <c r="AJ13" s="44">
        <v>647</v>
      </c>
      <c r="AK13" s="44"/>
      <c r="AL13" s="44"/>
      <c r="AM13" s="44"/>
      <c r="AN13" s="44"/>
      <c r="AO13" s="44"/>
      <c r="AP13" s="44"/>
      <c r="AQ13" s="44"/>
      <c r="AR13" s="44">
        <v>647</v>
      </c>
      <c r="AS13" s="44"/>
      <c r="AT13" s="44"/>
      <c r="AU13" s="44"/>
      <c r="AV13" s="44"/>
      <c r="AW13" s="44"/>
      <c r="AX13" s="44"/>
      <c r="AY13" s="45"/>
      <c r="AZ13" s="43">
        <v>647</v>
      </c>
      <c r="BA13" s="44"/>
      <c r="BB13" s="44"/>
      <c r="BC13" s="44"/>
      <c r="BD13" s="44"/>
      <c r="BE13" s="44"/>
      <c r="BF13" s="44"/>
      <c r="BG13" s="44"/>
      <c r="BH13" s="44">
        <v>647</v>
      </c>
      <c r="BI13" s="44"/>
      <c r="BJ13" s="44"/>
      <c r="BK13" s="44"/>
      <c r="BL13" s="44"/>
      <c r="BM13" s="44"/>
      <c r="BN13" s="44"/>
      <c r="BO13" s="44"/>
      <c r="BP13" s="44">
        <v>647</v>
      </c>
      <c r="BQ13" s="44"/>
      <c r="BR13" s="44"/>
      <c r="BS13" s="44"/>
      <c r="BT13" s="44"/>
      <c r="BU13" s="44"/>
      <c r="BV13" s="44"/>
      <c r="BW13" s="45"/>
      <c r="BX13" s="43">
        <v>645</v>
      </c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>
        <v>647</v>
      </c>
      <c r="CO13" s="44"/>
      <c r="CP13" s="44"/>
      <c r="CQ13" s="44"/>
      <c r="CR13" s="44"/>
      <c r="CS13" s="44"/>
      <c r="CT13" s="44"/>
      <c r="CU13" s="45"/>
      <c r="CV13" s="43">
        <v>647</v>
      </c>
      <c r="CW13" s="44"/>
      <c r="CX13" s="44"/>
      <c r="CY13" s="44"/>
      <c r="CZ13" s="44"/>
      <c r="DA13" s="44"/>
      <c r="DB13" s="44"/>
      <c r="DC13" s="44"/>
      <c r="DD13" s="44">
        <v>647</v>
      </c>
      <c r="DE13" s="44"/>
      <c r="DF13" s="44"/>
      <c r="DG13" s="44"/>
      <c r="DH13" s="44"/>
      <c r="DI13" s="44"/>
      <c r="DJ13" s="44"/>
      <c r="DK13" s="44"/>
      <c r="DL13" s="44">
        <v>647</v>
      </c>
      <c r="DM13" s="44"/>
      <c r="DN13" s="44"/>
      <c r="DO13" s="44"/>
      <c r="DP13" s="44"/>
      <c r="DQ13" s="44"/>
      <c r="DR13" s="44"/>
      <c r="DS13" s="45"/>
      <c r="DT13" s="43">
        <v>647</v>
      </c>
      <c r="DU13" s="44"/>
      <c r="DV13" s="44"/>
      <c r="DW13" s="44"/>
      <c r="DX13" s="44"/>
      <c r="DY13" s="44"/>
      <c r="DZ13" s="44"/>
      <c r="EA13" s="44"/>
      <c r="EB13" s="44">
        <v>647</v>
      </c>
      <c r="EC13" s="44"/>
      <c r="ED13" s="44"/>
      <c r="EE13" s="44"/>
      <c r="EF13" s="44"/>
      <c r="EG13" s="44"/>
      <c r="EH13" s="44"/>
      <c r="EI13" s="44"/>
      <c r="EJ13" s="44">
        <v>647</v>
      </c>
      <c r="EK13" s="44"/>
      <c r="EL13" s="44"/>
      <c r="EM13" s="44"/>
      <c r="EN13" s="44"/>
      <c r="EO13" s="44"/>
      <c r="EP13" s="44"/>
      <c r="EQ13" s="45"/>
      <c r="ER13" s="43">
        <v>647</v>
      </c>
      <c r="ES13" s="44"/>
      <c r="ET13" s="44"/>
      <c r="EU13" s="44"/>
      <c r="EV13" s="44"/>
      <c r="EW13" s="44"/>
      <c r="EX13" s="44"/>
      <c r="EY13" s="44"/>
      <c r="EZ13" s="44">
        <v>647</v>
      </c>
      <c r="FA13" s="44"/>
      <c r="FB13" s="44"/>
      <c r="FC13" s="44"/>
      <c r="FD13" s="44"/>
      <c r="FE13" s="44"/>
      <c r="FF13" s="44"/>
      <c r="FG13" s="44"/>
      <c r="FH13" s="44">
        <v>645</v>
      </c>
      <c r="FI13" s="44"/>
      <c r="FJ13" s="44"/>
      <c r="FK13" s="44"/>
      <c r="FL13" s="44"/>
      <c r="FM13" s="44"/>
      <c r="FN13" s="44"/>
      <c r="FO13" s="45"/>
      <c r="FP13" s="37"/>
      <c r="FQ13" s="37"/>
      <c r="FR13" s="37"/>
      <c r="FS13" s="37"/>
      <c r="FT13" s="37"/>
    </row>
    <row r="14" spans="1:176" s="3" customFormat="1" ht="60" customHeight="1" x14ac:dyDescent="0.35">
      <c r="A14" s="43" t="s">
        <v>28</v>
      </c>
      <c r="B14" s="44"/>
      <c r="C14" s="44"/>
      <c r="D14" s="33">
        <v>1941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5"/>
      <c r="AB14" s="33">
        <v>1941</v>
      </c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5"/>
      <c r="AZ14" s="33">
        <v>1941</v>
      </c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5"/>
      <c r="BX14" s="33">
        <v>1292</v>
      </c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5"/>
      <c r="CV14" s="33">
        <v>1941</v>
      </c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5"/>
      <c r="DT14" s="33">
        <v>1941</v>
      </c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5"/>
      <c r="ER14" s="33">
        <v>1939</v>
      </c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5"/>
      <c r="FP14" s="37"/>
      <c r="FQ14" s="37"/>
      <c r="FR14" s="37"/>
      <c r="FS14" s="37"/>
      <c r="FT14" s="37"/>
    </row>
    <row r="15" spans="1:176" s="3" customFormat="1" ht="60" customHeight="1" x14ac:dyDescent="0.35">
      <c r="A15" s="43" t="s">
        <v>29</v>
      </c>
      <c r="B15" s="44"/>
      <c r="C15" s="44"/>
      <c r="D15" s="65" t="s">
        <v>32</v>
      </c>
      <c r="E15" s="44"/>
      <c r="F15" s="44"/>
      <c r="G15" s="44"/>
      <c r="H15" s="44"/>
      <c r="I15" s="44"/>
      <c r="J15" s="44"/>
      <c r="K15" s="44"/>
      <c r="L15" s="53" t="s">
        <v>32</v>
      </c>
      <c r="M15" s="44"/>
      <c r="N15" s="44"/>
      <c r="O15" s="44"/>
      <c r="P15" s="44"/>
      <c r="Q15" s="44" t="s">
        <v>31</v>
      </c>
      <c r="R15" s="44"/>
      <c r="S15" s="108" t="s">
        <v>178</v>
      </c>
      <c r="T15" s="108" t="s">
        <v>178</v>
      </c>
      <c r="U15" s="44"/>
      <c r="V15" s="44" t="s">
        <v>31</v>
      </c>
      <c r="W15" s="58" t="s">
        <v>37</v>
      </c>
      <c r="X15" s="44"/>
      <c r="Y15" s="44"/>
      <c r="Z15" s="44"/>
      <c r="AA15" s="45"/>
      <c r="AB15" s="57" t="s">
        <v>37</v>
      </c>
      <c r="AC15" s="44"/>
      <c r="AD15" s="44"/>
      <c r="AE15" s="44"/>
      <c r="AF15" s="44"/>
      <c r="AG15" s="44"/>
      <c r="AH15" s="44"/>
      <c r="AI15" s="44"/>
      <c r="AJ15" s="58" t="s">
        <v>37</v>
      </c>
      <c r="AK15" s="44"/>
      <c r="AL15" s="44"/>
      <c r="AM15" s="44"/>
      <c r="AN15" s="44"/>
      <c r="AO15" s="44"/>
      <c r="AP15" s="44"/>
      <c r="AQ15" s="44"/>
      <c r="AR15" s="58" t="s">
        <v>37</v>
      </c>
      <c r="AS15" s="44"/>
      <c r="AT15" s="44"/>
      <c r="AU15" s="44"/>
      <c r="AV15" s="44"/>
      <c r="AW15" s="44"/>
      <c r="AX15" s="44"/>
      <c r="AY15" s="45"/>
      <c r="AZ15" s="57" t="s">
        <v>37</v>
      </c>
      <c r="BA15" s="44"/>
      <c r="BB15" s="44"/>
      <c r="BC15" s="44"/>
      <c r="BD15" s="44"/>
      <c r="BE15" s="44"/>
      <c r="BF15" s="44"/>
      <c r="BG15" s="44"/>
      <c r="BH15" s="58" t="s">
        <v>37</v>
      </c>
      <c r="BI15" s="44"/>
      <c r="BJ15" s="44"/>
      <c r="BK15" s="44"/>
      <c r="BL15" s="44"/>
      <c r="BM15" s="44"/>
      <c r="BN15" s="44"/>
      <c r="BO15" s="44"/>
      <c r="BP15" s="58" t="s">
        <v>37</v>
      </c>
      <c r="BQ15" s="44"/>
      <c r="BR15" s="44"/>
      <c r="BS15" s="44"/>
      <c r="BT15" s="44"/>
      <c r="BU15" s="44"/>
      <c r="BV15" s="44"/>
      <c r="BW15" s="45" t="s">
        <v>31</v>
      </c>
      <c r="BX15" s="43" t="s">
        <v>31</v>
      </c>
      <c r="BY15" s="44"/>
      <c r="BZ15" s="44"/>
      <c r="CA15" s="44"/>
      <c r="CB15" s="44"/>
      <c r="CC15" s="44"/>
      <c r="CD15" s="44"/>
      <c r="CE15" s="44"/>
      <c r="CF15" s="44" t="s">
        <v>31</v>
      </c>
      <c r="CG15" s="44"/>
      <c r="CH15" s="44"/>
      <c r="CI15" s="64" t="s">
        <v>30</v>
      </c>
      <c r="CJ15" s="44"/>
      <c r="CK15" s="44"/>
      <c r="CL15" s="44"/>
      <c r="CM15" s="44"/>
      <c r="CN15" s="64" t="s">
        <v>30</v>
      </c>
      <c r="CO15" s="44"/>
      <c r="CP15" s="44"/>
      <c r="CQ15" s="44"/>
      <c r="CR15" s="44"/>
      <c r="CS15" s="44"/>
      <c r="CT15" s="44"/>
      <c r="CU15" s="45"/>
      <c r="CV15" s="63" t="s">
        <v>30</v>
      </c>
      <c r="CW15" s="44"/>
      <c r="CX15" s="44"/>
      <c r="CY15" s="44"/>
      <c r="CZ15" s="44"/>
      <c r="DA15" s="44"/>
      <c r="DB15" s="44"/>
      <c r="DC15" s="44"/>
      <c r="DD15" s="64" t="s">
        <v>30</v>
      </c>
      <c r="DE15" s="44"/>
      <c r="DF15" s="44"/>
      <c r="DG15" s="44"/>
      <c r="DH15" s="44"/>
      <c r="DI15" s="44"/>
      <c r="DJ15" s="44"/>
      <c r="DK15" s="44"/>
      <c r="DL15" s="64" t="s">
        <v>30</v>
      </c>
      <c r="DM15" s="44"/>
      <c r="DN15" s="44"/>
      <c r="DO15" s="44"/>
      <c r="DP15" s="44"/>
      <c r="DQ15" s="44"/>
      <c r="DR15" s="44"/>
      <c r="DS15" s="45"/>
      <c r="DT15" s="63" t="s">
        <v>30</v>
      </c>
      <c r="DU15" s="44"/>
      <c r="DV15" s="44"/>
      <c r="DW15" s="44"/>
      <c r="DX15" s="44"/>
      <c r="DY15" s="44"/>
      <c r="DZ15" s="44"/>
      <c r="EA15" s="44"/>
      <c r="EB15" s="64" t="s">
        <v>30</v>
      </c>
      <c r="EC15" s="44"/>
      <c r="ED15" s="44"/>
      <c r="EE15" s="44"/>
      <c r="EF15" s="44"/>
      <c r="EG15" s="44"/>
      <c r="EH15" s="44"/>
      <c r="EI15" s="44"/>
      <c r="EJ15" s="64" t="s">
        <v>30</v>
      </c>
      <c r="EK15" s="44"/>
      <c r="EL15" s="44"/>
      <c r="EM15" s="44"/>
      <c r="EN15" s="44"/>
      <c r="EO15" s="44"/>
      <c r="EP15" s="44"/>
      <c r="EQ15" s="45"/>
      <c r="ER15" s="63" t="s">
        <v>30</v>
      </c>
      <c r="ES15" s="44"/>
      <c r="ET15" s="44"/>
      <c r="EU15" s="44"/>
      <c r="EV15" s="44"/>
      <c r="EW15" s="44"/>
      <c r="EX15" s="44"/>
      <c r="EY15" s="44"/>
      <c r="EZ15" s="64" t="s">
        <v>30</v>
      </c>
      <c r="FA15" s="44"/>
      <c r="FB15" s="44"/>
      <c r="FC15" s="44"/>
      <c r="FD15" s="44"/>
      <c r="FE15" s="44"/>
      <c r="FF15" s="44" t="s">
        <v>31</v>
      </c>
      <c r="FG15" s="44"/>
      <c r="FH15" s="59" t="s">
        <v>38</v>
      </c>
      <c r="FI15" s="44"/>
      <c r="FJ15" s="44"/>
      <c r="FK15" s="44"/>
      <c r="FL15" s="44"/>
      <c r="FM15" s="44"/>
      <c r="FN15" s="44"/>
      <c r="FO15" s="45"/>
      <c r="FP15" s="36">
        <v>26313</v>
      </c>
      <c r="FQ15" s="37"/>
      <c r="FR15" s="37"/>
      <c r="FS15" s="37"/>
      <c r="FT15" s="37"/>
    </row>
    <row r="16" spans="1:176" s="3" customFormat="1" ht="109.95" customHeight="1" x14ac:dyDescent="0.35">
      <c r="A16" s="43" t="s">
        <v>25</v>
      </c>
      <c r="B16" s="44"/>
      <c r="C16" s="44"/>
      <c r="D16" s="43" t="s">
        <v>35</v>
      </c>
      <c r="E16" s="44"/>
      <c r="F16" s="44"/>
      <c r="G16" s="44"/>
      <c r="H16" s="44"/>
      <c r="I16" s="44"/>
      <c r="J16" s="44"/>
      <c r="K16" s="44"/>
      <c r="L16" s="48" t="s">
        <v>35</v>
      </c>
      <c r="M16" s="44"/>
      <c r="N16" s="44"/>
      <c r="O16" s="44"/>
      <c r="P16" s="44"/>
      <c r="Q16" s="49" t="s">
        <v>34</v>
      </c>
      <c r="R16" s="44"/>
      <c r="S16" s="48" t="s">
        <v>35</v>
      </c>
      <c r="T16" s="48" t="s">
        <v>35</v>
      </c>
      <c r="U16" s="44"/>
      <c r="V16" s="49" t="s">
        <v>48</v>
      </c>
      <c r="W16" s="48" t="s">
        <v>35</v>
      </c>
      <c r="X16" s="44"/>
      <c r="Y16" s="44"/>
      <c r="Z16" s="44"/>
      <c r="AA16" s="45"/>
      <c r="AB16" s="43" t="s">
        <v>35</v>
      </c>
      <c r="AC16" s="44"/>
      <c r="AD16" s="44"/>
      <c r="AE16" s="44"/>
      <c r="AF16" s="44"/>
      <c r="AG16" s="44"/>
      <c r="AH16" s="44"/>
      <c r="AI16" s="44"/>
      <c r="AJ16" s="44" t="s">
        <v>35</v>
      </c>
      <c r="AK16" s="44"/>
      <c r="AL16" s="44"/>
      <c r="AM16" s="44"/>
      <c r="AN16" s="44"/>
      <c r="AO16" s="44"/>
      <c r="AP16" s="44"/>
      <c r="AQ16" s="44"/>
      <c r="AR16" s="44" t="s">
        <v>35</v>
      </c>
      <c r="AS16" s="44"/>
      <c r="AT16" s="44"/>
      <c r="AU16" s="44"/>
      <c r="AV16" s="44"/>
      <c r="AW16" s="44"/>
      <c r="AX16" s="44"/>
      <c r="AY16" s="45"/>
      <c r="AZ16" s="43" t="s">
        <v>35</v>
      </c>
      <c r="BA16" s="44"/>
      <c r="BB16" s="44"/>
      <c r="BC16" s="44"/>
      <c r="BD16" s="44"/>
      <c r="BE16" s="44"/>
      <c r="BF16" s="44"/>
      <c r="BG16" s="44"/>
      <c r="BH16" s="44" t="s">
        <v>35</v>
      </c>
      <c r="BI16" s="44"/>
      <c r="BJ16" s="44"/>
      <c r="BK16" s="44"/>
      <c r="BL16" s="44"/>
      <c r="BM16" s="44"/>
      <c r="BN16" s="44"/>
      <c r="BO16" s="44"/>
      <c r="BP16" s="44" t="s">
        <v>35</v>
      </c>
      <c r="BQ16" s="44"/>
      <c r="BR16" s="44"/>
      <c r="BS16" s="44"/>
      <c r="BT16" s="44"/>
      <c r="BU16" s="44"/>
      <c r="BV16" s="44"/>
      <c r="BW16" s="107" t="s">
        <v>40</v>
      </c>
      <c r="BX16" s="100" t="s">
        <v>40</v>
      </c>
      <c r="BY16" s="44"/>
      <c r="BZ16" s="44"/>
      <c r="CA16" s="44"/>
      <c r="CB16" s="44"/>
      <c r="CC16" s="44"/>
      <c r="CD16" s="44"/>
      <c r="CE16" s="44"/>
      <c r="CF16" s="56" t="s">
        <v>40</v>
      </c>
      <c r="CG16" s="44"/>
      <c r="CH16" s="44"/>
      <c r="CI16" s="48" t="s">
        <v>33</v>
      </c>
      <c r="CJ16" s="44"/>
      <c r="CK16" s="44"/>
      <c r="CL16" s="44"/>
      <c r="CM16" s="44"/>
      <c r="CN16" s="44" t="s">
        <v>33</v>
      </c>
      <c r="CO16" s="44"/>
      <c r="CP16" s="44"/>
      <c r="CQ16" s="44"/>
      <c r="CR16" s="44"/>
      <c r="CS16" s="44"/>
      <c r="CT16" s="44"/>
      <c r="CU16" s="45"/>
      <c r="CV16" s="43" t="s">
        <v>33</v>
      </c>
      <c r="CW16" s="44"/>
      <c r="CX16" s="44"/>
      <c r="CY16" s="44"/>
      <c r="CZ16" s="44"/>
      <c r="DA16" s="44"/>
      <c r="DB16" s="44"/>
      <c r="DC16" s="44"/>
      <c r="DD16" s="44" t="s">
        <v>33</v>
      </c>
      <c r="DE16" s="44"/>
      <c r="DF16" s="44"/>
      <c r="DG16" s="44"/>
      <c r="DH16" s="44"/>
      <c r="DI16" s="44"/>
      <c r="DJ16" s="44"/>
      <c r="DK16" s="44"/>
      <c r="DL16" s="44" t="s">
        <v>33</v>
      </c>
      <c r="DM16" s="44"/>
      <c r="DN16" s="44"/>
      <c r="DO16" s="44"/>
      <c r="DP16" s="44"/>
      <c r="DQ16" s="44"/>
      <c r="DR16" s="44"/>
      <c r="DS16" s="45"/>
      <c r="DT16" s="43" t="s">
        <v>33</v>
      </c>
      <c r="DU16" s="44"/>
      <c r="DV16" s="44"/>
      <c r="DW16" s="44"/>
      <c r="DX16" s="44"/>
      <c r="DY16" s="44"/>
      <c r="DZ16" s="44"/>
      <c r="EA16" s="44"/>
      <c r="EB16" s="44" t="s">
        <v>33</v>
      </c>
      <c r="EC16" s="44"/>
      <c r="ED16" s="44"/>
      <c r="EE16" s="44"/>
      <c r="EF16" s="44"/>
      <c r="EG16" s="44"/>
      <c r="EH16" s="44"/>
      <c r="EI16" s="44"/>
      <c r="EJ16" s="44" t="s">
        <v>33</v>
      </c>
      <c r="EK16" s="44"/>
      <c r="EL16" s="44"/>
      <c r="EM16" s="44"/>
      <c r="EN16" s="44"/>
      <c r="EO16" s="44"/>
      <c r="EP16" s="44"/>
      <c r="EQ16" s="45"/>
      <c r="ER16" s="43" t="s">
        <v>33</v>
      </c>
      <c r="ES16" s="44"/>
      <c r="ET16" s="44"/>
      <c r="EU16" s="44"/>
      <c r="EV16" s="44"/>
      <c r="EW16" s="44"/>
      <c r="EX16" s="44"/>
      <c r="EY16" s="44"/>
      <c r="EZ16" s="44" t="s">
        <v>33</v>
      </c>
      <c r="FA16" s="44"/>
      <c r="FB16" s="44"/>
      <c r="FC16" s="44"/>
      <c r="FD16" s="44"/>
      <c r="FE16" s="44"/>
      <c r="FF16" s="49" t="s">
        <v>34</v>
      </c>
      <c r="FG16" s="44"/>
      <c r="FH16" s="44" t="s">
        <v>35</v>
      </c>
      <c r="FI16" s="44"/>
      <c r="FJ16" s="44"/>
      <c r="FK16" s="44"/>
      <c r="FL16" s="44"/>
      <c r="FM16" s="44"/>
      <c r="FN16" s="44"/>
      <c r="FO16" s="45"/>
      <c r="FP16" s="37"/>
      <c r="FQ16" s="37"/>
      <c r="FR16" s="37"/>
      <c r="FS16" s="37"/>
      <c r="FT16" s="37"/>
    </row>
    <row r="17" spans="1:176" s="3" customFormat="1" ht="60" customHeight="1" x14ac:dyDescent="0.35">
      <c r="A17" s="43" t="s">
        <v>27</v>
      </c>
      <c r="B17" s="44"/>
      <c r="C17" s="44"/>
      <c r="D17" s="43">
        <v>1406</v>
      </c>
      <c r="E17" s="44"/>
      <c r="F17" s="44"/>
      <c r="G17" s="44"/>
      <c r="H17" s="44"/>
      <c r="I17" s="44"/>
      <c r="J17" s="44"/>
      <c r="K17" s="44"/>
      <c r="L17" s="48">
        <v>802</v>
      </c>
      <c r="M17" s="44"/>
      <c r="N17" s="44"/>
      <c r="O17" s="44"/>
      <c r="P17" s="44"/>
      <c r="Q17" s="48"/>
      <c r="R17" s="44"/>
      <c r="S17" s="48">
        <v>250</v>
      </c>
      <c r="T17" s="48">
        <v>419</v>
      </c>
      <c r="U17" s="44"/>
      <c r="V17" s="48"/>
      <c r="W17" s="48">
        <v>806</v>
      </c>
      <c r="X17" s="44"/>
      <c r="Y17" s="44"/>
      <c r="Z17" s="44"/>
      <c r="AA17" s="45"/>
      <c r="AB17" s="43">
        <v>1407</v>
      </c>
      <c r="AC17" s="44"/>
      <c r="AD17" s="44"/>
      <c r="AE17" s="44"/>
      <c r="AF17" s="44"/>
      <c r="AG17" s="44"/>
      <c r="AH17" s="44"/>
      <c r="AI17" s="44"/>
      <c r="AJ17" s="44">
        <v>1407</v>
      </c>
      <c r="AK17" s="44"/>
      <c r="AL17" s="44"/>
      <c r="AM17" s="44"/>
      <c r="AN17" s="44"/>
      <c r="AO17" s="44"/>
      <c r="AP17" s="44"/>
      <c r="AQ17" s="44"/>
      <c r="AR17" s="44">
        <v>1407</v>
      </c>
      <c r="AS17" s="44"/>
      <c r="AT17" s="44"/>
      <c r="AU17" s="44"/>
      <c r="AV17" s="44"/>
      <c r="AW17" s="44"/>
      <c r="AX17" s="44"/>
      <c r="AY17" s="45"/>
      <c r="AZ17" s="43">
        <v>1407</v>
      </c>
      <c r="BA17" s="44"/>
      <c r="BB17" s="44"/>
      <c r="BC17" s="44"/>
      <c r="BD17" s="44"/>
      <c r="BE17" s="44"/>
      <c r="BF17" s="44"/>
      <c r="BG17" s="44"/>
      <c r="BH17" s="44">
        <v>1407</v>
      </c>
      <c r="BI17" s="44"/>
      <c r="BJ17" s="44"/>
      <c r="BK17" s="44"/>
      <c r="BL17" s="44"/>
      <c r="BM17" s="44"/>
      <c r="BN17" s="44"/>
      <c r="BO17" s="44"/>
      <c r="BP17" s="44">
        <v>1159</v>
      </c>
      <c r="BQ17" s="44"/>
      <c r="BR17" s="44"/>
      <c r="BS17" s="44"/>
      <c r="BT17" s="44"/>
      <c r="BU17" s="44"/>
      <c r="BV17" s="44"/>
      <c r="BW17" s="45"/>
      <c r="BX17" s="43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8">
        <v>932</v>
      </c>
      <c r="CJ17" s="44"/>
      <c r="CK17" s="44"/>
      <c r="CL17" s="44"/>
      <c r="CM17" s="44"/>
      <c r="CN17" s="44">
        <v>1382</v>
      </c>
      <c r="CO17" s="44"/>
      <c r="CP17" s="44"/>
      <c r="CQ17" s="44"/>
      <c r="CR17" s="44"/>
      <c r="CS17" s="44"/>
      <c r="CT17" s="44"/>
      <c r="CU17" s="45"/>
      <c r="CV17" s="43">
        <v>1382</v>
      </c>
      <c r="CW17" s="44"/>
      <c r="CX17" s="44"/>
      <c r="CY17" s="44"/>
      <c r="CZ17" s="44"/>
      <c r="DA17" s="44"/>
      <c r="DB17" s="44"/>
      <c r="DC17" s="44"/>
      <c r="DD17" s="44">
        <v>1382</v>
      </c>
      <c r="DE17" s="44"/>
      <c r="DF17" s="44"/>
      <c r="DG17" s="44"/>
      <c r="DH17" s="44"/>
      <c r="DI17" s="44"/>
      <c r="DJ17" s="44"/>
      <c r="DK17" s="44"/>
      <c r="DL17" s="44">
        <v>1382</v>
      </c>
      <c r="DM17" s="44"/>
      <c r="DN17" s="44"/>
      <c r="DO17" s="44"/>
      <c r="DP17" s="44"/>
      <c r="DQ17" s="44"/>
      <c r="DR17" s="44"/>
      <c r="DS17" s="45"/>
      <c r="DT17" s="43">
        <v>1382</v>
      </c>
      <c r="DU17" s="44"/>
      <c r="DV17" s="44"/>
      <c r="DW17" s="44"/>
      <c r="DX17" s="44"/>
      <c r="DY17" s="44"/>
      <c r="DZ17" s="44"/>
      <c r="EA17" s="44"/>
      <c r="EB17" s="44">
        <v>1382</v>
      </c>
      <c r="EC17" s="44"/>
      <c r="ED17" s="44"/>
      <c r="EE17" s="44"/>
      <c r="EF17" s="44"/>
      <c r="EG17" s="44"/>
      <c r="EH17" s="44"/>
      <c r="EI17" s="44"/>
      <c r="EJ17" s="44">
        <v>1382</v>
      </c>
      <c r="EK17" s="44"/>
      <c r="EL17" s="44"/>
      <c r="EM17" s="44"/>
      <c r="EN17" s="44"/>
      <c r="EO17" s="44"/>
      <c r="EP17" s="44"/>
      <c r="EQ17" s="45"/>
      <c r="ER17" s="43">
        <v>1382</v>
      </c>
      <c r="ES17" s="44"/>
      <c r="ET17" s="44"/>
      <c r="EU17" s="44"/>
      <c r="EV17" s="44"/>
      <c r="EW17" s="44"/>
      <c r="EX17" s="44"/>
      <c r="EY17" s="44"/>
      <c r="EZ17" s="44">
        <v>1012</v>
      </c>
      <c r="FA17" s="44"/>
      <c r="FB17" s="44"/>
      <c r="FC17" s="44"/>
      <c r="FD17" s="44"/>
      <c r="FE17" s="44"/>
      <c r="FF17" s="48"/>
      <c r="FG17" s="44"/>
      <c r="FH17" s="44">
        <v>1436</v>
      </c>
      <c r="FI17" s="44"/>
      <c r="FJ17" s="44"/>
      <c r="FK17" s="44"/>
      <c r="FL17" s="44"/>
      <c r="FM17" s="44"/>
      <c r="FN17" s="44"/>
      <c r="FO17" s="45"/>
      <c r="FP17" s="37"/>
      <c r="FQ17" s="37"/>
      <c r="FR17" s="37"/>
      <c r="FS17" s="37"/>
      <c r="FT17" s="37"/>
    </row>
    <row r="18" spans="1:176" s="3" customFormat="1" ht="60" customHeight="1" x14ac:dyDescent="0.35">
      <c r="A18" s="43" t="s">
        <v>28</v>
      </c>
      <c r="B18" s="44"/>
      <c r="C18" s="44"/>
      <c r="D18" s="33">
        <v>3683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5"/>
      <c r="AB18" s="33">
        <v>4221</v>
      </c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5"/>
      <c r="AZ18" s="33">
        <v>3973</v>
      </c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5"/>
      <c r="BX18" s="33">
        <v>2314</v>
      </c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5"/>
      <c r="CV18" s="33">
        <v>4146</v>
      </c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5"/>
      <c r="DT18" s="33">
        <v>4146</v>
      </c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5"/>
      <c r="ER18" s="33">
        <v>3830</v>
      </c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5"/>
      <c r="FP18" s="37"/>
      <c r="FQ18" s="37"/>
      <c r="FR18" s="37"/>
      <c r="FS18" s="37"/>
      <c r="FT18" s="37"/>
    </row>
    <row r="19" spans="1:176" s="3" customFormat="1" ht="60" customHeight="1" x14ac:dyDescent="0.35">
      <c r="A19" s="43" t="s">
        <v>36</v>
      </c>
      <c r="B19" s="44"/>
      <c r="C19" s="44"/>
      <c r="D19" s="93" t="s">
        <v>39</v>
      </c>
      <c r="E19" s="44"/>
      <c r="F19" s="44"/>
      <c r="G19" s="44"/>
      <c r="H19" s="44"/>
      <c r="I19" s="44"/>
      <c r="J19" s="44"/>
      <c r="K19" s="44"/>
      <c r="L19" s="61" t="s">
        <v>39</v>
      </c>
      <c r="M19" s="44"/>
      <c r="N19" s="44"/>
      <c r="O19" s="44"/>
      <c r="P19" s="44"/>
      <c r="Q19" s="44"/>
      <c r="R19" s="44" t="s">
        <v>31</v>
      </c>
      <c r="S19" s="44"/>
      <c r="T19" s="44" t="s">
        <v>31</v>
      </c>
      <c r="U19" s="44"/>
      <c r="V19" s="44"/>
      <c r="W19" s="44"/>
      <c r="X19" s="44"/>
      <c r="Y19" s="44"/>
      <c r="Z19" s="53" t="s">
        <v>104</v>
      </c>
      <c r="AA19" s="45"/>
      <c r="AB19" s="65" t="s">
        <v>104</v>
      </c>
      <c r="AC19" s="44"/>
      <c r="AD19" s="44"/>
      <c r="AE19" s="44"/>
      <c r="AF19" s="44"/>
      <c r="AG19" s="44"/>
      <c r="AH19" s="44"/>
      <c r="AI19" s="44"/>
      <c r="AJ19" s="53" t="s">
        <v>104</v>
      </c>
      <c r="AK19" s="44"/>
      <c r="AL19" s="44"/>
      <c r="AM19" s="44"/>
      <c r="AN19" s="44"/>
      <c r="AO19" s="44"/>
      <c r="AP19" s="44"/>
      <c r="AQ19" s="44"/>
      <c r="AR19" s="53" t="s">
        <v>104</v>
      </c>
      <c r="AS19" s="44"/>
      <c r="AT19" s="44"/>
      <c r="AU19" s="44"/>
      <c r="AV19" s="44"/>
      <c r="AW19" s="44"/>
      <c r="AX19" s="44"/>
      <c r="AY19" s="45"/>
      <c r="AZ19" s="65" t="s">
        <v>104</v>
      </c>
      <c r="BA19" s="44"/>
      <c r="BB19" s="44"/>
      <c r="BC19" s="44"/>
      <c r="BD19" s="44"/>
      <c r="BE19" s="44"/>
      <c r="BF19" s="44"/>
      <c r="BG19" s="44"/>
      <c r="BH19" s="53" t="s">
        <v>104</v>
      </c>
      <c r="BI19" s="44"/>
      <c r="BJ19" s="44"/>
      <c r="BK19" s="44"/>
      <c r="BL19" s="44"/>
      <c r="BM19" s="44"/>
      <c r="BN19" s="44"/>
      <c r="BO19" s="44" t="s">
        <v>31</v>
      </c>
      <c r="BP19" s="44" t="s">
        <v>31</v>
      </c>
      <c r="BQ19" s="44"/>
      <c r="BR19" s="44"/>
      <c r="BS19" s="44"/>
      <c r="BT19" s="44"/>
      <c r="BU19" s="44"/>
      <c r="BV19" s="44"/>
      <c r="BW19" s="106" t="s">
        <v>103</v>
      </c>
      <c r="BX19" s="92" t="s">
        <v>103</v>
      </c>
      <c r="BY19" s="44"/>
      <c r="BZ19" s="44"/>
      <c r="CA19" s="44"/>
      <c r="CB19" s="44"/>
      <c r="CC19" s="44"/>
      <c r="CD19" s="44"/>
      <c r="CE19" s="44"/>
      <c r="CF19" s="91" t="s">
        <v>103</v>
      </c>
      <c r="CG19" s="44"/>
      <c r="CH19" s="44"/>
      <c r="CI19" s="44"/>
      <c r="CJ19" s="44"/>
      <c r="CK19" s="44"/>
      <c r="CL19" s="44"/>
      <c r="CM19" s="44"/>
      <c r="CN19" s="91" t="s">
        <v>103</v>
      </c>
      <c r="CO19" s="44"/>
      <c r="CP19" s="44"/>
      <c r="CQ19" s="44"/>
      <c r="CR19" s="44"/>
      <c r="CS19" s="44"/>
      <c r="CT19" s="44"/>
      <c r="CU19" s="45"/>
      <c r="CV19" s="92" t="s">
        <v>103</v>
      </c>
      <c r="CW19" s="44"/>
      <c r="CX19" s="44"/>
      <c r="CY19" s="44"/>
      <c r="CZ19" s="44"/>
      <c r="DA19" s="44"/>
      <c r="DB19" s="44"/>
      <c r="DC19" s="44"/>
      <c r="DD19" s="91" t="s">
        <v>103</v>
      </c>
      <c r="DE19" s="44"/>
      <c r="DF19" s="44"/>
      <c r="DG19" s="44"/>
      <c r="DH19" s="44"/>
      <c r="DI19" s="44"/>
      <c r="DJ19" s="44"/>
      <c r="DK19" s="44"/>
      <c r="DL19" s="91" t="s">
        <v>103</v>
      </c>
      <c r="DM19" s="44"/>
      <c r="DN19" s="44"/>
      <c r="DO19" s="44"/>
      <c r="DP19" s="44"/>
      <c r="DQ19" s="44"/>
      <c r="DR19" s="44"/>
      <c r="DS19" s="45"/>
      <c r="DT19" s="43" t="s">
        <v>31</v>
      </c>
      <c r="DU19" s="44"/>
      <c r="DV19" s="58" t="s">
        <v>105</v>
      </c>
      <c r="DW19" s="44"/>
      <c r="DX19" s="44"/>
      <c r="DY19" s="44"/>
      <c r="DZ19" s="44"/>
      <c r="EA19" s="44"/>
      <c r="EB19" s="58" t="s">
        <v>105</v>
      </c>
      <c r="EC19" s="44"/>
      <c r="ED19" s="44"/>
      <c r="EE19" s="44"/>
      <c r="EF19" s="44"/>
      <c r="EG19" s="44"/>
      <c r="EH19" s="44"/>
      <c r="EI19" s="44"/>
      <c r="EJ19" s="58" t="s">
        <v>105</v>
      </c>
      <c r="EK19" s="44"/>
      <c r="EL19" s="44"/>
      <c r="EM19" s="44"/>
      <c r="EN19" s="44"/>
      <c r="EO19" s="44"/>
      <c r="EP19" s="44"/>
      <c r="EQ19" s="45"/>
      <c r="ER19" s="57" t="s">
        <v>105</v>
      </c>
      <c r="ES19" s="44"/>
      <c r="ET19" s="44" t="s">
        <v>31</v>
      </c>
      <c r="EU19" s="44"/>
      <c r="EV19" s="44"/>
      <c r="EW19" s="44"/>
      <c r="EX19" s="44"/>
      <c r="EY19" s="44"/>
      <c r="EZ19" s="44" t="s">
        <v>31</v>
      </c>
      <c r="FA19" s="44"/>
      <c r="FB19" s="53" t="s">
        <v>32</v>
      </c>
      <c r="FC19" s="44"/>
      <c r="FD19" s="44"/>
      <c r="FE19" s="44"/>
      <c r="FF19" s="44"/>
      <c r="FG19" s="44"/>
      <c r="FH19" s="53" t="s">
        <v>32</v>
      </c>
      <c r="FI19" s="44"/>
      <c r="FJ19" s="44"/>
      <c r="FK19" s="44"/>
      <c r="FL19" s="44"/>
      <c r="FM19" s="44"/>
      <c r="FN19" s="44"/>
      <c r="FO19" s="45"/>
      <c r="FP19" s="36">
        <v>18573</v>
      </c>
      <c r="FQ19" s="37"/>
      <c r="FR19" s="37"/>
      <c r="FS19" s="37"/>
      <c r="FT19" s="37"/>
    </row>
    <row r="20" spans="1:176" s="3" customFormat="1" ht="109.95" customHeight="1" x14ac:dyDescent="0.35">
      <c r="A20" s="43" t="s">
        <v>25</v>
      </c>
      <c r="B20" s="44"/>
      <c r="C20" s="44"/>
      <c r="D20" s="43" t="s">
        <v>35</v>
      </c>
      <c r="E20" s="44"/>
      <c r="F20" s="44"/>
      <c r="G20" s="44"/>
      <c r="H20" s="44"/>
      <c r="I20" s="44"/>
      <c r="J20" s="44"/>
      <c r="K20" s="44"/>
      <c r="L20" s="44" t="s">
        <v>35</v>
      </c>
      <c r="M20" s="44"/>
      <c r="N20" s="44"/>
      <c r="O20" s="44"/>
      <c r="P20" s="44"/>
      <c r="Q20" s="44"/>
      <c r="R20" s="56" t="s">
        <v>48</v>
      </c>
      <c r="S20" s="44"/>
      <c r="T20" s="56" t="s">
        <v>48</v>
      </c>
      <c r="U20" s="44"/>
      <c r="V20" s="44"/>
      <c r="W20" s="44"/>
      <c r="X20" s="44"/>
      <c r="Y20" s="44"/>
      <c r="Z20" s="48" t="s">
        <v>106</v>
      </c>
      <c r="AA20" s="45"/>
      <c r="AB20" s="43" t="s">
        <v>106</v>
      </c>
      <c r="AC20" s="44"/>
      <c r="AD20" s="44"/>
      <c r="AE20" s="44"/>
      <c r="AF20" s="44"/>
      <c r="AG20" s="44"/>
      <c r="AH20" s="44"/>
      <c r="AI20" s="44"/>
      <c r="AJ20" s="44" t="s">
        <v>106</v>
      </c>
      <c r="AK20" s="44"/>
      <c r="AL20" s="44"/>
      <c r="AM20" s="44"/>
      <c r="AN20" s="44"/>
      <c r="AO20" s="44"/>
      <c r="AP20" s="44"/>
      <c r="AQ20" s="44"/>
      <c r="AR20" s="44" t="s">
        <v>106</v>
      </c>
      <c r="AS20" s="44"/>
      <c r="AT20" s="44"/>
      <c r="AU20" s="44"/>
      <c r="AV20" s="44"/>
      <c r="AW20" s="44"/>
      <c r="AX20" s="44"/>
      <c r="AY20" s="45"/>
      <c r="AZ20" s="43" t="s">
        <v>106</v>
      </c>
      <c r="BA20" s="44"/>
      <c r="BB20" s="44"/>
      <c r="BC20" s="44"/>
      <c r="BD20" s="44"/>
      <c r="BE20" s="44"/>
      <c r="BF20" s="44"/>
      <c r="BG20" s="44"/>
      <c r="BH20" s="44" t="s">
        <v>106</v>
      </c>
      <c r="BI20" s="44"/>
      <c r="BJ20" s="44"/>
      <c r="BK20" s="44"/>
      <c r="BL20" s="44"/>
      <c r="BM20" s="44"/>
      <c r="BN20" s="44"/>
      <c r="BO20" s="56" t="s">
        <v>40</v>
      </c>
      <c r="BP20" s="56" t="s">
        <v>40</v>
      </c>
      <c r="BQ20" s="44"/>
      <c r="BR20" s="44"/>
      <c r="BS20" s="44"/>
      <c r="BT20" s="44"/>
      <c r="BU20" s="44"/>
      <c r="BV20" s="44"/>
      <c r="BW20" s="86" t="s">
        <v>106</v>
      </c>
      <c r="BX20" s="43" t="s">
        <v>106</v>
      </c>
      <c r="BY20" s="44"/>
      <c r="BZ20" s="44"/>
      <c r="CA20" s="44"/>
      <c r="CB20" s="44"/>
      <c r="CC20" s="44"/>
      <c r="CD20" s="44"/>
      <c r="CE20" s="44"/>
      <c r="CF20" s="44" t="s">
        <v>106</v>
      </c>
      <c r="CG20" s="44"/>
      <c r="CH20" s="44"/>
      <c r="CI20" s="44"/>
      <c r="CJ20" s="44"/>
      <c r="CK20" s="44"/>
      <c r="CL20" s="44"/>
      <c r="CM20" s="44"/>
      <c r="CN20" s="44" t="s">
        <v>106</v>
      </c>
      <c r="CO20" s="44"/>
      <c r="CP20" s="44"/>
      <c r="CQ20" s="44"/>
      <c r="CR20" s="44"/>
      <c r="CS20" s="44"/>
      <c r="CT20" s="44"/>
      <c r="CU20" s="45"/>
      <c r="CV20" s="43" t="s">
        <v>106</v>
      </c>
      <c r="CW20" s="44"/>
      <c r="CX20" s="44"/>
      <c r="CY20" s="44"/>
      <c r="CZ20" s="44"/>
      <c r="DA20" s="44"/>
      <c r="DB20" s="44"/>
      <c r="DC20" s="44"/>
      <c r="DD20" s="44" t="s">
        <v>106</v>
      </c>
      <c r="DE20" s="44"/>
      <c r="DF20" s="44"/>
      <c r="DG20" s="44"/>
      <c r="DH20" s="44"/>
      <c r="DI20" s="44"/>
      <c r="DJ20" s="44"/>
      <c r="DK20" s="44"/>
      <c r="DL20" s="44" t="s">
        <v>106</v>
      </c>
      <c r="DM20" s="44"/>
      <c r="DN20" s="44"/>
      <c r="DO20" s="44"/>
      <c r="DP20" s="44"/>
      <c r="DQ20" s="44"/>
      <c r="DR20" s="44"/>
      <c r="DS20" s="45"/>
      <c r="DT20" s="62" t="s">
        <v>34</v>
      </c>
      <c r="DU20" s="44"/>
      <c r="DV20" s="44" t="s">
        <v>106</v>
      </c>
      <c r="DW20" s="44"/>
      <c r="DX20" s="44"/>
      <c r="DY20" s="44"/>
      <c r="DZ20" s="44"/>
      <c r="EA20" s="44"/>
      <c r="EB20" s="44" t="s">
        <v>106</v>
      </c>
      <c r="EC20" s="44"/>
      <c r="ED20" s="44"/>
      <c r="EE20" s="44"/>
      <c r="EF20" s="44"/>
      <c r="EG20" s="44"/>
      <c r="EH20" s="44"/>
      <c r="EI20" s="44"/>
      <c r="EJ20" s="44" t="s">
        <v>106</v>
      </c>
      <c r="EK20" s="44"/>
      <c r="EL20" s="44"/>
      <c r="EM20" s="44"/>
      <c r="EN20" s="44"/>
      <c r="EO20" s="44"/>
      <c r="EP20" s="44"/>
      <c r="EQ20" s="45"/>
      <c r="ER20" s="46" t="s">
        <v>106</v>
      </c>
      <c r="ES20" s="44"/>
      <c r="ET20" s="56" t="s">
        <v>48</v>
      </c>
      <c r="EU20" s="44"/>
      <c r="EV20" s="44"/>
      <c r="EW20" s="44"/>
      <c r="EX20" s="44"/>
      <c r="EY20" s="44"/>
      <c r="EZ20" s="56" t="s">
        <v>48</v>
      </c>
      <c r="FA20" s="44"/>
      <c r="FB20" s="44" t="s">
        <v>35</v>
      </c>
      <c r="FC20" s="44"/>
      <c r="FD20" s="44"/>
      <c r="FE20" s="44"/>
      <c r="FF20" s="44"/>
      <c r="FG20" s="44"/>
      <c r="FH20" s="44" t="s">
        <v>35</v>
      </c>
      <c r="FI20" s="44"/>
      <c r="FJ20" s="44"/>
      <c r="FK20" s="44"/>
      <c r="FL20" s="44"/>
      <c r="FM20" s="44"/>
      <c r="FN20" s="44"/>
      <c r="FO20" s="45"/>
      <c r="FP20" s="37"/>
      <c r="FQ20" s="37"/>
      <c r="FR20" s="37"/>
      <c r="FS20" s="37"/>
      <c r="FT20" s="37"/>
    </row>
    <row r="21" spans="1:176" s="3" customFormat="1" ht="60" customHeight="1" x14ac:dyDescent="0.35">
      <c r="A21" s="43" t="s">
        <v>27</v>
      </c>
      <c r="B21" s="44"/>
      <c r="C21" s="44"/>
      <c r="D21" s="43">
        <v>1236</v>
      </c>
      <c r="E21" s="44"/>
      <c r="F21" s="44"/>
      <c r="G21" s="44"/>
      <c r="H21" s="44"/>
      <c r="I21" s="44"/>
      <c r="J21" s="44"/>
      <c r="K21" s="44"/>
      <c r="L21" s="44">
        <v>945</v>
      </c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8">
        <v>230</v>
      </c>
      <c r="AA21" s="45"/>
      <c r="AB21" s="43">
        <v>979</v>
      </c>
      <c r="AC21" s="44"/>
      <c r="AD21" s="44"/>
      <c r="AE21" s="44"/>
      <c r="AF21" s="44"/>
      <c r="AG21" s="44"/>
      <c r="AH21" s="44"/>
      <c r="AI21" s="44"/>
      <c r="AJ21" s="44">
        <v>979</v>
      </c>
      <c r="AK21" s="44"/>
      <c r="AL21" s="44"/>
      <c r="AM21" s="44"/>
      <c r="AN21" s="44"/>
      <c r="AO21" s="44"/>
      <c r="AP21" s="44"/>
      <c r="AQ21" s="44"/>
      <c r="AR21" s="44">
        <v>979</v>
      </c>
      <c r="AS21" s="44"/>
      <c r="AT21" s="44"/>
      <c r="AU21" s="44"/>
      <c r="AV21" s="44"/>
      <c r="AW21" s="44"/>
      <c r="AX21" s="44"/>
      <c r="AY21" s="45"/>
      <c r="AZ21" s="43">
        <v>979</v>
      </c>
      <c r="BA21" s="44"/>
      <c r="BB21" s="44"/>
      <c r="BC21" s="44"/>
      <c r="BD21" s="44"/>
      <c r="BE21" s="44"/>
      <c r="BF21" s="44"/>
      <c r="BG21" s="44"/>
      <c r="BH21" s="44">
        <v>854</v>
      </c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86">
        <v>126</v>
      </c>
      <c r="BX21" s="43">
        <v>979</v>
      </c>
      <c r="BY21" s="44"/>
      <c r="BZ21" s="44"/>
      <c r="CA21" s="44"/>
      <c r="CB21" s="44"/>
      <c r="CC21" s="44"/>
      <c r="CD21" s="44"/>
      <c r="CE21" s="44"/>
      <c r="CF21" s="44">
        <v>979</v>
      </c>
      <c r="CG21" s="44"/>
      <c r="CH21" s="44"/>
      <c r="CI21" s="44"/>
      <c r="CJ21" s="44"/>
      <c r="CK21" s="44"/>
      <c r="CL21" s="44"/>
      <c r="CM21" s="44"/>
      <c r="CN21" s="44">
        <v>979</v>
      </c>
      <c r="CO21" s="44"/>
      <c r="CP21" s="44"/>
      <c r="CQ21" s="44"/>
      <c r="CR21" s="44"/>
      <c r="CS21" s="44"/>
      <c r="CT21" s="44"/>
      <c r="CU21" s="45"/>
      <c r="CV21" s="43">
        <v>979</v>
      </c>
      <c r="CW21" s="44"/>
      <c r="CX21" s="44"/>
      <c r="CY21" s="44"/>
      <c r="CZ21" s="44"/>
      <c r="DA21" s="44"/>
      <c r="DB21" s="44"/>
      <c r="DC21" s="44"/>
      <c r="DD21" s="44">
        <v>979</v>
      </c>
      <c r="DE21" s="44"/>
      <c r="DF21" s="44"/>
      <c r="DG21" s="44"/>
      <c r="DH21" s="44"/>
      <c r="DI21" s="44"/>
      <c r="DJ21" s="44"/>
      <c r="DK21" s="44"/>
      <c r="DL21" s="44">
        <v>979</v>
      </c>
      <c r="DM21" s="44"/>
      <c r="DN21" s="44"/>
      <c r="DO21" s="44"/>
      <c r="DP21" s="44"/>
      <c r="DQ21" s="44"/>
      <c r="DR21" s="44"/>
      <c r="DS21" s="45"/>
      <c r="DT21" s="46"/>
      <c r="DU21" s="44"/>
      <c r="DV21" s="44">
        <v>736</v>
      </c>
      <c r="DW21" s="44"/>
      <c r="DX21" s="44"/>
      <c r="DY21" s="44"/>
      <c r="DZ21" s="44"/>
      <c r="EA21" s="44"/>
      <c r="EB21" s="44">
        <v>979</v>
      </c>
      <c r="EC21" s="44"/>
      <c r="ED21" s="44"/>
      <c r="EE21" s="44"/>
      <c r="EF21" s="44"/>
      <c r="EG21" s="44"/>
      <c r="EH21" s="44"/>
      <c r="EI21" s="44"/>
      <c r="EJ21" s="44">
        <v>979</v>
      </c>
      <c r="EK21" s="44"/>
      <c r="EL21" s="44"/>
      <c r="EM21" s="44"/>
      <c r="EN21" s="44"/>
      <c r="EO21" s="44"/>
      <c r="EP21" s="44"/>
      <c r="EQ21" s="45"/>
      <c r="ER21" s="46">
        <v>265</v>
      </c>
      <c r="ES21" s="44"/>
      <c r="ET21" s="44"/>
      <c r="EU21" s="44"/>
      <c r="EV21" s="44"/>
      <c r="EW21" s="44"/>
      <c r="EX21" s="44"/>
      <c r="EY21" s="44"/>
      <c r="EZ21" s="44"/>
      <c r="FA21" s="44"/>
      <c r="FB21" s="44">
        <v>1026</v>
      </c>
      <c r="FC21" s="44"/>
      <c r="FD21" s="44"/>
      <c r="FE21" s="44"/>
      <c r="FF21" s="44"/>
      <c r="FG21" s="44"/>
      <c r="FH21" s="44">
        <v>1407</v>
      </c>
      <c r="FI21" s="44"/>
      <c r="FJ21" s="44"/>
      <c r="FK21" s="44"/>
      <c r="FL21" s="44"/>
      <c r="FM21" s="44"/>
      <c r="FN21" s="44"/>
      <c r="FO21" s="45"/>
      <c r="FP21" s="37"/>
      <c r="FQ21" s="37"/>
      <c r="FR21" s="37"/>
      <c r="FS21" s="37"/>
      <c r="FT21" s="37"/>
    </row>
    <row r="22" spans="1:176" s="3" customFormat="1" ht="60" customHeight="1" x14ac:dyDescent="0.35">
      <c r="A22" s="43" t="s">
        <v>28</v>
      </c>
      <c r="B22" s="44"/>
      <c r="C22" s="44"/>
      <c r="D22" s="33">
        <v>2411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5"/>
      <c r="AB22" s="33">
        <v>2937</v>
      </c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5"/>
      <c r="AZ22" s="33">
        <v>1959</v>
      </c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5"/>
      <c r="BX22" s="33">
        <v>2937</v>
      </c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5"/>
      <c r="CV22" s="33">
        <v>2937</v>
      </c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5"/>
      <c r="DT22" s="33">
        <v>2694</v>
      </c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5"/>
      <c r="ER22" s="33">
        <v>2698</v>
      </c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5"/>
      <c r="FP22" s="37"/>
      <c r="FQ22" s="37"/>
      <c r="FR22" s="37"/>
      <c r="FS22" s="37"/>
      <c r="FT22" s="37"/>
    </row>
    <row r="23" spans="1:176" s="3" customFormat="1" ht="60" customHeight="1" x14ac:dyDescent="0.35">
      <c r="A23" s="43" t="s">
        <v>41</v>
      </c>
      <c r="B23" s="44"/>
      <c r="C23" s="44"/>
      <c r="D23" s="90" t="s">
        <v>107</v>
      </c>
      <c r="E23" s="44"/>
      <c r="F23" s="44"/>
      <c r="G23" s="44"/>
      <c r="H23" s="44"/>
      <c r="I23" s="44"/>
      <c r="J23" s="44"/>
      <c r="K23" s="44"/>
      <c r="L23" s="89" t="s">
        <v>107</v>
      </c>
      <c r="M23" s="44"/>
      <c r="N23" s="44"/>
      <c r="O23" s="44"/>
      <c r="P23" s="44"/>
      <c r="Q23" s="44"/>
      <c r="R23" s="44"/>
      <c r="S23" s="44"/>
      <c r="T23" s="89" t="s">
        <v>107</v>
      </c>
      <c r="U23" s="44"/>
      <c r="V23" s="44" t="s">
        <v>31</v>
      </c>
      <c r="W23" s="53" t="s">
        <v>110</v>
      </c>
      <c r="X23" s="44"/>
      <c r="Y23" s="44"/>
      <c r="Z23" s="44"/>
      <c r="AA23" s="45"/>
      <c r="AB23" s="65" t="s">
        <v>110</v>
      </c>
      <c r="AC23" s="44"/>
      <c r="AD23" s="44"/>
      <c r="AE23" s="44"/>
      <c r="AF23" s="44"/>
      <c r="AG23" s="44"/>
      <c r="AH23" s="44"/>
      <c r="AI23" s="44"/>
      <c r="AJ23" s="53" t="s">
        <v>110</v>
      </c>
      <c r="AK23" s="44"/>
      <c r="AL23" s="44"/>
      <c r="AM23" s="44"/>
      <c r="AN23" s="44"/>
      <c r="AO23" s="44"/>
      <c r="AP23" s="44"/>
      <c r="AQ23" s="44"/>
      <c r="AR23" s="53" t="s">
        <v>110</v>
      </c>
      <c r="AS23" s="44"/>
      <c r="AT23" s="44"/>
      <c r="AU23" s="44"/>
      <c r="AV23" s="44"/>
      <c r="AW23" s="44"/>
      <c r="AX23" s="44"/>
      <c r="AY23" s="45"/>
      <c r="AZ23" s="65" t="s">
        <v>110</v>
      </c>
      <c r="BA23" s="44"/>
      <c r="BB23" s="44"/>
      <c r="BC23" s="44"/>
      <c r="BD23" s="44"/>
      <c r="BE23" s="44"/>
      <c r="BF23" s="44"/>
      <c r="BG23" s="44"/>
      <c r="BH23" s="53" t="s">
        <v>110</v>
      </c>
      <c r="BI23" s="44"/>
      <c r="BJ23" s="44"/>
      <c r="BK23" s="44"/>
      <c r="BL23" s="44"/>
      <c r="BM23" s="44"/>
      <c r="BN23" s="44"/>
      <c r="BO23" s="44"/>
      <c r="BP23" s="53" t="s">
        <v>110</v>
      </c>
      <c r="BQ23" s="44"/>
      <c r="BR23" s="44"/>
      <c r="BS23" s="44"/>
      <c r="BT23" s="44"/>
      <c r="BU23" s="44"/>
      <c r="BV23" s="44"/>
      <c r="BW23" s="45"/>
      <c r="BX23" s="65" t="s">
        <v>110</v>
      </c>
      <c r="BY23" s="44"/>
      <c r="BZ23" s="44"/>
      <c r="CA23" s="44"/>
      <c r="CB23" s="44"/>
      <c r="CC23" s="44"/>
      <c r="CD23" s="44"/>
      <c r="CE23" s="44"/>
      <c r="CF23" s="53" t="s">
        <v>110</v>
      </c>
      <c r="CG23" s="44"/>
      <c r="CH23" s="44"/>
      <c r="CI23" s="44"/>
      <c r="CJ23" s="44"/>
      <c r="CK23" s="44"/>
      <c r="CL23" s="44"/>
      <c r="CM23" s="44"/>
      <c r="CN23" s="53" t="s">
        <v>110</v>
      </c>
      <c r="CO23" s="44"/>
      <c r="CP23" s="44"/>
      <c r="CQ23" s="44"/>
      <c r="CR23" s="44"/>
      <c r="CS23" s="44"/>
      <c r="CT23" s="44"/>
      <c r="CU23" s="45"/>
      <c r="CV23" s="65" t="s">
        <v>110</v>
      </c>
      <c r="CW23" s="44"/>
      <c r="CX23" s="44"/>
      <c r="CY23" s="44"/>
      <c r="CZ23" s="44"/>
      <c r="DA23" s="44"/>
      <c r="DB23" s="44"/>
      <c r="DC23" s="44"/>
      <c r="DD23" s="53" t="s">
        <v>110</v>
      </c>
      <c r="DE23" s="44" t="s">
        <v>31</v>
      </c>
      <c r="DF23" s="44"/>
      <c r="DG23" s="44"/>
      <c r="DH23" s="44"/>
      <c r="DI23" s="44"/>
      <c r="DJ23" s="44"/>
      <c r="DK23" s="44"/>
      <c r="DL23" s="44" t="s">
        <v>31</v>
      </c>
      <c r="DM23" s="44"/>
      <c r="DN23" s="44"/>
      <c r="DO23" s="44"/>
      <c r="DP23" s="44"/>
      <c r="DQ23" s="91" t="s">
        <v>108</v>
      </c>
      <c r="DR23" s="44"/>
      <c r="DS23" s="45"/>
      <c r="DT23" s="92" t="s">
        <v>108</v>
      </c>
      <c r="DU23" s="44"/>
      <c r="DV23" s="44"/>
      <c r="DW23" s="44"/>
      <c r="DX23" s="44"/>
      <c r="DY23" s="44"/>
      <c r="DZ23" s="44"/>
      <c r="EA23" s="44"/>
      <c r="EB23" s="91" t="s">
        <v>108</v>
      </c>
      <c r="EC23" s="44"/>
      <c r="ED23" s="44"/>
      <c r="EE23" s="44"/>
      <c r="EF23" s="44"/>
      <c r="EG23" s="44"/>
      <c r="EH23" s="44"/>
      <c r="EI23" s="44"/>
      <c r="EJ23" s="91" t="s">
        <v>108</v>
      </c>
      <c r="EK23" s="44"/>
      <c r="EL23" s="44"/>
      <c r="EM23" s="44"/>
      <c r="EN23" s="44"/>
      <c r="EO23" s="44"/>
      <c r="EP23" s="44"/>
      <c r="EQ23" s="45"/>
      <c r="ER23" s="92" t="s">
        <v>108</v>
      </c>
      <c r="ES23" s="44"/>
      <c r="ET23" s="44"/>
      <c r="EU23" s="44"/>
      <c r="EV23" s="44"/>
      <c r="EW23" s="44"/>
      <c r="EX23" s="44"/>
      <c r="EY23" s="44"/>
      <c r="EZ23" s="91" t="s">
        <v>108</v>
      </c>
      <c r="FA23" s="44"/>
      <c r="FB23" s="44"/>
      <c r="FC23" s="44"/>
      <c r="FD23" s="44"/>
      <c r="FE23" s="44"/>
      <c r="FF23" s="44"/>
      <c r="FG23" s="44"/>
      <c r="FH23" s="91" t="s">
        <v>108</v>
      </c>
      <c r="FI23" s="44"/>
      <c r="FJ23" s="44"/>
      <c r="FK23" s="44"/>
      <c r="FL23" s="44"/>
      <c r="FM23" s="44"/>
      <c r="FN23" s="44"/>
      <c r="FO23" s="45"/>
      <c r="FP23" s="36">
        <v>18013</v>
      </c>
      <c r="FQ23" s="37"/>
      <c r="FR23" s="37"/>
      <c r="FS23" s="37"/>
      <c r="FT23" s="37"/>
    </row>
    <row r="24" spans="1:176" s="3" customFormat="1" ht="109.95" customHeight="1" x14ac:dyDescent="0.35">
      <c r="A24" s="43" t="s">
        <v>25</v>
      </c>
      <c r="B24" s="44"/>
      <c r="C24" s="44"/>
      <c r="D24" s="43" t="s">
        <v>111</v>
      </c>
      <c r="E24" s="44"/>
      <c r="F24" s="44"/>
      <c r="G24" s="44"/>
      <c r="H24" s="44"/>
      <c r="I24" s="44"/>
      <c r="J24" s="44"/>
      <c r="K24" s="44"/>
      <c r="L24" s="44" t="s">
        <v>111</v>
      </c>
      <c r="M24" s="44"/>
      <c r="N24" s="44"/>
      <c r="O24" s="44"/>
      <c r="P24" s="44"/>
      <c r="Q24" s="44"/>
      <c r="R24" s="44"/>
      <c r="S24" s="44"/>
      <c r="T24" s="48" t="s">
        <v>111</v>
      </c>
      <c r="U24" s="44"/>
      <c r="V24" s="49" t="s">
        <v>34</v>
      </c>
      <c r="W24" s="48" t="s">
        <v>112</v>
      </c>
      <c r="X24" s="44"/>
      <c r="Y24" s="44"/>
      <c r="Z24" s="44"/>
      <c r="AA24" s="45"/>
      <c r="AB24" s="43" t="s">
        <v>112</v>
      </c>
      <c r="AC24" s="44"/>
      <c r="AD24" s="44"/>
      <c r="AE24" s="44"/>
      <c r="AF24" s="44"/>
      <c r="AG24" s="44"/>
      <c r="AH24" s="44"/>
      <c r="AI24" s="44"/>
      <c r="AJ24" s="44" t="s">
        <v>112</v>
      </c>
      <c r="AK24" s="44"/>
      <c r="AL24" s="44"/>
      <c r="AM24" s="44"/>
      <c r="AN24" s="44"/>
      <c r="AO24" s="44"/>
      <c r="AP24" s="44"/>
      <c r="AQ24" s="44"/>
      <c r="AR24" s="44" t="s">
        <v>112</v>
      </c>
      <c r="AS24" s="44"/>
      <c r="AT24" s="44"/>
      <c r="AU24" s="44"/>
      <c r="AV24" s="44"/>
      <c r="AW24" s="44"/>
      <c r="AX24" s="44"/>
      <c r="AY24" s="45"/>
      <c r="AZ24" s="43" t="s">
        <v>112</v>
      </c>
      <c r="BA24" s="44"/>
      <c r="BB24" s="44"/>
      <c r="BC24" s="44"/>
      <c r="BD24" s="44"/>
      <c r="BE24" s="44"/>
      <c r="BF24" s="44"/>
      <c r="BG24" s="44"/>
      <c r="BH24" s="44" t="s">
        <v>112</v>
      </c>
      <c r="BI24" s="44"/>
      <c r="BJ24" s="44"/>
      <c r="BK24" s="44"/>
      <c r="BL24" s="44"/>
      <c r="BM24" s="44"/>
      <c r="BN24" s="44"/>
      <c r="BO24" s="44"/>
      <c r="BP24" s="44" t="s">
        <v>112</v>
      </c>
      <c r="BQ24" s="44"/>
      <c r="BR24" s="44"/>
      <c r="BS24" s="44"/>
      <c r="BT24" s="44"/>
      <c r="BU24" s="44"/>
      <c r="BV24" s="44"/>
      <c r="BW24" s="45"/>
      <c r="BX24" s="43" t="s">
        <v>112</v>
      </c>
      <c r="BY24" s="44"/>
      <c r="BZ24" s="44"/>
      <c r="CA24" s="44"/>
      <c r="CB24" s="44"/>
      <c r="CC24" s="44"/>
      <c r="CD24" s="44"/>
      <c r="CE24" s="44"/>
      <c r="CF24" s="44" t="s">
        <v>112</v>
      </c>
      <c r="CG24" s="44"/>
      <c r="CH24" s="44"/>
      <c r="CI24" s="44"/>
      <c r="CJ24" s="44"/>
      <c r="CK24" s="44"/>
      <c r="CL24" s="44"/>
      <c r="CM24" s="44"/>
      <c r="CN24" s="44" t="s">
        <v>112</v>
      </c>
      <c r="CO24" s="44"/>
      <c r="CP24" s="44"/>
      <c r="CQ24" s="44"/>
      <c r="CR24" s="44"/>
      <c r="CS24" s="44"/>
      <c r="CT24" s="44"/>
      <c r="CU24" s="45"/>
      <c r="CV24" s="43" t="s">
        <v>112</v>
      </c>
      <c r="CW24" s="44"/>
      <c r="CX24" s="44"/>
      <c r="CY24" s="44"/>
      <c r="CZ24" s="44"/>
      <c r="DA24" s="44"/>
      <c r="DB24" s="44"/>
      <c r="DC24" s="44"/>
      <c r="DD24" s="48" t="s">
        <v>112</v>
      </c>
      <c r="DE24" s="56" t="s">
        <v>40</v>
      </c>
      <c r="DF24" s="44"/>
      <c r="DG24" s="44"/>
      <c r="DH24" s="44"/>
      <c r="DI24" s="44"/>
      <c r="DJ24" s="44"/>
      <c r="DK24" s="44"/>
      <c r="DL24" s="56" t="s">
        <v>40</v>
      </c>
      <c r="DM24" s="44"/>
      <c r="DN24" s="44"/>
      <c r="DO24" s="44"/>
      <c r="DP24" s="44"/>
      <c r="DQ24" s="48" t="s">
        <v>112</v>
      </c>
      <c r="DR24" s="44"/>
      <c r="DS24" s="45"/>
      <c r="DT24" s="43" t="s">
        <v>112</v>
      </c>
      <c r="DU24" s="44"/>
      <c r="DV24" s="44"/>
      <c r="DW24" s="44"/>
      <c r="DX24" s="44"/>
      <c r="DY24" s="44"/>
      <c r="DZ24" s="44"/>
      <c r="EA24" s="44"/>
      <c r="EB24" s="44" t="s">
        <v>112</v>
      </c>
      <c r="EC24" s="44"/>
      <c r="ED24" s="44"/>
      <c r="EE24" s="44"/>
      <c r="EF24" s="44"/>
      <c r="EG24" s="44"/>
      <c r="EH24" s="44"/>
      <c r="EI24" s="44"/>
      <c r="EJ24" s="44" t="s">
        <v>112</v>
      </c>
      <c r="EK24" s="44"/>
      <c r="EL24" s="44"/>
      <c r="EM24" s="44"/>
      <c r="EN24" s="44"/>
      <c r="EO24" s="44"/>
      <c r="EP24" s="44"/>
      <c r="EQ24" s="45"/>
      <c r="ER24" s="43" t="s">
        <v>112</v>
      </c>
      <c r="ES24" s="44"/>
      <c r="ET24" s="44"/>
      <c r="EU24" s="44"/>
      <c r="EV24" s="44"/>
      <c r="EW24" s="44"/>
      <c r="EX24" s="44"/>
      <c r="EY24" s="44"/>
      <c r="EZ24" s="44" t="s">
        <v>112</v>
      </c>
      <c r="FA24" s="44"/>
      <c r="FB24" s="44"/>
      <c r="FC24" s="44"/>
      <c r="FD24" s="44"/>
      <c r="FE24" s="44"/>
      <c r="FF24" s="44"/>
      <c r="FG24" s="44"/>
      <c r="FH24" s="44" t="s">
        <v>112</v>
      </c>
      <c r="FI24" s="44"/>
      <c r="FJ24" s="44"/>
      <c r="FK24" s="44"/>
      <c r="FL24" s="44"/>
      <c r="FM24" s="44"/>
      <c r="FN24" s="44"/>
      <c r="FO24" s="45"/>
      <c r="FP24" s="37"/>
      <c r="FQ24" s="37"/>
      <c r="FR24" s="37"/>
      <c r="FS24" s="37"/>
      <c r="FT24" s="37"/>
    </row>
    <row r="25" spans="1:176" s="3" customFormat="1" ht="60" customHeight="1" x14ac:dyDescent="0.35">
      <c r="A25" s="43" t="s">
        <v>27</v>
      </c>
      <c r="B25" s="44"/>
      <c r="C25" s="44"/>
      <c r="D25" s="43">
        <v>930</v>
      </c>
      <c r="E25" s="44"/>
      <c r="F25" s="44"/>
      <c r="G25" s="44"/>
      <c r="H25" s="44"/>
      <c r="I25" s="44"/>
      <c r="J25" s="44"/>
      <c r="K25" s="44"/>
      <c r="L25" s="44">
        <v>930</v>
      </c>
      <c r="M25" s="44"/>
      <c r="N25" s="44"/>
      <c r="O25" s="44"/>
      <c r="P25" s="44"/>
      <c r="Q25" s="44"/>
      <c r="R25" s="44"/>
      <c r="S25" s="44"/>
      <c r="T25" s="48">
        <v>200</v>
      </c>
      <c r="U25" s="44"/>
      <c r="V25" s="48"/>
      <c r="W25" s="48">
        <v>613</v>
      </c>
      <c r="X25" s="44"/>
      <c r="Y25" s="44"/>
      <c r="Z25" s="44"/>
      <c r="AA25" s="45"/>
      <c r="AB25" s="43">
        <v>930</v>
      </c>
      <c r="AC25" s="44"/>
      <c r="AD25" s="44"/>
      <c r="AE25" s="44"/>
      <c r="AF25" s="44"/>
      <c r="AG25" s="44"/>
      <c r="AH25" s="44"/>
      <c r="AI25" s="44"/>
      <c r="AJ25" s="44">
        <v>930</v>
      </c>
      <c r="AK25" s="44"/>
      <c r="AL25" s="44"/>
      <c r="AM25" s="44"/>
      <c r="AN25" s="44"/>
      <c r="AO25" s="44"/>
      <c r="AP25" s="44"/>
      <c r="AQ25" s="44"/>
      <c r="AR25" s="44">
        <v>930</v>
      </c>
      <c r="AS25" s="44"/>
      <c r="AT25" s="44"/>
      <c r="AU25" s="44"/>
      <c r="AV25" s="44"/>
      <c r="AW25" s="44"/>
      <c r="AX25" s="44"/>
      <c r="AY25" s="45"/>
      <c r="AZ25" s="43">
        <v>930</v>
      </c>
      <c r="BA25" s="44"/>
      <c r="BB25" s="44"/>
      <c r="BC25" s="44"/>
      <c r="BD25" s="44"/>
      <c r="BE25" s="44"/>
      <c r="BF25" s="44"/>
      <c r="BG25" s="44"/>
      <c r="BH25" s="44">
        <v>930</v>
      </c>
      <c r="BI25" s="44"/>
      <c r="BJ25" s="44"/>
      <c r="BK25" s="44"/>
      <c r="BL25" s="44"/>
      <c r="BM25" s="44"/>
      <c r="BN25" s="44"/>
      <c r="BO25" s="44"/>
      <c r="BP25" s="44">
        <v>930</v>
      </c>
      <c r="BQ25" s="44"/>
      <c r="BR25" s="44"/>
      <c r="BS25" s="44"/>
      <c r="BT25" s="44"/>
      <c r="BU25" s="44"/>
      <c r="BV25" s="44"/>
      <c r="BW25" s="45"/>
      <c r="BX25" s="43">
        <v>930</v>
      </c>
      <c r="BY25" s="44"/>
      <c r="BZ25" s="44"/>
      <c r="CA25" s="44"/>
      <c r="CB25" s="44"/>
      <c r="CC25" s="44"/>
      <c r="CD25" s="44"/>
      <c r="CE25" s="44"/>
      <c r="CF25" s="44">
        <v>930</v>
      </c>
      <c r="CG25" s="44"/>
      <c r="CH25" s="44"/>
      <c r="CI25" s="44"/>
      <c r="CJ25" s="44"/>
      <c r="CK25" s="44"/>
      <c r="CL25" s="44"/>
      <c r="CM25" s="44"/>
      <c r="CN25" s="44">
        <v>930</v>
      </c>
      <c r="CO25" s="44"/>
      <c r="CP25" s="44"/>
      <c r="CQ25" s="44"/>
      <c r="CR25" s="44"/>
      <c r="CS25" s="44"/>
      <c r="CT25" s="44"/>
      <c r="CU25" s="45"/>
      <c r="CV25" s="43">
        <v>930</v>
      </c>
      <c r="CW25" s="44"/>
      <c r="CX25" s="44"/>
      <c r="CY25" s="44"/>
      <c r="CZ25" s="44"/>
      <c r="DA25" s="44"/>
      <c r="DB25" s="44"/>
      <c r="DC25" s="44"/>
      <c r="DD25" s="48">
        <v>87</v>
      </c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8">
        <v>375</v>
      </c>
      <c r="DR25" s="44"/>
      <c r="DS25" s="45"/>
      <c r="DT25" s="43">
        <v>930</v>
      </c>
      <c r="DU25" s="44"/>
      <c r="DV25" s="44"/>
      <c r="DW25" s="44"/>
      <c r="DX25" s="44"/>
      <c r="DY25" s="44"/>
      <c r="DZ25" s="44"/>
      <c r="EA25" s="44"/>
      <c r="EB25" s="44">
        <v>930</v>
      </c>
      <c r="EC25" s="44"/>
      <c r="ED25" s="44"/>
      <c r="EE25" s="44"/>
      <c r="EF25" s="44"/>
      <c r="EG25" s="44"/>
      <c r="EH25" s="44"/>
      <c r="EI25" s="44"/>
      <c r="EJ25" s="44">
        <v>930</v>
      </c>
      <c r="EK25" s="44"/>
      <c r="EL25" s="44"/>
      <c r="EM25" s="44"/>
      <c r="EN25" s="44"/>
      <c r="EO25" s="44"/>
      <c r="EP25" s="44"/>
      <c r="EQ25" s="45"/>
      <c r="ER25" s="43">
        <v>930</v>
      </c>
      <c r="ES25" s="44"/>
      <c r="ET25" s="44"/>
      <c r="EU25" s="44"/>
      <c r="EV25" s="44"/>
      <c r="EW25" s="44"/>
      <c r="EX25" s="44"/>
      <c r="EY25" s="44"/>
      <c r="EZ25" s="44">
        <v>930</v>
      </c>
      <c r="FA25" s="44"/>
      <c r="FB25" s="44"/>
      <c r="FC25" s="44"/>
      <c r="FD25" s="44"/>
      <c r="FE25" s="44"/>
      <c r="FF25" s="44"/>
      <c r="FG25" s="44"/>
      <c r="FH25" s="44">
        <v>928</v>
      </c>
      <c r="FI25" s="44"/>
      <c r="FJ25" s="44"/>
      <c r="FK25" s="44"/>
      <c r="FL25" s="44"/>
      <c r="FM25" s="44"/>
      <c r="FN25" s="44"/>
      <c r="FO25" s="45"/>
      <c r="FP25" s="37"/>
      <c r="FQ25" s="37"/>
      <c r="FR25" s="37"/>
      <c r="FS25" s="37"/>
      <c r="FT25" s="37"/>
    </row>
    <row r="26" spans="1:176" s="3" customFormat="1" ht="60" customHeight="1" x14ac:dyDescent="0.35">
      <c r="A26" s="43" t="s">
        <v>28</v>
      </c>
      <c r="B26" s="44"/>
      <c r="C26" s="44"/>
      <c r="D26" s="33">
        <v>2673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  <c r="AB26" s="33">
        <v>2790</v>
      </c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5"/>
      <c r="AZ26" s="33">
        <v>2790</v>
      </c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5"/>
      <c r="BX26" s="33">
        <v>2790</v>
      </c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5"/>
      <c r="CV26" s="33">
        <v>1392</v>
      </c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5"/>
      <c r="DT26" s="33">
        <v>2790</v>
      </c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5"/>
      <c r="ER26" s="33">
        <v>2788</v>
      </c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5"/>
      <c r="FP26" s="37"/>
      <c r="FQ26" s="37"/>
      <c r="FR26" s="37"/>
      <c r="FS26" s="37"/>
      <c r="FT26" s="37"/>
    </row>
    <row r="27" spans="1:176" s="3" customFormat="1" ht="60" customHeight="1" x14ac:dyDescent="0.35">
      <c r="A27" s="43" t="s">
        <v>50</v>
      </c>
      <c r="B27" s="44"/>
      <c r="C27" s="44"/>
      <c r="D27" s="43"/>
      <c r="E27" s="44"/>
      <c r="F27" s="44"/>
      <c r="G27" s="44"/>
      <c r="H27" s="44"/>
      <c r="I27" s="44"/>
      <c r="J27" s="44"/>
      <c r="K27" s="44"/>
      <c r="L27" s="44"/>
      <c r="M27" s="44"/>
      <c r="N27" s="44" t="s">
        <v>31</v>
      </c>
      <c r="O27" s="53" t="s">
        <v>51</v>
      </c>
      <c r="P27" s="44"/>
      <c r="Q27" s="44"/>
      <c r="R27" s="44"/>
      <c r="S27" s="44"/>
      <c r="T27" s="53" t="s">
        <v>51</v>
      </c>
      <c r="U27" s="44"/>
      <c r="V27" s="44"/>
      <c r="W27" s="44"/>
      <c r="X27" s="44"/>
      <c r="Y27" s="44"/>
      <c r="Z27" s="44"/>
      <c r="AA27" s="45"/>
      <c r="AB27" s="43"/>
      <c r="AC27" s="44"/>
      <c r="AD27" s="44"/>
      <c r="AE27" s="44"/>
      <c r="AF27" s="44"/>
      <c r="AG27" s="44"/>
      <c r="AH27" s="44"/>
      <c r="AI27" s="44"/>
      <c r="AJ27" s="44"/>
      <c r="AK27" s="44"/>
      <c r="AL27" s="44" t="s">
        <v>31</v>
      </c>
      <c r="AM27" s="53" t="s">
        <v>51</v>
      </c>
      <c r="AN27" s="44"/>
      <c r="AO27" s="44"/>
      <c r="AP27" s="44"/>
      <c r="AQ27" s="44"/>
      <c r="AR27" s="53" t="s">
        <v>51</v>
      </c>
      <c r="AS27" s="44"/>
      <c r="AT27" s="44"/>
      <c r="AU27" s="44"/>
      <c r="AV27" s="44"/>
      <c r="AW27" s="44"/>
      <c r="AX27" s="44"/>
      <c r="AY27" s="45"/>
      <c r="AZ27" s="43"/>
      <c r="BA27" s="44"/>
      <c r="BB27" s="44"/>
      <c r="BC27" s="44"/>
      <c r="BD27" s="44"/>
      <c r="BE27" s="44"/>
      <c r="BF27" s="44"/>
      <c r="BG27" s="44"/>
      <c r="BH27" s="44"/>
      <c r="BI27" s="44"/>
      <c r="BJ27" s="44" t="s">
        <v>31</v>
      </c>
      <c r="BK27" s="53" t="s">
        <v>51</v>
      </c>
      <c r="BL27" s="44"/>
      <c r="BM27" s="44"/>
      <c r="BN27" s="44"/>
      <c r="BO27" s="44"/>
      <c r="BP27" s="53" t="s">
        <v>51</v>
      </c>
      <c r="BQ27" s="44"/>
      <c r="BR27" s="44"/>
      <c r="BS27" s="44"/>
      <c r="BT27" s="44"/>
      <c r="BU27" s="44"/>
      <c r="BV27" s="44"/>
      <c r="BW27" s="45"/>
      <c r="BX27" s="43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5"/>
      <c r="CV27" s="43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5"/>
      <c r="DT27" s="43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5"/>
      <c r="ER27" s="43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  <c r="FI27" s="44"/>
      <c r="FJ27" s="44"/>
      <c r="FK27" s="44"/>
      <c r="FL27" s="44"/>
      <c r="FM27" s="44"/>
      <c r="FN27" s="44"/>
      <c r="FO27" s="45"/>
      <c r="FP27" s="36">
        <v>5000</v>
      </c>
      <c r="FQ27" s="37"/>
      <c r="FR27" s="37"/>
      <c r="FS27" s="37"/>
      <c r="FT27" s="37"/>
    </row>
    <row r="28" spans="1:176" s="3" customFormat="1" ht="109.95" customHeight="1" x14ac:dyDescent="0.35">
      <c r="A28" s="43" t="s">
        <v>25</v>
      </c>
      <c r="B28" s="44"/>
      <c r="C28" s="44"/>
      <c r="D28" s="43"/>
      <c r="E28" s="44"/>
      <c r="F28" s="44"/>
      <c r="G28" s="44"/>
      <c r="H28" s="44"/>
      <c r="I28" s="44"/>
      <c r="J28" s="44"/>
      <c r="K28" s="44"/>
      <c r="L28" s="48"/>
      <c r="M28" s="44"/>
      <c r="N28" s="49" t="s">
        <v>46</v>
      </c>
      <c r="O28" s="48" t="s">
        <v>52</v>
      </c>
      <c r="P28" s="44"/>
      <c r="Q28" s="44"/>
      <c r="R28" s="44"/>
      <c r="S28" s="44"/>
      <c r="T28" s="44" t="s">
        <v>52</v>
      </c>
      <c r="U28" s="44"/>
      <c r="V28" s="44"/>
      <c r="W28" s="44"/>
      <c r="X28" s="44"/>
      <c r="Y28" s="44"/>
      <c r="Z28" s="48"/>
      <c r="AA28" s="45"/>
      <c r="AB28" s="43"/>
      <c r="AC28" s="44"/>
      <c r="AD28" s="44"/>
      <c r="AE28" s="44"/>
      <c r="AF28" s="44"/>
      <c r="AG28" s="44"/>
      <c r="AH28" s="44"/>
      <c r="AI28" s="44"/>
      <c r="AJ28" s="48"/>
      <c r="AK28" s="44"/>
      <c r="AL28" s="49" t="s">
        <v>46</v>
      </c>
      <c r="AM28" s="48" t="s">
        <v>52</v>
      </c>
      <c r="AN28" s="44"/>
      <c r="AO28" s="44"/>
      <c r="AP28" s="44"/>
      <c r="AQ28" s="44"/>
      <c r="AR28" s="44" t="s">
        <v>52</v>
      </c>
      <c r="AS28" s="44"/>
      <c r="AT28" s="44"/>
      <c r="AU28" s="44"/>
      <c r="AV28" s="44"/>
      <c r="AW28" s="44"/>
      <c r="AX28" s="48"/>
      <c r="AY28" s="45"/>
      <c r="AZ28" s="43"/>
      <c r="BA28" s="44"/>
      <c r="BB28" s="44"/>
      <c r="BC28" s="44"/>
      <c r="BD28" s="44"/>
      <c r="BE28" s="44"/>
      <c r="BF28" s="44"/>
      <c r="BG28" s="44"/>
      <c r="BH28" s="48"/>
      <c r="BI28" s="44"/>
      <c r="BJ28" s="49" t="s">
        <v>46</v>
      </c>
      <c r="BK28" s="48" t="s">
        <v>52</v>
      </c>
      <c r="BL28" s="44"/>
      <c r="BM28" s="44"/>
      <c r="BN28" s="44"/>
      <c r="BO28" s="44"/>
      <c r="BP28" s="44" t="s">
        <v>52</v>
      </c>
      <c r="BQ28" s="44"/>
      <c r="BR28" s="44"/>
      <c r="BS28" s="44"/>
      <c r="BT28" s="44"/>
      <c r="BU28" s="44"/>
      <c r="BV28" s="44"/>
      <c r="BW28" s="45"/>
      <c r="BX28" s="43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5"/>
      <c r="CV28" s="43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5"/>
      <c r="DT28" s="43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5"/>
      <c r="ER28" s="43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  <c r="FK28" s="44"/>
      <c r="FL28" s="44"/>
      <c r="FM28" s="44"/>
      <c r="FN28" s="44"/>
      <c r="FO28" s="45"/>
      <c r="FP28" s="37"/>
      <c r="FQ28" s="37"/>
      <c r="FR28" s="37"/>
      <c r="FS28" s="37"/>
      <c r="FT28" s="37"/>
    </row>
    <row r="29" spans="1:176" s="3" customFormat="1" ht="60" customHeight="1" x14ac:dyDescent="0.35">
      <c r="A29" s="43" t="s">
        <v>27</v>
      </c>
      <c r="B29" s="44"/>
      <c r="C29" s="44"/>
      <c r="D29" s="43"/>
      <c r="E29" s="44"/>
      <c r="F29" s="44"/>
      <c r="G29" s="44"/>
      <c r="H29" s="44"/>
      <c r="I29" s="44"/>
      <c r="J29" s="44"/>
      <c r="K29" s="44"/>
      <c r="L29" s="48"/>
      <c r="M29" s="44"/>
      <c r="N29" s="48"/>
      <c r="O29" s="48">
        <v>697</v>
      </c>
      <c r="P29" s="44"/>
      <c r="Q29" s="44"/>
      <c r="R29" s="44"/>
      <c r="S29" s="44"/>
      <c r="T29" s="44">
        <v>903</v>
      </c>
      <c r="U29" s="44"/>
      <c r="V29" s="44"/>
      <c r="W29" s="44"/>
      <c r="X29" s="44"/>
      <c r="Y29" s="44"/>
      <c r="Z29" s="48"/>
      <c r="AA29" s="45"/>
      <c r="AB29" s="43"/>
      <c r="AC29" s="44"/>
      <c r="AD29" s="44"/>
      <c r="AE29" s="44"/>
      <c r="AF29" s="44"/>
      <c r="AG29" s="44"/>
      <c r="AH29" s="44"/>
      <c r="AI29" s="44"/>
      <c r="AJ29" s="48"/>
      <c r="AK29" s="44"/>
      <c r="AL29" s="48"/>
      <c r="AM29" s="48">
        <v>697</v>
      </c>
      <c r="AN29" s="44"/>
      <c r="AO29" s="44"/>
      <c r="AP29" s="44"/>
      <c r="AQ29" s="44"/>
      <c r="AR29" s="44">
        <v>903</v>
      </c>
      <c r="AS29" s="44"/>
      <c r="AT29" s="44"/>
      <c r="AU29" s="44"/>
      <c r="AV29" s="44"/>
      <c r="AW29" s="44"/>
      <c r="AX29" s="48"/>
      <c r="AY29" s="45"/>
      <c r="AZ29" s="43"/>
      <c r="BA29" s="44"/>
      <c r="BB29" s="44"/>
      <c r="BC29" s="44"/>
      <c r="BD29" s="44"/>
      <c r="BE29" s="44"/>
      <c r="BF29" s="44"/>
      <c r="BG29" s="44"/>
      <c r="BH29" s="48"/>
      <c r="BI29" s="44"/>
      <c r="BJ29" s="48"/>
      <c r="BK29" s="48">
        <v>697</v>
      </c>
      <c r="BL29" s="44"/>
      <c r="BM29" s="44"/>
      <c r="BN29" s="44"/>
      <c r="BO29" s="44"/>
      <c r="BP29" s="44">
        <v>1103</v>
      </c>
      <c r="BQ29" s="44"/>
      <c r="BR29" s="44"/>
      <c r="BS29" s="44"/>
      <c r="BT29" s="44"/>
      <c r="BU29" s="44"/>
      <c r="BV29" s="44"/>
      <c r="BW29" s="45"/>
      <c r="BX29" s="43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5"/>
      <c r="CV29" s="43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5"/>
      <c r="DT29" s="43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5"/>
      <c r="ER29" s="43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  <c r="FI29" s="44"/>
      <c r="FJ29" s="44"/>
      <c r="FK29" s="44"/>
      <c r="FL29" s="44"/>
      <c r="FM29" s="44"/>
      <c r="FN29" s="44"/>
      <c r="FO29" s="45"/>
      <c r="FP29" s="37"/>
      <c r="FQ29" s="37"/>
      <c r="FR29" s="37"/>
      <c r="FS29" s="37"/>
      <c r="FT29" s="37"/>
    </row>
    <row r="30" spans="1:176" s="3" customFormat="1" ht="60" customHeight="1" x14ac:dyDescent="0.35">
      <c r="A30" s="43" t="s">
        <v>28</v>
      </c>
      <c r="B30" s="44"/>
      <c r="C30" s="44"/>
      <c r="D30" s="33">
        <v>1600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5"/>
      <c r="AB30" s="33">
        <v>1600</v>
      </c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5"/>
      <c r="AZ30" s="33">
        <v>1800</v>
      </c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5"/>
      <c r="BX30" s="33">
        <v>0</v>
      </c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5"/>
      <c r="CV30" s="33">
        <v>0</v>
      </c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5"/>
      <c r="DT30" s="33">
        <v>0</v>
      </c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  <c r="EM30" s="34"/>
      <c r="EN30" s="34"/>
      <c r="EO30" s="34"/>
      <c r="EP30" s="34"/>
      <c r="EQ30" s="35"/>
      <c r="ER30" s="33">
        <v>0</v>
      </c>
      <c r="ES30" s="34"/>
      <c r="ET30" s="34"/>
      <c r="EU30" s="34"/>
      <c r="EV30" s="34"/>
      <c r="EW30" s="34"/>
      <c r="EX30" s="34"/>
      <c r="EY30" s="34"/>
      <c r="EZ30" s="34"/>
      <c r="FA30" s="34"/>
      <c r="FB30" s="34"/>
      <c r="FC30" s="34"/>
      <c r="FD30" s="34"/>
      <c r="FE30" s="34"/>
      <c r="FF30" s="34"/>
      <c r="FG30" s="34"/>
      <c r="FH30" s="34"/>
      <c r="FI30" s="34"/>
      <c r="FJ30" s="34"/>
      <c r="FK30" s="34"/>
      <c r="FL30" s="34"/>
      <c r="FM30" s="34"/>
      <c r="FN30" s="34"/>
      <c r="FO30" s="35"/>
      <c r="FP30" s="37"/>
      <c r="FQ30" s="37"/>
      <c r="FR30" s="37"/>
      <c r="FS30" s="37"/>
      <c r="FT30" s="37"/>
    </row>
    <row r="31" spans="1:176" s="3" customFormat="1" ht="60" customHeight="1" x14ac:dyDescent="0.35">
      <c r="A31" s="43" t="s">
        <v>53</v>
      </c>
      <c r="B31" s="44"/>
      <c r="C31" s="44"/>
      <c r="D31" s="43"/>
      <c r="E31" s="44"/>
      <c r="F31" s="44"/>
      <c r="G31" s="44"/>
      <c r="H31" s="44"/>
      <c r="I31" s="44"/>
      <c r="J31" s="44"/>
      <c r="K31" s="44"/>
      <c r="L31" s="44" t="s">
        <v>31</v>
      </c>
      <c r="M31" s="52" t="s">
        <v>54</v>
      </c>
      <c r="N31" s="44"/>
      <c r="O31" s="44"/>
      <c r="P31" s="44"/>
      <c r="Q31" s="44"/>
      <c r="R31" s="44"/>
      <c r="S31" s="44"/>
      <c r="T31" s="52" t="s">
        <v>54</v>
      </c>
      <c r="U31" s="44"/>
      <c r="V31" s="44"/>
      <c r="W31" s="44"/>
      <c r="X31" s="44" t="s">
        <v>31</v>
      </c>
      <c r="Y31" s="89" t="s">
        <v>147</v>
      </c>
      <c r="Z31" s="44"/>
      <c r="AA31" s="45"/>
      <c r="AB31" s="90" t="s">
        <v>147</v>
      </c>
      <c r="AC31" s="44"/>
      <c r="AD31" s="44"/>
      <c r="AE31" s="44"/>
      <c r="AF31" s="44"/>
      <c r="AG31" s="44"/>
      <c r="AH31" s="44"/>
      <c r="AI31" s="44"/>
      <c r="AJ31" s="44" t="s">
        <v>31</v>
      </c>
      <c r="AK31" s="44"/>
      <c r="AL31" s="89" t="s">
        <v>114</v>
      </c>
      <c r="AM31" s="44"/>
      <c r="AN31" s="44"/>
      <c r="AO31" s="44"/>
      <c r="AP31" s="44"/>
      <c r="AQ31" s="44"/>
      <c r="AR31" s="89" t="s">
        <v>114</v>
      </c>
      <c r="AS31" s="44"/>
      <c r="AT31" s="44"/>
      <c r="AU31" s="44"/>
      <c r="AV31" s="44"/>
      <c r="AW31" s="44"/>
      <c r="AX31" s="44"/>
      <c r="AY31" s="45"/>
      <c r="AZ31" s="90" t="s">
        <v>114</v>
      </c>
      <c r="BA31" s="44"/>
      <c r="BB31" s="44"/>
      <c r="BC31" s="44" t="s">
        <v>31</v>
      </c>
      <c r="BD31" s="52" t="s">
        <v>54</v>
      </c>
      <c r="BE31" s="44"/>
      <c r="BF31" s="44"/>
      <c r="BG31" s="44"/>
      <c r="BH31" s="52" t="s">
        <v>54</v>
      </c>
      <c r="BI31" s="44"/>
      <c r="BJ31" s="44"/>
      <c r="BK31" s="44"/>
      <c r="BL31" s="44"/>
      <c r="BM31" s="44"/>
      <c r="BN31" s="44"/>
      <c r="BO31" s="44"/>
      <c r="BP31" s="52" t="s">
        <v>54</v>
      </c>
      <c r="BQ31" s="44"/>
      <c r="BR31" s="44"/>
      <c r="BS31" s="44"/>
      <c r="BT31" s="44"/>
      <c r="BU31" s="44" t="s">
        <v>31</v>
      </c>
      <c r="BV31" s="44"/>
      <c r="BW31" s="88" t="s">
        <v>54</v>
      </c>
      <c r="BX31" s="51" t="s">
        <v>54</v>
      </c>
      <c r="BY31" s="44"/>
      <c r="BZ31" s="44"/>
      <c r="CA31" s="44"/>
      <c r="CB31" s="44"/>
      <c r="CC31" s="44"/>
      <c r="CD31" s="44"/>
      <c r="CE31" s="44"/>
      <c r="CF31" s="52" t="s">
        <v>54</v>
      </c>
      <c r="CG31" s="44"/>
      <c r="CH31" s="44"/>
      <c r="CI31" s="44"/>
      <c r="CJ31" s="44"/>
      <c r="CK31" s="44"/>
      <c r="CL31" s="44"/>
      <c r="CM31" s="44"/>
      <c r="CN31" s="52" t="s">
        <v>54</v>
      </c>
      <c r="CO31" s="44"/>
      <c r="CP31" s="44"/>
      <c r="CQ31" s="44"/>
      <c r="CR31" s="44"/>
      <c r="CS31" s="44"/>
      <c r="CT31" s="44"/>
      <c r="CU31" s="45"/>
      <c r="CV31" s="51" t="s">
        <v>54</v>
      </c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5"/>
      <c r="DT31" s="43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4"/>
      <c r="EH31" s="44"/>
      <c r="EI31" s="44"/>
      <c r="EJ31" s="44"/>
      <c r="EK31" s="44"/>
      <c r="EL31" s="44"/>
      <c r="EM31" s="44"/>
      <c r="EN31" s="44"/>
      <c r="EO31" s="44"/>
      <c r="EP31" s="44"/>
      <c r="EQ31" s="45"/>
      <c r="ER31" s="43"/>
      <c r="ES31" s="44"/>
      <c r="ET31" s="44"/>
      <c r="EU31" s="44"/>
      <c r="EV31" s="44"/>
      <c r="EW31" s="44"/>
      <c r="EX31" s="44"/>
      <c r="EY31" s="44"/>
      <c r="EZ31" s="44"/>
      <c r="FA31" s="44"/>
      <c r="FB31" s="44"/>
      <c r="FC31" s="44"/>
      <c r="FD31" s="44"/>
      <c r="FE31" s="44"/>
      <c r="FF31" s="44"/>
      <c r="FG31" s="44"/>
      <c r="FH31" s="44"/>
      <c r="FI31" s="44"/>
      <c r="FJ31" s="44"/>
      <c r="FK31" s="44"/>
      <c r="FL31" s="44"/>
      <c r="FM31" s="44"/>
      <c r="FN31" s="44"/>
      <c r="FO31" s="45"/>
      <c r="FP31" s="36">
        <v>18000</v>
      </c>
      <c r="FQ31" s="37"/>
      <c r="FR31" s="37"/>
      <c r="FS31" s="37"/>
      <c r="FT31" s="37"/>
    </row>
    <row r="32" spans="1:176" s="3" customFormat="1" ht="109.95" customHeight="1" x14ac:dyDescent="0.35">
      <c r="A32" s="43" t="s">
        <v>25</v>
      </c>
      <c r="B32" s="44"/>
      <c r="C32" s="44"/>
      <c r="D32" s="43"/>
      <c r="E32" s="44"/>
      <c r="F32" s="44"/>
      <c r="G32" s="44"/>
      <c r="H32" s="44"/>
      <c r="I32" s="44"/>
      <c r="J32" s="44"/>
      <c r="K32" s="44"/>
      <c r="L32" s="49" t="s">
        <v>46</v>
      </c>
      <c r="M32" s="44" t="s">
        <v>117</v>
      </c>
      <c r="N32" s="44"/>
      <c r="O32" s="44"/>
      <c r="P32" s="44"/>
      <c r="Q32" s="44"/>
      <c r="R32" s="44"/>
      <c r="S32" s="44"/>
      <c r="T32" s="48" t="s">
        <v>117</v>
      </c>
      <c r="U32" s="44"/>
      <c r="V32" s="44"/>
      <c r="W32" s="44"/>
      <c r="X32" s="49" t="s">
        <v>34</v>
      </c>
      <c r="Y32" s="48" t="s">
        <v>117</v>
      </c>
      <c r="Z32" s="44"/>
      <c r="AA32" s="45"/>
      <c r="AB32" s="43" t="s">
        <v>117</v>
      </c>
      <c r="AC32" s="44"/>
      <c r="AD32" s="44"/>
      <c r="AE32" s="44"/>
      <c r="AF32" s="44"/>
      <c r="AG32" s="44"/>
      <c r="AH32" s="44"/>
      <c r="AI32" s="44"/>
      <c r="AJ32" s="49" t="s">
        <v>48</v>
      </c>
      <c r="AK32" s="44"/>
      <c r="AL32" s="44" t="s">
        <v>56</v>
      </c>
      <c r="AM32" s="44"/>
      <c r="AN32" s="44"/>
      <c r="AO32" s="44"/>
      <c r="AP32" s="44"/>
      <c r="AQ32" s="44"/>
      <c r="AR32" s="44" t="s">
        <v>56</v>
      </c>
      <c r="AS32" s="44"/>
      <c r="AT32" s="44"/>
      <c r="AU32" s="44"/>
      <c r="AV32" s="44"/>
      <c r="AW32" s="44"/>
      <c r="AX32" s="44"/>
      <c r="AY32" s="45"/>
      <c r="AZ32" s="46" t="s">
        <v>56</v>
      </c>
      <c r="BA32" s="44"/>
      <c r="BB32" s="44"/>
      <c r="BC32" s="49" t="s">
        <v>34</v>
      </c>
      <c r="BD32" s="48" t="s">
        <v>56</v>
      </c>
      <c r="BE32" s="44"/>
      <c r="BF32" s="44"/>
      <c r="BG32" s="44"/>
      <c r="BH32" s="44" t="s">
        <v>56</v>
      </c>
      <c r="BI32" s="44"/>
      <c r="BJ32" s="44"/>
      <c r="BK32" s="44"/>
      <c r="BL32" s="44"/>
      <c r="BM32" s="44"/>
      <c r="BN32" s="44"/>
      <c r="BO32" s="44"/>
      <c r="BP32" s="48" t="s">
        <v>56</v>
      </c>
      <c r="BQ32" s="44"/>
      <c r="BR32" s="44"/>
      <c r="BS32" s="44"/>
      <c r="BT32" s="44"/>
      <c r="BU32" s="49" t="s">
        <v>48</v>
      </c>
      <c r="BV32" s="44"/>
      <c r="BW32" s="86" t="s">
        <v>47</v>
      </c>
      <c r="BX32" s="43" t="s">
        <v>47</v>
      </c>
      <c r="BY32" s="44"/>
      <c r="BZ32" s="44"/>
      <c r="CA32" s="44"/>
      <c r="CB32" s="44"/>
      <c r="CC32" s="44"/>
      <c r="CD32" s="44"/>
      <c r="CE32" s="44"/>
      <c r="CF32" s="44" t="s">
        <v>47</v>
      </c>
      <c r="CG32" s="44"/>
      <c r="CH32" s="44"/>
      <c r="CI32" s="44"/>
      <c r="CJ32" s="44"/>
      <c r="CK32" s="44"/>
      <c r="CL32" s="44"/>
      <c r="CM32" s="44"/>
      <c r="CN32" s="44" t="s">
        <v>47</v>
      </c>
      <c r="CO32" s="44"/>
      <c r="CP32" s="44"/>
      <c r="CQ32" s="44"/>
      <c r="CR32" s="44"/>
      <c r="CS32" s="44"/>
      <c r="CT32" s="44"/>
      <c r="CU32" s="45"/>
      <c r="CV32" s="46" t="s">
        <v>47</v>
      </c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5"/>
      <c r="DT32" s="43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O32" s="44"/>
      <c r="EP32" s="44"/>
      <c r="EQ32" s="45"/>
      <c r="ER32" s="43"/>
      <c r="ES32" s="44"/>
      <c r="ET32" s="44"/>
      <c r="EU32" s="44"/>
      <c r="EV32" s="44"/>
      <c r="EW32" s="44"/>
      <c r="EX32" s="44"/>
      <c r="EY32" s="44"/>
      <c r="EZ32" s="44"/>
      <c r="FA32" s="44"/>
      <c r="FB32" s="44"/>
      <c r="FC32" s="44"/>
      <c r="FD32" s="44"/>
      <c r="FE32" s="44"/>
      <c r="FF32" s="44"/>
      <c r="FG32" s="44"/>
      <c r="FH32" s="44"/>
      <c r="FI32" s="44"/>
      <c r="FJ32" s="44"/>
      <c r="FK32" s="44"/>
      <c r="FL32" s="44"/>
      <c r="FM32" s="44"/>
      <c r="FN32" s="44"/>
      <c r="FO32" s="45"/>
      <c r="FP32" s="37"/>
      <c r="FQ32" s="37"/>
      <c r="FR32" s="37"/>
      <c r="FS32" s="37"/>
      <c r="FT32" s="37"/>
    </row>
    <row r="33" spans="1:207" s="3" customFormat="1" ht="60" customHeight="1" x14ac:dyDescent="0.35">
      <c r="A33" s="43" t="s">
        <v>27</v>
      </c>
      <c r="B33" s="44"/>
      <c r="C33" s="44"/>
      <c r="D33" s="43"/>
      <c r="E33" s="44"/>
      <c r="F33" s="44"/>
      <c r="G33" s="44"/>
      <c r="H33" s="44"/>
      <c r="I33" s="44"/>
      <c r="J33" s="44"/>
      <c r="K33" s="44"/>
      <c r="L33" s="48"/>
      <c r="M33" s="44">
        <v>2264</v>
      </c>
      <c r="N33" s="44"/>
      <c r="O33" s="44"/>
      <c r="P33" s="44"/>
      <c r="Q33" s="44"/>
      <c r="R33" s="44"/>
      <c r="S33" s="44"/>
      <c r="T33" s="48">
        <v>1336</v>
      </c>
      <c r="U33" s="44"/>
      <c r="V33" s="44"/>
      <c r="W33" s="44"/>
      <c r="X33" s="48"/>
      <c r="Y33" s="48">
        <v>928</v>
      </c>
      <c r="Z33" s="44"/>
      <c r="AA33" s="45"/>
      <c r="AB33" s="43">
        <v>2587</v>
      </c>
      <c r="AC33" s="44"/>
      <c r="AD33" s="44"/>
      <c r="AE33" s="44"/>
      <c r="AF33" s="44"/>
      <c r="AG33" s="44"/>
      <c r="AH33" s="44"/>
      <c r="AI33" s="44"/>
      <c r="AJ33" s="48">
        <v>85</v>
      </c>
      <c r="AK33" s="44"/>
      <c r="AL33" s="44">
        <v>1237</v>
      </c>
      <c r="AM33" s="44"/>
      <c r="AN33" s="44"/>
      <c r="AO33" s="44"/>
      <c r="AP33" s="44"/>
      <c r="AQ33" s="44"/>
      <c r="AR33" s="44">
        <v>1725</v>
      </c>
      <c r="AS33" s="44"/>
      <c r="AT33" s="44"/>
      <c r="AU33" s="44"/>
      <c r="AV33" s="44"/>
      <c r="AW33" s="44"/>
      <c r="AX33" s="44"/>
      <c r="AY33" s="45"/>
      <c r="AZ33" s="46">
        <v>638</v>
      </c>
      <c r="BA33" s="44"/>
      <c r="BB33" s="44"/>
      <c r="BC33" s="48"/>
      <c r="BD33" s="48">
        <v>871</v>
      </c>
      <c r="BE33" s="44"/>
      <c r="BF33" s="44"/>
      <c r="BG33" s="44"/>
      <c r="BH33" s="44">
        <v>1725</v>
      </c>
      <c r="BI33" s="44"/>
      <c r="BJ33" s="44"/>
      <c r="BK33" s="44"/>
      <c r="BL33" s="44"/>
      <c r="BM33" s="44"/>
      <c r="BN33" s="44"/>
      <c r="BO33" s="44"/>
      <c r="BP33" s="48">
        <v>1004</v>
      </c>
      <c r="BQ33" s="44"/>
      <c r="BR33" s="44"/>
      <c r="BS33" s="44"/>
      <c r="BT33" s="44"/>
      <c r="BU33" s="48"/>
      <c r="BV33" s="44"/>
      <c r="BW33" s="86">
        <v>177</v>
      </c>
      <c r="BX33" s="43">
        <v>1057</v>
      </c>
      <c r="BY33" s="44"/>
      <c r="BZ33" s="44"/>
      <c r="CA33" s="44"/>
      <c r="CB33" s="44"/>
      <c r="CC33" s="44"/>
      <c r="CD33" s="44"/>
      <c r="CE33" s="44"/>
      <c r="CF33" s="44">
        <v>1057</v>
      </c>
      <c r="CG33" s="44"/>
      <c r="CH33" s="44"/>
      <c r="CI33" s="44"/>
      <c r="CJ33" s="44"/>
      <c r="CK33" s="44"/>
      <c r="CL33" s="44"/>
      <c r="CM33" s="44"/>
      <c r="CN33" s="44">
        <v>1057</v>
      </c>
      <c r="CO33" s="44"/>
      <c r="CP33" s="44"/>
      <c r="CQ33" s="44"/>
      <c r="CR33" s="44"/>
      <c r="CS33" s="44"/>
      <c r="CT33" s="44"/>
      <c r="CU33" s="45"/>
      <c r="CV33" s="46">
        <v>252</v>
      </c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4"/>
      <c r="DO33" s="44"/>
      <c r="DP33" s="44"/>
      <c r="DQ33" s="44"/>
      <c r="DR33" s="44"/>
      <c r="DS33" s="45"/>
      <c r="DT33" s="43"/>
      <c r="DU33" s="44"/>
      <c r="DV33" s="44"/>
      <c r="DW33" s="44"/>
      <c r="DX33" s="44"/>
      <c r="DY33" s="44"/>
      <c r="DZ33" s="44"/>
      <c r="EA33" s="44"/>
      <c r="EB33" s="44"/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O33" s="44"/>
      <c r="EP33" s="44"/>
      <c r="EQ33" s="45"/>
      <c r="ER33" s="43"/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44"/>
      <c r="FG33" s="44"/>
      <c r="FH33" s="44"/>
      <c r="FI33" s="44"/>
      <c r="FJ33" s="44"/>
      <c r="FK33" s="44"/>
      <c r="FL33" s="44"/>
      <c r="FM33" s="44"/>
      <c r="FN33" s="44"/>
      <c r="FO33" s="45"/>
      <c r="FP33" s="37"/>
      <c r="FQ33" s="37"/>
      <c r="FR33" s="37"/>
      <c r="FS33" s="37"/>
      <c r="FT33" s="37"/>
    </row>
    <row r="34" spans="1:207" s="3" customFormat="1" ht="60" customHeight="1" x14ac:dyDescent="0.35">
      <c r="A34" s="43" t="s">
        <v>28</v>
      </c>
      <c r="B34" s="44"/>
      <c r="C34" s="44"/>
      <c r="D34" s="33">
        <v>4528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5"/>
      <c r="AB34" s="33">
        <v>5634</v>
      </c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5"/>
      <c r="AZ34" s="33">
        <v>4415</v>
      </c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5"/>
      <c r="BX34" s="33">
        <v>3171</v>
      </c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5"/>
      <c r="CV34" s="33">
        <v>252</v>
      </c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5"/>
      <c r="DT34" s="33">
        <v>0</v>
      </c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34"/>
      <c r="EH34" s="34"/>
      <c r="EI34" s="34"/>
      <c r="EJ34" s="34"/>
      <c r="EK34" s="34"/>
      <c r="EL34" s="34"/>
      <c r="EM34" s="34"/>
      <c r="EN34" s="34"/>
      <c r="EO34" s="34"/>
      <c r="EP34" s="34"/>
      <c r="EQ34" s="35"/>
      <c r="ER34" s="33">
        <v>0</v>
      </c>
      <c r="ES34" s="34"/>
      <c r="ET34" s="34"/>
      <c r="EU34" s="34"/>
      <c r="EV34" s="34"/>
      <c r="EW34" s="34"/>
      <c r="EX34" s="34"/>
      <c r="EY34" s="34"/>
      <c r="EZ34" s="34"/>
      <c r="FA34" s="34"/>
      <c r="FB34" s="34"/>
      <c r="FC34" s="34"/>
      <c r="FD34" s="34"/>
      <c r="FE34" s="34"/>
      <c r="FF34" s="34"/>
      <c r="FG34" s="34"/>
      <c r="FH34" s="34"/>
      <c r="FI34" s="34"/>
      <c r="FJ34" s="34"/>
      <c r="FK34" s="34"/>
      <c r="FL34" s="34"/>
      <c r="FM34" s="34"/>
      <c r="FN34" s="34"/>
      <c r="FO34" s="35"/>
      <c r="FP34" s="37"/>
      <c r="FQ34" s="37"/>
      <c r="FR34" s="37"/>
      <c r="FS34" s="37"/>
      <c r="FT34" s="37"/>
    </row>
    <row r="35" spans="1:207" s="3" customFormat="1" ht="60" customHeight="1" x14ac:dyDescent="0.35">
      <c r="A35" s="43" t="s">
        <v>31</v>
      </c>
      <c r="B35" s="44"/>
      <c r="C35" s="44"/>
      <c r="D35" s="43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5"/>
      <c r="AB35" s="43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5"/>
      <c r="AZ35" s="43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5"/>
      <c r="BX35" s="43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5"/>
      <c r="CV35" s="43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5"/>
      <c r="DT35" s="43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O35" s="44"/>
      <c r="EP35" s="44"/>
      <c r="EQ35" s="45"/>
      <c r="ER35" s="43"/>
      <c r="ES35" s="44"/>
      <c r="ET35" s="44"/>
      <c r="EU35" s="44"/>
      <c r="EV35" s="44"/>
      <c r="EW35" s="44"/>
      <c r="EX35" s="44"/>
      <c r="EY35" s="44"/>
      <c r="EZ35" s="44"/>
      <c r="FA35" s="44"/>
      <c r="FB35" s="44"/>
      <c r="FC35" s="44"/>
      <c r="FD35" s="44"/>
      <c r="FE35" s="44"/>
      <c r="FF35" s="44"/>
      <c r="FG35" s="44"/>
      <c r="FH35" s="44"/>
      <c r="FI35" s="44"/>
      <c r="FJ35" s="44"/>
      <c r="FK35" s="44"/>
      <c r="FL35" s="44"/>
      <c r="FM35" s="44"/>
      <c r="FN35" s="44"/>
      <c r="FO35" s="45"/>
      <c r="FP35" s="36">
        <v>0</v>
      </c>
      <c r="FQ35" s="37"/>
      <c r="FR35" s="37"/>
      <c r="FS35" s="37"/>
      <c r="FT35" s="37"/>
    </row>
    <row r="36" spans="1:207" s="3" customFormat="1" ht="109.95" customHeight="1" x14ac:dyDescent="0.35">
      <c r="A36" s="43" t="s">
        <v>25</v>
      </c>
      <c r="B36" s="44"/>
      <c r="C36" s="44"/>
      <c r="D36" s="43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5"/>
      <c r="AB36" s="43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5"/>
      <c r="AZ36" s="43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5"/>
      <c r="BX36" s="43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5"/>
      <c r="CV36" s="43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5"/>
      <c r="DT36" s="43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5"/>
      <c r="ER36" s="43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4"/>
      <c r="FN36" s="44"/>
      <c r="FO36" s="45"/>
      <c r="FP36" s="37"/>
      <c r="FQ36" s="37"/>
      <c r="FR36" s="37"/>
      <c r="FS36" s="37"/>
      <c r="FT36" s="37"/>
    </row>
    <row r="37" spans="1:207" s="3" customFormat="1" ht="60" customHeight="1" x14ac:dyDescent="0.35">
      <c r="A37" s="43" t="s">
        <v>27</v>
      </c>
      <c r="B37" s="44"/>
      <c r="C37" s="44"/>
      <c r="D37" s="43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5"/>
      <c r="AB37" s="43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5"/>
      <c r="AZ37" s="43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5"/>
      <c r="BX37" s="43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5"/>
      <c r="CV37" s="43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5"/>
      <c r="DT37" s="43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  <c r="EL37" s="44"/>
      <c r="EM37" s="44"/>
      <c r="EN37" s="44"/>
      <c r="EO37" s="44"/>
      <c r="EP37" s="44"/>
      <c r="EQ37" s="45"/>
      <c r="ER37" s="43"/>
      <c r="ES37" s="44"/>
      <c r="ET37" s="44"/>
      <c r="EU37" s="44"/>
      <c r="EV37" s="44"/>
      <c r="EW37" s="44"/>
      <c r="EX37" s="44"/>
      <c r="EY37" s="44"/>
      <c r="EZ37" s="44"/>
      <c r="FA37" s="44"/>
      <c r="FB37" s="44"/>
      <c r="FC37" s="44"/>
      <c r="FD37" s="44"/>
      <c r="FE37" s="44"/>
      <c r="FF37" s="44"/>
      <c r="FG37" s="44"/>
      <c r="FH37" s="44"/>
      <c r="FI37" s="44"/>
      <c r="FJ37" s="44"/>
      <c r="FK37" s="44"/>
      <c r="FL37" s="44"/>
      <c r="FM37" s="44"/>
      <c r="FN37" s="44"/>
      <c r="FO37" s="45"/>
      <c r="FP37" s="37"/>
      <c r="FQ37" s="37"/>
      <c r="FR37" s="37"/>
      <c r="FS37" s="37"/>
      <c r="FT37" s="37"/>
    </row>
    <row r="38" spans="1:207" s="3" customFormat="1" ht="60" customHeight="1" x14ac:dyDescent="0.35">
      <c r="A38" s="43" t="s">
        <v>28</v>
      </c>
      <c r="B38" s="44"/>
      <c r="C38" s="44"/>
      <c r="D38" s="33">
        <v>0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5"/>
      <c r="AB38" s="33">
        <v>0</v>
      </c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5"/>
      <c r="AZ38" s="33">
        <v>0</v>
      </c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5"/>
      <c r="BX38" s="33">
        <v>0</v>
      </c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5"/>
      <c r="CV38" s="33">
        <v>0</v>
      </c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5"/>
      <c r="DT38" s="33">
        <v>0</v>
      </c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5"/>
      <c r="ER38" s="33">
        <v>0</v>
      </c>
      <c r="ES38" s="34"/>
      <c r="ET38" s="34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  <c r="FI38" s="34"/>
      <c r="FJ38" s="34"/>
      <c r="FK38" s="34"/>
      <c r="FL38" s="34"/>
      <c r="FM38" s="34"/>
      <c r="FN38" s="34"/>
      <c r="FO38" s="35"/>
      <c r="FP38" s="37"/>
      <c r="FQ38" s="37"/>
      <c r="FR38" s="37"/>
      <c r="FS38" s="37"/>
      <c r="FT38" s="37"/>
    </row>
    <row r="39" spans="1:207" s="3" customFormat="1" ht="64.95" customHeight="1" x14ac:dyDescent="0.35">
      <c r="A39" s="38" t="s">
        <v>57</v>
      </c>
      <c r="B39" s="39"/>
      <c r="C39" s="39"/>
      <c r="D39" s="40">
        <v>16836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2"/>
      <c r="AB39" s="40">
        <v>19123</v>
      </c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2"/>
      <c r="AZ39" s="40">
        <v>16878</v>
      </c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2"/>
      <c r="BX39" s="40">
        <v>12504</v>
      </c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2"/>
      <c r="CV39" s="40">
        <v>10668</v>
      </c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2"/>
      <c r="DT39" s="40">
        <v>11571</v>
      </c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2"/>
      <c r="ER39" s="40">
        <v>11255</v>
      </c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2"/>
      <c r="FP39" s="37">
        <v>98835</v>
      </c>
      <c r="FQ39" s="37"/>
      <c r="FR39" s="37"/>
      <c r="FS39" s="37"/>
      <c r="FT39" s="37"/>
    </row>
    <row r="41" spans="1:207" x14ac:dyDescent="0.35">
      <c r="A41" s="21" t="s">
        <v>58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BB41" s="21" t="s">
        <v>59</v>
      </c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X41" s="21" t="s">
        <v>60</v>
      </c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</row>
    <row r="42" spans="1:207" x14ac:dyDescent="0.35">
      <c r="A42" s="21" t="s">
        <v>61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 t="s">
        <v>62</v>
      </c>
      <c r="M42" s="21"/>
      <c r="N42" s="21"/>
      <c r="O42" s="21"/>
      <c r="P42" s="21"/>
      <c r="Q42" s="21"/>
      <c r="R42" s="21"/>
      <c r="S42" s="21"/>
      <c r="T42" s="21" t="s">
        <v>63</v>
      </c>
      <c r="U42" s="21"/>
      <c r="V42" s="21"/>
      <c r="W42" s="21"/>
      <c r="X42" s="21"/>
      <c r="Y42" s="21"/>
      <c r="Z42" s="21"/>
      <c r="AA42" s="21"/>
      <c r="AB42" s="21" t="s">
        <v>64</v>
      </c>
      <c r="AC42" s="21"/>
      <c r="AD42" s="21"/>
      <c r="AE42" s="21"/>
      <c r="AF42" s="21"/>
      <c r="AG42" s="21"/>
      <c r="AH42" s="21"/>
      <c r="AI42" s="21"/>
      <c r="AJ42" s="21" t="s">
        <v>65</v>
      </c>
      <c r="AK42" s="21"/>
      <c r="AL42" s="21"/>
      <c r="AM42" s="21"/>
      <c r="AN42" s="21"/>
      <c r="AO42" s="21"/>
      <c r="AP42" s="21"/>
      <c r="AQ42" s="21"/>
      <c r="AR42" s="21" t="s">
        <v>66</v>
      </c>
      <c r="AS42" s="21"/>
      <c r="AT42" s="21"/>
      <c r="AU42" s="21"/>
      <c r="AV42" s="21"/>
      <c r="AW42" s="21"/>
      <c r="AX42" s="21"/>
      <c r="AY42" s="21"/>
      <c r="BB42" s="21" t="s">
        <v>67</v>
      </c>
      <c r="BC42" s="21"/>
      <c r="BD42" s="21"/>
      <c r="BE42" s="21"/>
      <c r="BF42" s="21"/>
      <c r="BG42" s="21"/>
      <c r="BH42" s="21"/>
      <c r="BI42" s="21"/>
      <c r="BJ42" s="21" t="s">
        <v>61</v>
      </c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 t="s">
        <v>62</v>
      </c>
      <c r="CA42" s="21"/>
      <c r="CB42" s="21"/>
      <c r="CC42" s="21"/>
      <c r="CD42" s="21"/>
      <c r="CE42" s="21"/>
      <c r="CF42" s="21"/>
      <c r="CG42" s="21"/>
      <c r="CH42" s="21" t="s">
        <v>68</v>
      </c>
      <c r="CI42" s="21"/>
      <c r="CJ42" s="21"/>
      <c r="CK42" s="21"/>
      <c r="CL42" s="21"/>
      <c r="CM42" s="21"/>
      <c r="CN42" s="21"/>
      <c r="CO42" s="21"/>
      <c r="CP42" s="21" t="s">
        <v>63</v>
      </c>
      <c r="CQ42" s="21"/>
      <c r="CR42" s="21"/>
      <c r="CS42" s="21"/>
      <c r="CT42" s="21"/>
      <c r="CU42" s="21"/>
      <c r="CV42" s="21"/>
      <c r="CW42" s="21"/>
      <c r="CX42" s="21" t="s">
        <v>64</v>
      </c>
      <c r="CY42" s="21"/>
      <c r="CZ42" s="21"/>
      <c r="DA42" s="21"/>
      <c r="DB42" s="21"/>
      <c r="DC42" s="21"/>
      <c r="DD42" s="21"/>
      <c r="DE42" s="21"/>
      <c r="DF42" s="21" t="s">
        <v>65</v>
      </c>
      <c r="DG42" s="21"/>
      <c r="DH42" s="21"/>
      <c r="DI42" s="21"/>
      <c r="DJ42" s="21"/>
      <c r="DK42" s="21"/>
      <c r="DL42" s="21"/>
      <c r="DM42" s="21"/>
      <c r="DN42" s="21" t="s">
        <v>66</v>
      </c>
      <c r="DO42" s="21"/>
      <c r="DP42" s="21"/>
      <c r="DQ42" s="21"/>
      <c r="DR42" s="21"/>
      <c r="DS42" s="21"/>
      <c r="DT42" s="21"/>
      <c r="DU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 t="s">
        <v>23</v>
      </c>
      <c r="EO42" s="21"/>
      <c r="EP42" s="21"/>
      <c r="EQ42" s="21"/>
      <c r="ER42" s="21"/>
      <c r="ES42" s="21"/>
      <c r="ET42" s="21"/>
      <c r="EU42" s="21"/>
      <c r="EV42" s="21" t="s">
        <v>29</v>
      </c>
      <c r="EW42" s="21"/>
      <c r="EX42" s="21"/>
      <c r="EY42" s="21"/>
      <c r="EZ42" s="21"/>
      <c r="FA42" s="21"/>
      <c r="FB42" s="21"/>
      <c r="FC42" s="21"/>
      <c r="FD42" s="21" t="s">
        <v>36</v>
      </c>
      <c r="FE42" s="21"/>
      <c r="FF42" s="21"/>
      <c r="FG42" s="21"/>
      <c r="FH42" s="21"/>
      <c r="FI42" s="21"/>
      <c r="FJ42" s="21"/>
      <c r="FK42" s="21"/>
      <c r="FL42" s="21" t="s">
        <v>41</v>
      </c>
      <c r="FM42" s="21"/>
      <c r="FN42" s="21"/>
      <c r="FO42" s="21"/>
      <c r="FP42" s="21"/>
      <c r="FQ42" s="21"/>
      <c r="FR42" s="21"/>
      <c r="FS42" s="21"/>
      <c r="FT42" s="21" t="s">
        <v>50</v>
      </c>
      <c r="FU42" s="21"/>
      <c r="FV42" s="21"/>
      <c r="FW42" s="21"/>
      <c r="FX42" s="21"/>
      <c r="FY42" s="21"/>
      <c r="FZ42" s="21"/>
      <c r="GA42" s="21"/>
      <c r="GB42" s="21" t="s">
        <v>53</v>
      </c>
      <c r="GC42" s="21"/>
      <c r="GD42" s="21"/>
      <c r="GE42" s="21"/>
      <c r="GF42" s="21"/>
      <c r="GG42" s="21"/>
      <c r="GH42" s="21"/>
      <c r="GI42" s="21"/>
      <c r="GJ42" s="21" t="s">
        <v>31</v>
      </c>
      <c r="GK42" s="21"/>
      <c r="GL42" s="21"/>
      <c r="GM42" s="21"/>
      <c r="GN42" s="21"/>
      <c r="GO42" s="21"/>
      <c r="GP42" s="21"/>
      <c r="GQ42" s="21"/>
      <c r="GR42" s="21" t="s">
        <v>69</v>
      </c>
      <c r="GS42" s="21"/>
      <c r="GT42" s="21"/>
      <c r="GU42" s="21"/>
      <c r="GV42" s="21"/>
      <c r="GW42" s="21"/>
      <c r="GX42" s="21"/>
      <c r="GY42" s="21"/>
    </row>
    <row r="43" spans="1:207" ht="25.2" x14ac:dyDescent="0.35">
      <c r="A43" s="21" t="s">
        <v>70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6">
        <v>9494</v>
      </c>
      <c r="M43" s="26"/>
      <c r="N43" s="26"/>
      <c r="O43" s="26"/>
      <c r="P43" s="26"/>
      <c r="Q43" s="26"/>
      <c r="R43" s="26"/>
      <c r="S43" s="26"/>
      <c r="T43" s="26">
        <v>1000</v>
      </c>
      <c r="U43" s="26"/>
      <c r="V43" s="26"/>
      <c r="W43" s="26"/>
      <c r="X43" s="26"/>
      <c r="Y43" s="26"/>
      <c r="Z43" s="26"/>
      <c r="AA43" s="26"/>
      <c r="AB43" s="26">
        <v>13</v>
      </c>
      <c r="AC43" s="26"/>
      <c r="AD43" s="26"/>
      <c r="AE43" s="26"/>
      <c r="AF43" s="26"/>
      <c r="AG43" s="26"/>
      <c r="AH43" s="26"/>
      <c r="AI43" s="26"/>
      <c r="AJ43" s="26">
        <v>5000</v>
      </c>
      <c r="AK43" s="26"/>
      <c r="AL43" s="26"/>
      <c r="AM43" s="26"/>
      <c r="AN43" s="26"/>
      <c r="AO43" s="26"/>
      <c r="AP43" s="26"/>
      <c r="AQ43" s="26"/>
      <c r="AR43" s="26">
        <v>500000</v>
      </c>
      <c r="AS43" s="26"/>
      <c r="AT43" s="26"/>
      <c r="AU43" s="26"/>
      <c r="AV43" s="26"/>
      <c r="AW43" s="26"/>
      <c r="AX43" s="26"/>
      <c r="AY43" s="26"/>
      <c r="BB43" s="21" t="s">
        <v>23</v>
      </c>
      <c r="BC43" s="21"/>
      <c r="BD43" s="21"/>
      <c r="BE43" s="21"/>
      <c r="BF43" s="21"/>
      <c r="BG43" s="21"/>
      <c r="BH43" s="21"/>
      <c r="BI43" s="21"/>
      <c r="BJ43" s="21" t="s">
        <v>71</v>
      </c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6">
        <v>3617</v>
      </c>
      <c r="CA43" s="26"/>
      <c r="CB43" s="26"/>
      <c r="CC43" s="26"/>
      <c r="CD43" s="26"/>
      <c r="CE43" s="26"/>
      <c r="CF43" s="26"/>
      <c r="CG43" s="26"/>
      <c r="CH43" s="26">
        <v>80</v>
      </c>
      <c r="CI43" s="26"/>
      <c r="CJ43" s="26"/>
      <c r="CK43" s="26"/>
      <c r="CL43" s="26"/>
      <c r="CM43" s="26"/>
      <c r="CN43" s="26"/>
      <c r="CO43" s="26"/>
      <c r="CP43" s="26">
        <v>175</v>
      </c>
      <c r="CQ43" s="26"/>
      <c r="CR43" s="26"/>
      <c r="CS43" s="26"/>
      <c r="CT43" s="26"/>
      <c r="CU43" s="26"/>
      <c r="CV43" s="26"/>
      <c r="CW43" s="26"/>
      <c r="CX43" s="26">
        <v>38</v>
      </c>
      <c r="CY43" s="26"/>
      <c r="CZ43" s="26"/>
      <c r="DA43" s="26"/>
      <c r="DB43" s="26"/>
      <c r="DC43" s="26"/>
      <c r="DD43" s="26"/>
      <c r="DE43" s="26"/>
      <c r="DF43" s="26">
        <v>12936</v>
      </c>
      <c r="DG43" s="26"/>
      <c r="DH43" s="26"/>
      <c r="DI43" s="26"/>
      <c r="DJ43" s="26"/>
      <c r="DK43" s="26"/>
      <c r="DL43" s="26"/>
      <c r="DM43" s="26"/>
      <c r="DN43" s="26">
        <v>7391994</v>
      </c>
      <c r="DO43" s="26"/>
      <c r="DP43" s="26"/>
      <c r="DQ43" s="26"/>
      <c r="DR43" s="26"/>
      <c r="DS43" s="26"/>
      <c r="DT43" s="26"/>
      <c r="DU43" s="26"/>
      <c r="DX43" s="21" t="s">
        <v>48</v>
      </c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4">
        <v>0</v>
      </c>
      <c r="EO43" s="21"/>
      <c r="EP43" s="21"/>
      <c r="EQ43" s="21"/>
      <c r="ER43" s="21"/>
      <c r="ES43" s="21"/>
      <c r="ET43" s="21"/>
      <c r="EU43" s="21"/>
      <c r="EV43" s="24">
        <v>1</v>
      </c>
      <c r="EW43" s="21"/>
      <c r="EX43" s="21"/>
      <c r="EY43" s="21"/>
      <c r="EZ43" s="21"/>
      <c r="FA43" s="21"/>
      <c r="FB43" s="21"/>
      <c r="FC43" s="21"/>
      <c r="FD43" s="24">
        <v>16</v>
      </c>
      <c r="FE43" s="21"/>
      <c r="FF43" s="21"/>
      <c r="FG43" s="21"/>
      <c r="FH43" s="21"/>
      <c r="FI43" s="21"/>
      <c r="FJ43" s="21"/>
      <c r="FK43" s="21"/>
      <c r="FL43" s="24">
        <v>0</v>
      </c>
      <c r="FM43" s="21"/>
      <c r="FN43" s="21"/>
      <c r="FO43" s="21"/>
      <c r="FP43" s="21"/>
      <c r="FQ43" s="21"/>
      <c r="FR43" s="21"/>
      <c r="FS43" s="21"/>
      <c r="FT43" s="24">
        <v>0</v>
      </c>
      <c r="FU43" s="21"/>
      <c r="FV43" s="21"/>
      <c r="FW43" s="21"/>
      <c r="FX43" s="21"/>
      <c r="FY43" s="21"/>
      <c r="FZ43" s="21"/>
      <c r="GA43" s="21"/>
      <c r="GB43" s="24">
        <v>4</v>
      </c>
      <c r="GC43" s="21"/>
      <c r="GD43" s="21"/>
      <c r="GE43" s="21"/>
      <c r="GF43" s="21"/>
      <c r="GG43" s="21"/>
      <c r="GH43" s="21"/>
      <c r="GI43" s="21"/>
      <c r="GJ43" s="24">
        <v>0</v>
      </c>
      <c r="GK43" s="21"/>
      <c r="GL43" s="21"/>
      <c r="GM43" s="21"/>
      <c r="GN43" s="21"/>
      <c r="GO43" s="21"/>
      <c r="GP43" s="21"/>
      <c r="GQ43" s="21"/>
      <c r="GR43" s="24">
        <f t="shared" ref="GR43:GR49" si="0">SUM(EN43:GQ43)</f>
        <v>21</v>
      </c>
      <c r="GS43" s="21"/>
      <c r="GT43" s="21"/>
      <c r="GU43" s="21"/>
      <c r="GV43" s="21"/>
      <c r="GW43" s="21"/>
      <c r="GX43" s="21"/>
      <c r="GY43" s="21"/>
    </row>
    <row r="44" spans="1:207" ht="25.2" x14ac:dyDescent="0.35">
      <c r="A44" s="21" t="s">
        <v>122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6">
        <v>7584</v>
      </c>
      <c r="M44" s="26"/>
      <c r="N44" s="26"/>
      <c r="O44" s="26"/>
      <c r="P44" s="26"/>
      <c r="Q44" s="26"/>
      <c r="R44" s="26"/>
      <c r="S44" s="26"/>
      <c r="T44" s="26">
        <v>269</v>
      </c>
      <c r="U44" s="26"/>
      <c r="V44" s="26"/>
      <c r="W44" s="26"/>
      <c r="X44" s="26"/>
      <c r="Y44" s="26"/>
      <c r="Z44" s="26"/>
      <c r="AA44" s="26"/>
      <c r="AB44" s="26">
        <v>6</v>
      </c>
      <c r="AC44" s="26"/>
      <c r="AD44" s="26"/>
      <c r="AE44" s="26"/>
      <c r="AF44" s="26"/>
      <c r="AG44" s="26"/>
      <c r="AH44" s="26"/>
      <c r="AI44" s="26"/>
      <c r="AJ44" s="26">
        <v>5953</v>
      </c>
      <c r="AK44" s="26"/>
      <c r="AL44" s="26"/>
      <c r="AM44" s="26"/>
      <c r="AN44" s="26"/>
      <c r="AO44" s="26"/>
      <c r="AP44" s="26"/>
      <c r="AQ44" s="26"/>
      <c r="AR44" s="26">
        <v>2213011</v>
      </c>
      <c r="AS44" s="26"/>
      <c r="AT44" s="26"/>
      <c r="AU44" s="26"/>
      <c r="AV44" s="26"/>
      <c r="AW44" s="26"/>
      <c r="AX44" s="26"/>
      <c r="AY44" s="26"/>
      <c r="BB44" s="21" t="s">
        <v>29</v>
      </c>
      <c r="BC44" s="21"/>
      <c r="BD44" s="21"/>
      <c r="BE44" s="21"/>
      <c r="BF44" s="21"/>
      <c r="BG44" s="21"/>
      <c r="BH44" s="21"/>
      <c r="BI44" s="21"/>
      <c r="BJ44" s="21" t="s">
        <v>72</v>
      </c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6">
        <v>3128</v>
      </c>
      <c r="CA44" s="26"/>
      <c r="CB44" s="26"/>
      <c r="CC44" s="26"/>
      <c r="CD44" s="26"/>
      <c r="CE44" s="26"/>
      <c r="CF44" s="26"/>
      <c r="CG44" s="26"/>
      <c r="CH44" s="26">
        <v>74</v>
      </c>
      <c r="CI44" s="26"/>
      <c r="CJ44" s="26"/>
      <c r="CK44" s="26"/>
      <c r="CL44" s="26"/>
      <c r="CM44" s="26"/>
      <c r="CN44" s="26"/>
      <c r="CO44" s="26"/>
      <c r="CP44" s="26">
        <v>330</v>
      </c>
      <c r="CQ44" s="26"/>
      <c r="CR44" s="26"/>
      <c r="CS44" s="26"/>
      <c r="CT44" s="26"/>
      <c r="CU44" s="26"/>
      <c r="CV44" s="26"/>
      <c r="CW44" s="26"/>
      <c r="CX44" s="26">
        <v>30</v>
      </c>
      <c r="CY44" s="26"/>
      <c r="CZ44" s="26"/>
      <c r="DA44" s="26"/>
      <c r="DB44" s="26"/>
      <c r="DC44" s="26"/>
      <c r="DD44" s="26"/>
      <c r="DE44" s="26"/>
      <c r="DF44" s="26">
        <v>2208</v>
      </c>
      <c r="DG44" s="26"/>
      <c r="DH44" s="26"/>
      <c r="DI44" s="26"/>
      <c r="DJ44" s="26"/>
      <c r="DK44" s="26"/>
      <c r="DL44" s="26"/>
      <c r="DM44" s="26"/>
      <c r="DN44" s="26">
        <v>669091</v>
      </c>
      <c r="DO44" s="26"/>
      <c r="DP44" s="26"/>
      <c r="DQ44" s="26"/>
      <c r="DR44" s="26"/>
      <c r="DS44" s="26"/>
      <c r="DT44" s="26"/>
      <c r="DU44" s="26"/>
      <c r="DX44" s="21" t="s">
        <v>34</v>
      </c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4">
        <v>0</v>
      </c>
      <c r="EO44" s="21"/>
      <c r="EP44" s="21"/>
      <c r="EQ44" s="21"/>
      <c r="ER44" s="21"/>
      <c r="ES44" s="21"/>
      <c r="ET44" s="21"/>
      <c r="EU44" s="21"/>
      <c r="EV44" s="24">
        <v>4</v>
      </c>
      <c r="EW44" s="21"/>
      <c r="EX44" s="21"/>
      <c r="EY44" s="21"/>
      <c r="EZ44" s="21"/>
      <c r="FA44" s="21"/>
      <c r="FB44" s="21"/>
      <c r="FC44" s="21"/>
      <c r="FD44" s="24">
        <v>2</v>
      </c>
      <c r="FE44" s="21"/>
      <c r="FF44" s="21"/>
      <c r="FG44" s="21"/>
      <c r="FH44" s="21"/>
      <c r="FI44" s="21"/>
      <c r="FJ44" s="21"/>
      <c r="FK44" s="21"/>
      <c r="FL44" s="24">
        <v>1</v>
      </c>
      <c r="FM44" s="21"/>
      <c r="FN44" s="21"/>
      <c r="FO44" s="21"/>
      <c r="FP44" s="21"/>
      <c r="FQ44" s="21"/>
      <c r="FR44" s="21"/>
      <c r="FS44" s="21"/>
      <c r="FT44" s="24">
        <v>0</v>
      </c>
      <c r="FU44" s="21"/>
      <c r="FV44" s="21"/>
      <c r="FW44" s="21"/>
      <c r="FX44" s="21"/>
      <c r="FY44" s="21"/>
      <c r="FZ44" s="21"/>
      <c r="GA44" s="21"/>
      <c r="GB44" s="24">
        <v>2</v>
      </c>
      <c r="GC44" s="21"/>
      <c r="GD44" s="21"/>
      <c r="GE44" s="21"/>
      <c r="GF44" s="21"/>
      <c r="GG44" s="21"/>
      <c r="GH44" s="21"/>
      <c r="GI44" s="21"/>
      <c r="GJ44" s="24">
        <v>0</v>
      </c>
      <c r="GK44" s="21"/>
      <c r="GL44" s="21"/>
      <c r="GM44" s="21"/>
      <c r="GN44" s="21"/>
      <c r="GO44" s="21"/>
      <c r="GP44" s="21"/>
      <c r="GQ44" s="21"/>
      <c r="GR44" s="24">
        <f t="shared" si="0"/>
        <v>9</v>
      </c>
      <c r="GS44" s="21"/>
      <c r="GT44" s="21"/>
      <c r="GU44" s="21"/>
      <c r="GV44" s="21"/>
      <c r="GW44" s="21"/>
      <c r="GX44" s="21"/>
      <c r="GY44" s="21"/>
    </row>
    <row r="45" spans="1:207" ht="25.2" x14ac:dyDescent="0.35">
      <c r="A45" s="21" t="s">
        <v>123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6">
        <v>9139</v>
      </c>
      <c r="M45" s="26"/>
      <c r="N45" s="26"/>
      <c r="O45" s="26"/>
      <c r="P45" s="26"/>
      <c r="Q45" s="26"/>
      <c r="R45" s="26"/>
      <c r="S45" s="26"/>
      <c r="T45" s="26">
        <v>250</v>
      </c>
      <c r="U45" s="26"/>
      <c r="V45" s="26"/>
      <c r="W45" s="26"/>
      <c r="X45" s="26"/>
      <c r="Y45" s="26"/>
      <c r="Z45" s="26"/>
      <c r="AA45" s="26"/>
      <c r="AB45" s="26">
        <v>38</v>
      </c>
      <c r="AC45" s="26"/>
      <c r="AD45" s="26"/>
      <c r="AE45" s="26"/>
      <c r="AF45" s="26"/>
      <c r="AG45" s="26"/>
      <c r="AH45" s="26"/>
      <c r="AI45" s="26"/>
      <c r="AJ45" s="26">
        <v>6000</v>
      </c>
      <c r="AK45" s="26"/>
      <c r="AL45" s="26"/>
      <c r="AM45" s="26"/>
      <c r="AN45" s="26"/>
      <c r="AO45" s="26"/>
      <c r="AP45" s="26"/>
      <c r="AQ45" s="26"/>
      <c r="AR45" s="26">
        <v>2400000</v>
      </c>
      <c r="AS45" s="26"/>
      <c r="AT45" s="26"/>
      <c r="AU45" s="26"/>
      <c r="AV45" s="26"/>
      <c r="AW45" s="26"/>
      <c r="AX45" s="26"/>
      <c r="AY45" s="26"/>
      <c r="BB45" s="21" t="s">
        <v>29</v>
      </c>
      <c r="BC45" s="21"/>
      <c r="BD45" s="21"/>
      <c r="BE45" s="21"/>
      <c r="BF45" s="21"/>
      <c r="BG45" s="21"/>
      <c r="BH45" s="21"/>
      <c r="BI45" s="21"/>
      <c r="BJ45" s="21" t="s">
        <v>74</v>
      </c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6">
        <v>13451</v>
      </c>
      <c r="CA45" s="26"/>
      <c r="CB45" s="26"/>
      <c r="CC45" s="26"/>
      <c r="CD45" s="26"/>
      <c r="CE45" s="26"/>
      <c r="CF45" s="26"/>
      <c r="CG45" s="26"/>
      <c r="CH45" s="26">
        <v>90</v>
      </c>
      <c r="CI45" s="26"/>
      <c r="CJ45" s="26"/>
      <c r="CK45" s="26"/>
      <c r="CL45" s="26"/>
      <c r="CM45" s="26"/>
      <c r="CN45" s="26"/>
      <c r="CO45" s="26"/>
      <c r="CP45" s="26">
        <v>320</v>
      </c>
      <c r="CQ45" s="26"/>
      <c r="CR45" s="26"/>
      <c r="CS45" s="26"/>
      <c r="CT45" s="26"/>
      <c r="CU45" s="26"/>
      <c r="CV45" s="26"/>
      <c r="CW45" s="26"/>
      <c r="CX45" s="26">
        <v>30</v>
      </c>
      <c r="CY45" s="26"/>
      <c r="CZ45" s="26"/>
      <c r="DA45" s="26"/>
      <c r="DB45" s="26"/>
      <c r="DC45" s="26"/>
      <c r="DD45" s="26"/>
      <c r="DE45" s="26"/>
      <c r="DF45" s="26">
        <v>13000</v>
      </c>
      <c r="DG45" s="26"/>
      <c r="DH45" s="26"/>
      <c r="DI45" s="26"/>
      <c r="DJ45" s="26"/>
      <c r="DK45" s="26"/>
      <c r="DL45" s="26"/>
      <c r="DM45" s="26"/>
      <c r="DN45" s="26">
        <v>4062500</v>
      </c>
      <c r="DO45" s="26"/>
      <c r="DP45" s="26"/>
      <c r="DQ45" s="26"/>
      <c r="DR45" s="26"/>
      <c r="DS45" s="26"/>
      <c r="DT45" s="26"/>
      <c r="DU45" s="26"/>
      <c r="DX45" s="21" t="s">
        <v>75</v>
      </c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4">
        <v>8</v>
      </c>
      <c r="EO45" s="21"/>
      <c r="EP45" s="21"/>
      <c r="EQ45" s="21"/>
      <c r="ER45" s="21"/>
      <c r="ES45" s="21"/>
      <c r="ET45" s="21"/>
      <c r="EU45" s="21"/>
      <c r="EV45" s="24">
        <v>12</v>
      </c>
      <c r="EW45" s="21"/>
      <c r="EX45" s="21"/>
      <c r="EY45" s="21"/>
      <c r="EZ45" s="21"/>
      <c r="FA45" s="21"/>
      <c r="FB45" s="21"/>
      <c r="FC45" s="21"/>
      <c r="FD45" s="24">
        <v>8</v>
      </c>
      <c r="FE45" s="21"/>
      <c r="FF45" s="21"/>
      <c r="FG45" s="21"/>
      <c r="FH45" s="21"/>
      <c r="FI45" s="21"/>
      <c r="FJ45" s="21"/>
      <c r="FK45" s="21"/>
      <c r="FL45" s="24">
        <v>12</v>
      </c>
      <c r="FM45" s="21"/>
      <c r="FN45" s="21"/>
      <c r="FO45" s="21"/>
      <c r="FP45" s="21"/>
      <c r="FQ45" s="21"/>
      <c r="FR45" s="21"/>
      <c r="FS45" s="21"/>
      <c r="FT45" s="24">
        <v>3</v>
      </c>
      <c r="FU45" s="21"/>
      <c r="FV45" s="21"/>
      <c r="FW45" s="21"/>
      <c r="FX45" s="21"/>
      <c r="FY45" s="21"/>
      <c r="FZ45" s="21"/>
      <c r="GA45" s="21"/>
      <c r="GB45" s="24">
        <v>1</v>
      </c>
      <c r="GC45" s="21"/>
      <c r="GD45" s="21"/>
      <c r="GE45" s="21"/>
      <c r="GF45" s="21"/>
      <c r="GG45" s="21"/>
      <c r="GH45" s="21"/>
      <c r="GI45" s="21"/>
      <c r="GJ45" s="24">
        <v>0</v>
      </c>
      <c r="GK45" s="21"/>
      <c r="GL45" s="21"/>
      <c r="GM45" s="21"/>
      <c r="GN45" s="21"/>
      <c r="GO45" s="21"/>
      <c r="GP45" s="21"/>
      <c r="GQ45" s="21"/>
      <c r="GR45" s="24">
        <f t="shared" si="0"/>
        <v>44</v>
      </c>
      <c r="GS45" s="21"/>
      <c r="GT45" s="21"/>
      <c r="GU45" s="21"/>
      <c r="GV45" s="21"/>
      <c r="GW45" s="21"/>
      <c r="GX45" s="21"/>
      <c r="GY45" s="21"/>
    </row>
    <row r="46" spans="1:207" ht="25.2" x14ac:dyDescent="0.35">
      <c r="A46" s="21" t="s">
        <v>124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6">
        <v>9909</v>
      </c>
      <c r="M46" s="26"/>
      <c r="N46" s="26"/>
      <c r="O46" s="26"/>
      <c r="P46" s="26"/>
      <c r="Q46" s="26"/>
      <c r="R46" s="26"/>
      <c r="S46" s="26"/>
      <c r="T46" s="26">
        <v>269</v>
      </c>
      <c r="U46" s="26"/>
      <c r="V46" s="26"/>
      <c r="W46" s="26"/>
      <c r="X46" s="26"/>
      <c r="Y46" s="26"/>
      <c r="Z46" s="26"/>
      <c r="AA46" s="26"/>
      <c r="AB46" s="26">
        <v>6</v>
      </c>
      <c r="AC46" s="26"/>
      <c r="AD46" s="26"/>
      <c r="AE46" s="26"/>
      <c r="AF46" s="26"/>
      <c r="AG46" s="26"/>
      <c r="AH46" s="26"/>
      <c r="AI46" s="26"/>
      <c r="AJ46" s="26">
        <v>10000</v>
      </c>
      <c r="AK46" s="26"/>
      <c r="AL46" s="26"/>
      <c r="AM46" s="26"/>
      <c r="AN46" s="26"/>
      <c r="AO46" s="26"/>
      <c r="AP46" s="26"/>
      <c r="AQ46" s="26"/>
      <c r="AR46" s="26">
        <v>3717473</v>
      </c>
      <c r="AS46" s="26"/>
      <c r="AT46" s="26"/>
      <c r="AU46" s="26"/>
      <c r="AV46" s="26"/>
      <c r="AW46" s="26"/>
      <c r="AX46" s="26"/>
      <c r="AY46" s="26"/>
      <c r="BB46" s="21" t="s">
        <v>29</v>
      </c>
      <c r="BC46" s="21"/>
      <c r="BD46" s="21"/>
      <c r="BE46" s="21"/>
      <c r="BF46" s="21"/>
      <c r="BG46" s="21"/>
      <c r="BH46" s="21"/>
      <c r="BI46" s="21"/>
      <c r="BJ46" s="21" t="s">
        <v>77</v>
      </c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6">
        <v>20867</v>
      </c>
      <c r="CA46" s="26"/>
      <c r="CB46" s="26"/>
      <c r="CC46" s="26"/>
      <c r="CD46" s="26"/>
      <c r="CE46" s="26"/>
      <c r="CF46" s="26"/>
      <c r="CG46" s="26"/>
      <c r="CH46" s="26">
        <v>90</v>
      </c>
      <c r="CI46" s="26"/>
      <c r="CJ46" s="26"/>
      <c r="CK46" s="26"/>
      <c r="CL46" s="26"/>
      <c r="CM46" s="26"/>
      <c r="CN46" s="26"/>
      <c r="CO46" s="26"/>
      <c r="CP46" s="26">
        <v>330</v>
      </c>
      <c r="CQ46" s="26"/>
      <c r="CR46" s="26"/>
      <c r="CS46" s="26"/>
      <c r="CT46" s="26"/>
      <c r="CU46" s="26"/>
      <c r="CV46" s="26"/>
      <c r="CW46" s="26"/>
      <c r="CX46" s="26">
        <v>30</v>
      </c>
      <c r="CY46" s="26"/>
      <c r="CZ46" s="26"/>
      <c r="DA46" s="26"/>
      <c r="DB46" s="26"/>
      <c r="DC46" s="26"/>
      <c r="DD46" s="26"/>
      <c r="DE46" s="26"/>
      <c r="DF46" s="26">
        <v>1436</v>
      </c>
      <c r="DG46" s="26"/>
      <c r="DH46" s="26"/>
      <c r="DI46" s="26"/>
      <c r="DJ46" s="26"/>
      <c r="DK46" s="26"/>
      <c r="DL46" s="26"/>
      <c r="DM46" s="26"/>
      <c r="DN46" s="26">
        <v>435152</v>
      </c>
      <c r="DO46" s="26"/>
      <c r="DP46" s="26"/>
      <c r="DQ46" s="26"/>
      <c r="DR46" s="26"/>
      <c r="DS46" s="26"/>
      <c r="DT46" s="26"/>
      <c r="DU46" s="26"/>
      <c r="DX46" s="21" t="s">
        <v>76</v>
      </c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4">
        <v>0</v>
      </c>
      <c r="EO46" s="21"/>
      <c r="EP46" s="21"/>
      <c r="EQ46" s="21"/>
      <c r="ER46" s="21"/>
      <c r="ES46" s="21"/>
      <c r="ET46" s="21"/>
      <c r="EU46" s="21"/>
      <c r="EV46" s="24">
        <v>0</v>
      </c>
      <c r="EW46" s="21"/>
      <c r="EX46" s="21"/>
      <c r="EY46" s="21"/>
      <c r="EZ46" s="21"/>
      <c r="FA46" s="21"/>
      <c r="FB46" s="21"/>
      <c r="FC46" s="21"/>
      <c r="FD46" s="24">
        <v>0</v>
      </c>
      <c r="FE46" s="21"/>
      <c r="FF46" s="21"/>
      <c r="FG46" s="21"/>
      <c r="FH46" s="21"/>
      <c r="FI46" s="21"/>
      <c r="FJ46" s="21"/>
      <c r="FK46" s="21"/>
      <c r="FL46" s="24">
        <v>0</v>
      </c>
      <c r="FM46" s="21"/>
      <c r="FN46" s="21"/>
      <c r="FO46" s="21"/>
      <c r="FP46" s="21"/>
      <c r="FQ46" s="21"/>
      <c r="FR46" s="21"/>
      <c r="FS46" s="21"/>
      <c r="FT46" s="24">
        <v>0</v>
      </c>
      <c r="FU46" s="21"/>
      <c r="FV46" s="21"/>
      <c r="FW46" s="21"/>
      <c r="FX46" s="21"/>
      <c r="FY46" s="21"/>
      <c r="FZ46" s="21"/>
      <c r="GA46" s="21"/>
      <c r="GB46" s="24">
        <v>0</v>
      </c>
      <c r="GC46" s="21"/>
      <c r="GD46" s="21"/>
      <c r="GE46" s="21"/>
      <c r="GF46" s="21"/>
      <c r="GG46" s="21"/>
      <c r="GH46" s="21"/>
      <c r="GI46" s="21"/>
      <c r="GJ46" s="24">
        <v>0</v>
      </c>
      <c r="GK46" s="21"/>
      <c r="GL46" s="21"/>
      <c r="GM46" s="21"/>
      <c r="GN46" s="21"/>
      <c r="GO46" s="21"/>
      <c r="GP46" s="21"/>
      <c r="GQ46" s="21"/>
      <c r="GR46" s="24">
        <f t="shared" si="0"/>
        <v>0</v>
      </c>
      <c r="GS46" s="21"/>
      <c r="GT46" s="21"/>
      <c r="GU46" s="21"/>
      <c r="GV46" s="21"/>
      <c r="GW46" s="21"/>
      <c r="GX46" s="21"/>
      <c r="GY46" s="21"/>
    </row>
    <row r="47" spans="1:207" ht="25.2" x14ac:dyDescent="0.35">
      <c r="A47" s="21" t="s">
        <v>126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6">
        <v>20546</v>
      </c>
      <c r="M47" s="26"/>
      <c r="N47" s="26"/>
      <c r="O47" s="26"/>
      <c r="P47" s="26"/>
      <c r="Q47" s="26"/>
      <c r="R47" s="26"/>
      <c r="S47" s="26"/>
      <c r="T47" s="26">
        <v>250</v>
      </c>
      <c r="U47" s="26"/>
      <c r="V47" s="26"/>
      <c r="W47" s="26"/>
      <c r="X47" s="26"/>
      <c r="Y47" s="26"/>
      <c r="Z47" s="26"/>
      <c r="AA47" s="26"/>
      <c r="AB47" s="26">
        <v>38</v>
      </c>
      <c r="AC47" s="26"/>
      <c r="AD47" s="26"/>
      <c r="AE47" s="26"/>
      <c r="AF47" s="26"/>
      <c r="AG47" s="26"/>
      <c r="AH47" s="26"/>
      <c r="AI47" s="26"/>
      <c r="AJ47" s="26">
        <v>5000</v>
      </c>
      <c r="AK47" s="26"/>
      <c r="AL47" s="26"/>
      <c r="AM47" s="26"/>
      <c r="AN47" s="26"/>
      <c r="AO47" s="26"/>
      <c r="AP47" s="26"/>
      <c r="AQ47" s="26"/>
      <c r="AR47" s="26">
        <v>2000000</v>
      </c>
      <c r="AS47" s="26"/>
      <c r="AT47" s="26"/>
      <c r="AU47" s="26"/>
      <c r="AV47" s="26"/>
      <c r="AW47" s="26"/>
      <c r="AX47" s="26"/>
      <c r="AY47" s="26"/>
      <c r="BB47" s="21" t="s">
        <v>29</v>
      </c>
      <c r="BC47" s="21"/>
      <c r="BD47" s="21"/>
      <c r="BE47" s="21"/>
      <c r="BF47" s="21"/>
      <c r="BG47" s="21"/>
      <c r="BH47" s="21"/>
      <c r="BI47" s="21"/>
      <c r="BJ47" s="21" t="s">
        <v>179</v>
      </c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6">
        <v>23223</v>
      </c>
      <c r="CA47" s="26"/>
      <c r="CB47" s="26"/>
      <c r="CC47" s="26"/>
      <c r="CD47" s="26"/>
      <c r="CE47" s="26"/>
      <c r="CF47" s="26"/>
      <c r="CG47" s="26"/>
      <c r="CH47" s="26">
        <v>90</v>
      </c>
      <c r="CI47" s="26"/>
      <c r="CJ47" s="26"/>
      <c r="CK47" s="26"/>
      <c r="CL47" s="26"/>
      <c r="CM47" s="26"/>
      <c r="CN47" s="26"/>
      <c r="CO47" s="26"/>
      <c r="CP47" s="26">
        <v>330</v>
      </c>
      <c r="CQ47" s="26"/>
      <c r="CR47" s="26"/>
      <c r="CS47" s="26"/>
      <c r="CT47" s="26"/>
      <c r="CU47" s="26"/>
      <c r="CV47" s="26"/>
      <c r="CW47" s="26"/>
      <c r="CX47" s="26">
        <v>30</v>
      </c>
      <c r="CY47" s="26"/>
      <c r="CZ47" s="26"/>
      <c r="DA47" s="26"/>
      <c r="DB47" s="26"/>
      <c r="DC47" s="26"/>
      <c r="DD47" s="26"/>
      <c r="DE47" s="26"/>
      <c r="DF47" s="26">
        <v>669</v>
      </c>
      <c r="DG47" s="26"/>
      <c r="DH47" s="26"/>
      <c r="DI47" s="26"/>
      <c r="DJ47" s="26"/>
      <c r="DK47" s="26"/>
      <c r="DL47" s="26"/>
      <c r="DM47" s="26"/>
      <c r="DN47" s="26">
        <v>202728</v>
      </c>
      <c r="DO47" s="26"/>
      <c r="DP47" s="26"/>
      <c r="DQ47" s="26"/>
      <c r="DR47" s="26"/>
      <c r="DS47" s="26"/>
      <c r="DT47" s="26"/>
      <c r="DU47" s="26"/>
      <c r="DX47" s="21" t="s">
        <v>78</v>
      </c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4">
        <v>123.2</v>
      </c>
      <c r="EO47" s="21"/>
      <c r="EP47" s="21"/>
      <c r="EQ47" s="21"/>
      <c r="ER47" s="21"/>
      <c r="ES47" s="21"/>
      <c r="ET47" s="21"/>
      <c r="EU47" s="21"/>
      <c r="EV47" s="24">
        <v>112.45374444444445</v>
      </c>
      <c r="EW47" s="21"/>
      <c r="EX47" s="21"/>
      <c r="EY47" s="21"/>
      <c r="EZ47" s="21"/>
      <c r="FA47" s="21"/>
      <c r="FB47" s="21"/>
      <c r="FC47" s="21"/>
      <c r="FD47" s="24">
        <v>96.966558333333325</v>
      </c>
      <c r="FE47" s="21"/>
      <c r="FF47" s="21"/>
      <c r="FG47" s="21"/>
      <c r="FH47" s="21"/>
      <c r="FI47" s="21"/>
      <c r="FJ47" s="21"/>
      <c r="FK47" s="21"/>
      <c r="FL47" s="24">
        <v>111.6</v>
      </c>
      <c r="FM47" s="21"/>
      <c r="FN47" s="21"/>
      <c r="FO47" s="21"/>
      <c r="FP47" s="21"/>
      <c r="FQ47" s="21"/>
      <c r="FR47" s="21"/>
      <c r="FS47" s="21"/>
      <c r="FT47" s="24">
        <v>29.411122222222225</v>
      </c>
      <c r="FU47" s="21"/>
      <c r="FV47" s="21"/>
      <c r="FW47" s="21"/>
      <c r="FX47" s="21"/>
      <c r="FY47" s="21"/>
      <c r="FZ47" s="21"/>
      <c r="GA47" s="21"/>
      <c r="GB47" s="24">
        <v>63.835780555555552</v>
      </c>
      <c r="GC47" s="21"/>
      <c r="GD47" s="21"/>
      <c r="GE47" s="21"/>
      <c r="GF47" s="21"/>
      <c r="GG47" s="21"/>
      <c r="GH47" s="21"/>
      <c r="GI47" s="21"/>
      <c r="GJ47" s="24">
        <v>0</v>
      </c>
      <c r="GK47" s="21"/>
      <c r="GL47" s="21"/>
      <c r="GM47" s="21"/>
      <c r="GN47" s="21"/>
      <c r="GO47" s="21"/>
      <c r="GP47" s="21"/>
      <c r="GQ47" s="21"/>
      <c r="GR47" s="24">
        <f t="shared" si="0"/>
        <v>537.46720555555555</v>
      </c>
      <c r="GS47" s="21"/>
      <c r="GT47" s="21"/>
      <c r="GU47" s="21"/>
      <c r="GV47" s="21"/>
      <c r="GW47" s="21"/>
      <c r="GX47" s="21"/>
      <c r="GY47" s="21"/>
    </row>
    <row r="48" spans="1:207" ht="25.2" x14ac:dyDescent="0.35">
      <c r="A48" s="21" t="s">
        <v>72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6">
        <v>3128</v>
      </c>
      <c r="M48" s="26"/>
      <c r="N48" s="26"/>
      <c r="O48" s="26"/>
      <c r="P48" s="26"/>
      <c r="Q48" s="26"/>
      <c r="R48" s="26"/>
      <c r="S48" s="26"/>
      <c r="T48" s="26">
        <v>330</v>
      </c>
      <c r="U48" s="26"/>
      <c r="V48" s="26"/>
      <c r="W48" s="26"/>
      <c r="X48" s="26"/>
      <c r="Y48" s="26"/>
      <c r="Z48" s="26"/>
      <c r="AA48" s="26"/>
      <c r="AB48" s="26">
        <v>30</v>
      </c>
      <c r="AC48" s="26"/>
      <c r="AD48" s="26"/>
      <c r="AE48" s="26"/>
      <c r="AF48" s="26"/>
      <c r="AG48" s="26"/>
      <c r="AH48" s="26"/>
      <c r="AI48" s="26"/>
      <c r="AJ48" s="26">
        <v>4641</v>
      </c>
      <c r="AK48" s="26"/>
      <c r="AL48" s="26"/>
      <c r="AM48" s="26"/>
      <c r="AN48" s="26"/>
      <c r="AO48" s="26"/>
      <c r="AP48" s="26"/>
      <c r="AQ48" s="26"/>
      <c r="AR48" s="26">
        <v>1406364</v>
      </c>
      <c r="AS48" s="26"/>
      <c r="AT48" s="26"/>
      <c r="AU48" s="26"/>
      <c r="AV48" s="26"/>
      <c r="AW48" s="26"/>
      <c r="AX48" s="26"/>
      <c r="AY48" s="26"/>
      <c r="BB48" s="21" t="s">
        <v>29</v>
      </c>
      <c r="BC48" s="21"/>
      <c r="BD48" s="21"/>
      <c r="BE48" s="21"/>
      <c r="BF48" s="21"/>
      <c r="BG48" s="21"/>
      <c r="BH48" s="21"/>
      <c r="BI48" s="21"/>
      <c r="BJ48" s="21" t="s">
        <v>79</v>
      </c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6">
        <v>2512</v>
      </c>
      <c r="CA48" s="26"/>
      <c r="CB48" s="26"/>
      <c r="CC48" s="26"/>
      <c r="CD48" s="26"/>
      <c r="CE48" s="26"/>
      <c r="CF48" s="26"/>
      <c r="CG48" s="26"/>
      <c r="CH48" s="26">
        <v>90</v>
      </c>
      <c r="CI48" s="26"/>
      <c r="CJ48" s="26"/>
      <c r="CK48" s="26"/>
      <c r="CL48" s="26"/>
      <c r="CM48" s="26"/>
      <c r="CN48" s="26"/>
      <c r="CO48" s="26"/>
      <c r="CP48" s="26">
        <v>330</v>
      </c>
      <c r="CQ48" s="26"/>
      <c r="CR48" s="26"/>
      <c r="CS48" s="26"/>
      <c r="CT48" s="26"/>
      <c r="CU48" s="26"/>
      <c r="CV48" s="26"/>
      <c r="CW48" s="26"/>
      <c r="CX48" s="26">
        <v>30</v>
      </c>
      <c r="CY48" s="26"/>
      <c r="CZ48" s="26"/>
      <c r="DA48" s="26"/>
      <c r="DB48" s="26"/>
      <c r="DC48" s="26"/>
      <c r="DD48" s="26"/>
      <c r="DE48" s="26"/>
      <c r="DF48" s="26">
        <v>9000</v>
      </c>
      <c r="DG48" s="26"/>
      <c r="DH48" s="26"/>
      <c r="DI48" s="26"/>
      <c r="DJ48" s="26"/>
      <c r="DK48" s="26"/>
      <c r="DL48" s="26"/>
      <c r="DM48" s="26"/>
      <c r="DN48" s="26">
        <v>2727274</v>
      </c>
      <c r="DO48" s="26"/>
      <c r="DP48" s="26"/>
      <c r="DQ48" s="26"/>
      <c r="DR48" s="26"/>
      <c r="DS48" s="26"/>
      <c r="DT48" s="26"/>
      <c r="DU48" s="26"/>
      <c r="DX48" s="21" t="s">
        <v>80</v>
      </c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4">
        <v>36.799999999999997</v>
      </c>
      <c r="EO48" s="21"/>
      <c r="EP48" s="21"/>
      <c r="EQ48" s="21"/>
      <c r="ER48" s="21"/>
      <c r="ES48" s="21"/>
      <c r="ET48" s="21"/>
      <c r="EU48" s="21"/>
      <c r="EV48" s="24">
        <v>38.546255555555554</v>
      </c>
      <c r="EW48" s="21"/>
      <c r="EX48" s="21"/>
      <c r="EY48" s="21"/>
      <c r="EZ48" s="21"/>
      <c r="FA48" s="21"/>
      <c r="FB48" s="21"/>
      <c r="FC48" s="21"/>
      <c r="FD48" s="24">
        <v>45.033441666666661</v>
      </c>
      <c r="FE48" s="21"/>
      <c r="FF48" s="21"/>
      <c r="FG48" s="21"/>
      <c r="FH48" s="21"/>
      <c r="FI48" s="21"/>
      <c r="FJ48" s="21"/>
      <c r="FK48" s="21"/>
      <c r="FL48" s="24">
        <v>43.4</v>
      </c>
      <c r="FM48" s="21"/>
      <c r="FN48" s="21"/>
      <c r="FO48" s="21"/>
      <c r="FP48" s="21"/>
      <c r="FQ48" s="21"/>
      <c r="FR48" s="21"/>
      <c r="FS48" s="21"/>
      <c r="FT48" s="24">
        <v>6.4561000000000002</v>
      </c>
      <c r="FU48" s="21"/>
      <c r="FV48" s="21"/>
      <c r="FW48" s="21"/>
      <c r="FX48" s="21"/>
      <c r="FY48" s="21"/>
      <c r="FZ48" s="21"/>
      <c r="GA48" s="21"/>
      <c r="GB48" s="24">
        <v>19.067830555555556</v>
      </c>
      <c r="GC48" s="21"/>
      <c r="GD48" s="21"/>
      <c r="GE48" s="21"/>
      <c r="GF48" s="21"/>
      <c r="GG48" s="21"/>
      <c r="GH48" s="21"/>
      <c r="GI48" s="21"/>
      <c r="GJ48" s="24">
        <v>0</v>
      </c>
      <c r="GK48" s="21"/>
      <c r="GL48" s="21"/>
      <c r="GM48" s="21"/>
      <c r="GN48" s="21"/>
      <c r="GO48" s="21"/>
      <c r="GP48" s="21"/>
      <c r="GQ48" s="21"/>
      <c r="GR48" s="24">
        <f t="shared" si="0"/>
        <v>189.30362777777776</v>
      </c>
      <c r="GS48" s="21"/>
      <c r="GT48" s="21"/>
      <c r="GU48" s="21"/>
      <c r="GV48" s="21"/>
      <c r="GW48" s="21"/>
      <c r="GX48" s="21"/>
      <c r="GY48" s="21"/>
    </row>
    <row r="49" spans="1:207" ht="25.2" x14ac:dyDescent="0.35">
      <c r="A49" s="21" t="s">
        <v>73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6">
        <v>3751</v>
      </c>
      <c r="M49" s="26"/>
      <c r="N49" s="26"/>
      <c r="O49" s="26"/>
      <c r="P49" s="26"/>
      <c r="Q49" s="26"/>
      <c r="R49" s="26"/>
      <c r="S49" s="26"/>
      <c r="T49" s="26">
        <v>330</v>
      </c>
      <c r="U49" s="26"/>
      <c r="V49" s="26"/>
      <c r="W49" s="26"/>
      <c r="X49" s="26"/>
      <c r="Y49" s="26"/>
      <c r="Z49" s="26"/>
      <c r="AA49" s="26"/>
      <c r="AB49" s="26">
        <v>30</v>
      </c>
      <c r="AC49" s="26"/>
      <c r="AD49" s="26"/>
      <c r="AE49" s="26"/>
      <c r="AF49" s="26"/>
      <c r="AG49" s="26"/>
      <c r="AH49" s="26"/>
      <c r="AI49" s="26"/>
      <c r="AJ49" s="26">
        <v>2181</v>
      </c>
      <c r="AK49" s="26"/>
      <c r="AL49" s="26"/>
      <c r="AM49" s="26"/>
      <c r="AN49" s="26"/>
      <c r="AO49" s="26"/>
      <c r="AP49" s="26"/>
      <c r="AQ49" s="26"/>
      <c r="AR49" s="26">
        <v>660909</v>
      </c>
      <c r="AS49" s="26"/>
      <c r="AT49" s="26"/>
      <c r="AU49" s="26"/>
      <c r="AV49" s="26"/>
      <c r="AW49" s="26"/>
      <c r="AX49" s="26"/>
      <c r="AY49" s="26"/>
      <c r="BB49" s="21" t="s">
        <v>36</v>
      </c>
      <c r="BC49" s="21"/>
      <c r="BD49" s="21"/>
      <c r="BE49" s="21"/>
      <c r="BF49" s="21"/>
      <c r="BG49" s="21"/>
      <c r="BH49" s="21"/>
      <c r="BI49" s="21"/>
      <c r="BJ49" s="21" t="s">
        <v>123</v>
      </c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6">
        <v>9139</v>
      </c>
      <c r="CA49" s="26"/>
      <c r="CB49" s="26"/>
      <c r="CC49" s="26"/>
      <c r="CD49" s="26"/>
      <c r="CE49" s="26"/>
      <c r="CF49" s="26"/>
      <c r="CG49" s="26"/>
      <c r="CH49" s="26">
        <v>90</v>
      </c>
      <c r="CI49" s="26"/>
      <c r="CJ49" s="26"/>
      <c r="CK49" s="26"/>
      <c r="CL49" s="26"/>
      <c r="CM49" s="26"/>
      <c r="CN49" s="26"/>
      <c r="CO49" s="26"/>
      <c r="CP49" s="26">
        <v>250</v>
      </c>
      <c r="CQ49" s="26"/>
      <c r="CR49" s="26"/>
      <c r="CS49" s="26"/>
      <c r="CT49" s="26"/>
      <c r="CU49" s="26"/>
      <c r="CV49" s="26"/>
      <c r="CW49" s="26"/>
      <c r="CX49" s="26">
        <v>38</v>
      </c>
      <c r="CY49" s="26"/>
      <c r="CZ49" s="26"/>
      <c r="DA49" s="26"/>
      <c r="DB49" s="26"/>
      <c r="DC49" s="26"/>
      <c r="DD49" s="26"/>
      <c r="DE49" s="26"/>
      <c r="DF49" s="26">
        <v>6000</v>
      </c>
      <c r="DG49" s="26"/>
      <c r="DH49" s="26"/>
      <c r="DI49" s="26"/>
      <c r="DJ49" s="26"/>
      <c r="DK49" s="26"/>
      <c r="DL49" s="26"/>
      <c r="DM49" s="26"/>
      <c r="DN49" s="26">
        <v>2400000</v>
      </c>
      <c r="DO49" s="26"/>
      <c r="DP49" s="26"/>
      <c r="DQ49" s="26"/>
      <c r="DR49" s="26"/>
      <c r="DS49" s="26"/>
      <c r="DT49" s="26"/>
      <c r="DU49" s="26"/>
      <c r="DX49" s="21" t="s">
        <v>82</v>
      </c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4">
        <f>SUM(EN43:EU48)</f>
        <v>168</v>
      </c>
      <c r="EO49" s="21"/>
      <c r="EP49" s="21"/>
      <c r="EQ49" s="21"/>
      <c r="ER49" s="21"/>
      <c r="ES49" s="21"/>
      <c r="ET49" s="21"/>
      <c r="EU49" s="21"/>
      <c r="EV49" s="24">
        <f>SUM(EV43:FC48)</f>
        <v>168</v>
      </c>
      <c r="EW49" s="21"/>
      <c r="EX49" s="21"/>
      <c r="EY49" s="21"/>
      <c r="EZ49" s="21"/>
      <c r="FA49" s="21"/>
      <c r="FB49" s="21"/>
      <c r="FC49" s="21"/>
      <c r="FD49" s="24">
        <f>SUM(FD43:FK48)</f>
        <v>168</v>
      </c>
      <c r="FE49" s="21"/>
      <c r="FF49" s="21"/>
      <c r="FG49" s="21"/>
      <c r="FH49" s="21"/>
      <c r="FI49" s="21"/>
      <c r="FJ49" s="21"/>
      <c r="FK49" s="21"/>
      <c r="FL49" s="24">
        <f>SUM(FL43:FS48)</f>
        <v>168</v>
      </c>
      <c r="FM49" s="21"/>
      <c r="FN49" s="21"/>
      <c r="FO49" s="21"/>
      <c r="FP49" s="21"/>
      <c r="FQ49" s="21"/>
      <c r="FR49" s="21"/>
      <c r="FS49" s="21"/>
      <c r="FT49" s="24">
        <f>SUM(FT43:GA48)</f>
        <v>38.867222222222225</v>
      </c>
      <c r="FU49" s="21"/>
      <c r="FV49" s="21"/>
      <c r="FW49" s="21"/>
      <c r="FX49" s="21"/>
      <c r="FY49" s="21"/>
      <c r="FZ49" s="21"/>
      <c r="GA49" s="21"/>
      <c r="GB49" s="24">
        <f>SUM(GB43:GI48)</f>
        <v>89.903611111111104</v>
      </c>
      <c r="GC49" s="21"/>
      <c r="GD49" s="21"/>
      <c r="GE49" s="21"/>
      <c r="GF49" s="21"/>
      <c r="GG49" s="21"/>
      <c r="GH49" s="21"/>
      <c r="GI49" s="21"/>
      <c r="GJ49" s="24">
        <f>SUM(GJ43:GQ48)</f>
        <v>0</v>
      </c>
      <c r="GK49" s="21"/>
      <c r="GL49" s="21"/>
      <c r="GM49" s="21"/>
      <c r="GN49" s="21"/>
      <c r="GO49" s="21"/>
      <c r="GP49" s="21"/>
      <c r="GQ49" s="21"/>
      <c r="GR49" s="24">
        <f t="shared" si="0"/>
        <v>800.77083333333337</v>
      </c>
      <c r="GS49" s="21"/>
      <c r="GT49" s="21"/>
      <c r="GU49" s="21"/>
      <c r="GV49" s="21"/>
      <c r="GW49" s="21"/>
      <c r="GX49" s="21"/>
      <c r="GY49" s="21"/>
    </row>
    <row r="50" spans="1:207" ht="25.2" x14ac:dyDescent="0.35">
      <c r="A50" s="21" t="s">
        <v>74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6">
        <v>13451</v>
      </c>
      <c r="M50" s="26"/>
      <c r="N50" s="26"/>
      <c r="O50" s="26"/>
      <c r="P50" s="26"/>
      <c r="Q50" s="26"/>
      <c r="R50" s="26"/>
      <c r="S50" s="26"/>
      <c r="T50" s="26">
        <v>320</v>
      </c>
      <c r="U50" s="26"/>
      <c r="V50" s="26"/>
      <c r="W50" s="26"/>
      <c r="X50" s="26"/>
      <c r="Y50" s="26"/>
      <c r="Z50" s="26"/>
      <c r="AA50" s="26"/>
      <c r="AB50" s="26">
        <v>30</v>
      </c>
      <c r="AC50" s="26"/>
      <c r="AD50" s="26"/>
      <c r="AE50" s="26"/>
      <c r="AF50" s="26"/>
      <c r="AG50" s="26"/>
      <c r="AH50" s="26"/>
      <c r="AI50" s="26"/>
      <c r="AJ50" s="26">
        <v>13000</v>
      </c>
      <c r="AK50" s="26"/>
      <c r="AL50" s="26"/>
      <c r="AM50" s="26"/>
      <c r="AN50" s="26"/>
      <c r="AO50" s="26"/>
      <c r="AP50" s="26"/>
      <c r="AQ50" s="26"/>
      <c r="AR50" s="26">
        <v>4062500</v>
      </c>
      <c r="AS50" s="26"/>
      <c r="AT50" s="26"/>
      <c r="AU50" s="26"/>
      <c r="AV50" s="26"/>
      <c r="AW50" s="26"/>
      <c r="AX50" s="26"/>
      <c r="AY50" s="26"/>
      <c r="BB50" s="21" t="s">
        <v>36</v>
      </c>
      <c r="BC50" s="21"/>
      <c r="BD50" s="21"/>
      <c r="BE50" s="21"/>
      <c r="BF50" s="21"/>
      <c r="BG50" s="21"/>
      <c r="BH50" s="21"/>
      <c r="BI50" s="21"/>
      <c r="BJ50" s="21" t="s">
        <v>126</v>
      </c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6">
        <v>20546</v>
      </c>
      <c r="CA50" s="26"/>
      <c r="CB50" s="26"/>
      <c r="CC50" s="26"/>
      <c r="CD50" s="26"/>
      <c r="CE50" s="26"/>
      <c r="CF50" s="26"/>
      <c r="CG50" s="26"/>
      <c r="CH50" s="26">
        <v>90</v>
      </c>
      <c r="CI50" s="26"/>
      <c r="CJ50" s="26"/>
      <c r="CK50" s="26"/>
      <c r="CL50" s="26"/>
      <c r="CM50" s="26"/>
      <c r="CN50" s="26"/>
      <c r="CO50" s="26"/>
      <c r="CP50" s="26">
        <v>250</v>
      </c>
      <c r="CQ50" s="26"/>
      <c r="CR50" s="26"/>
      <c r="CS50" s="26"/>
      <c r="CT50" s="26"/>
      <c r="CU50" s="26"/>
      <c r="CV50" s="26"/>
      <c r="CW50" s="26"/>
      <c r="CX50" s="26">
        <v>38</v>
      </c>
      <c r="CY50" s="26"/>
      <c r="CZ50" s="26"/>
      <c r="DA50" s="26"/>
      <c r="DB50" s="26"/>
      <c r="DC50" s="26"/>
      <c r="DD50" s="26"/>
      <c r="DE50" s="26"/>
      <c r="DF50" s="26">
        <v>5000</v>
      </c>
      <c r="DG50" s="26"/>
      <c r="DH50" s="26"/>
      <c r="DI50" s="26"/>
      <c r="DJ50" s="26"/>
      <c r="DK50" s="26"/>
      <c r="DL50" s="26"/>
      <c r="DM50" s="26"/>
      <c r="DN50" s="26">
        <v>2000000</v>
      </c>
      <c r="DO50" s="26"/>
      <c r="DP50" s="26"/>
      <c r="DQ50" s="26"/>
      <c r="DR50" s="26"/>
      <c r="DS50" s="26"/>
      <c r="DT50" s="26"/>
      <c r="DU50" s="26"/>
      <c r="DX50" s="21" t="s">
        <v>84</v>
      </c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5">
        <f>IF(EN49=0,0,EN47/EN49)</f>
        <v>0.73333333333333339</v>
      </c>
      <c r="EO50" s="25"/>
      <c r="EP50" s="25"/>
      <c r="EQ50" s="25"/>
      <c r="ER50" s="25"/>
      <c r="ES50" s="25"/>
      <c r="ET50" s="25"/>
      <c r="EU50" s="25"/>
      <c r="EV50" s="25">
        <f>IF(EV49=0,0,EV47/EV49)</f>
        <v>0.66936752645502651</v>
      </c>
      <c r="EW50" s="25"/>
      <c r="EX50" s="25"/>
      <c r="EY50" s="25"/>
      <c r="EZ50" s="25"/>
      <c r="FA50" s="25"/>
      <c r="FB50" s="25"/>
      <c r="FC50" s="25"/>
      <c r="FD50" s="25">
        <f>IF(FD49=0,0,FD47/FD49)</f>
        <v>0.5771818948412698</v>
      </c>
      <c r="FE50" s="25"/>
      <c r="FF50" s="25"/>
      <c r="FG50" s="25"/>
      <c r="FH50" s="25"/>
      <c r="FI50" s="25"/>
      <c r="FJ50" s="25"/>
      <c r="FK50" s="25"/>
      <c r="FL50" s="25">
        <f>IF(FL49=0,0,FL47/FL49)</f>
        <v>0.66428571428571426</v>
      </c>
      <c r="FM50" s="25"/>
      <c r="FN50" s="25"/>
      <c r="FO50" s="25"/>
      <c r="FP50" s="25"/>
      <c r="FQ50" s="25"/>
      <c r="FR50" s="25"/>
      <c r="FS50" s="25"/>
      <c r="FT50" s="25">
        <f>IF(FT49=0,0,FT47/FT49)</f>
        <v>0.75670759423107159</v>
      </c>
      <c r="FU50" s="25"/>
      <c r="FV50" s="25"/>
      <c r="FW50" s="25"/>
      <c r="FX50" s="25"/>
      <c r="FY50" s="25"/>
      <c r="FZ50" s="25"/>
      <c r="GA50" s="25"/>
      <c r="GB50" s="25">
        <f>IF(GB49=0,0,GB47/GB49)</f>
        <v>0.71004690208340415</v>
      </c>
      <c r="GC50" s="25"/>
      <c r="GD50" s="25"/>
      <c r="GE50" s="25"/>
      <c r="GF50" s="25"/>
      <c r="GG50" s="25"/>
      <c r="GH50" s="25"/>
      <c r="GI50" s="25"/>
      <c r="GJ50" s="25">
        <f>IF(GJ49=0,0,GJ47/GJ49)</f>
        <v>0</v>
      </c>
      <c r="GK50" s="25"/>
      <c r="GL50" s="25"/>
      <c r="GM50" s="25"/>
      <c r="GN50" s="25"/>
      <c r="GO50" s="25"/>
      <c r="GP50" s="25"/>
      <c r="GQ50" s="25"/>
      <c r="GR50" s="25">
        <f>IF(GR49=0,0,GR47/GR49)</f>
        <v>0.67118729002436883</v>
      </c>
      <c r="GS50" s="25"/>
      <c r="GT50" s="25"/>
      <c r="GU50" s="25"/>
      <c r="GV50" s="25"/>
      <c r="GW50" s="25"/>
      <c r="GX50" s="25"/>
      <c r="GY50" s="25"/>
    </row>
    <row r="51" spans="1:207" ht="25.2" x14ac:dyDescent="0.35">
      <c r="A51" s="21" t="s">
        <v>128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6">
        <v>22102</v>
      </c>
      <c r="M51" s="26"/>
      <c r="N51" s="26"/>
      <c r="O51" s="26"/>
      <c r="P51" s="26"/>
      <c r="Q51" s="26"/>
      <c r="R51" s="26"/>
      <c r="S51" s="26"/>
      <c r="T51" s="26">
        <v>269</v>
      </c>
      <c r="U51" s="26"/>
      <c r="V51" s="26"/>
      <c r="W51" s="26"/>
      <c r="X51" s="26"/>
      <c r="Y51" s="26"/>
      <c r="Z51" s="26"/>
      <c r="AA51" s="26"/>
      <c r="AB51" s="26">
        <v>24</v>
      </c>
      <c r="AC51" s="26"/>
      <c r="AD51" s="26"/>
      <c r="AE51" s="26"/>
      <c r="AF51" s="26"/>
      <c r="AG51" s="26"/>
      <c r="AH51" s="26"/>
      <c r="AI51" s="26"/>
      <c r="AJ51" s="26">
        <v>2060</v>
      </c>
      <c r="AK51" s="26"/>
      <c r="AL51" s="26"/>
      <c r="AM51" s="26"/>
      <c r="AN51" s="26"/>
      <c r="AO51" s="26"/>
      <c r="AP51" s="26"/>
      <c r="AQ51" s="26"/>
      <c r="AR51" s="26">
        <v>765799</v>
      </c>
      <c r="AS51" s="26"/>
      <c r="AT51" s="26"/>
      <c r="AU51" s="26"/>
      <c r="AV51" s="26"/>
      <c r="AW51" s="26"/>
      <c r="AX51" s="26"/>
      <c r="AY51" s="26"/>
      <c r="BB51" s="21" t="s">
        <v>36</v>
      </c>
      <c r="BC51" s="21"/>
      <c r="BD51" s="21"/>
      <c r="BE51" s="21"/>
      <c r="BF51" s="21"/>
      <c r="BG51" s="21"/>
      <c r="BH51" s="21"/>
      <c r="BI51" s="21"/>
      <c r="BJ51" s="21" t="s">
        <v>72</v>
      </c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6">
        <v>3128</v>
      </c>
      <c r="CA51" s="26"/>
      <c r="CB51" s="26"/>
      <c r="CC51" s="26"/>
      <c r="CD51" s="26"/>
      <c r="CE51" s="26"/>
      <c r="CF51" s="26"/>
      <c r="CG51" s="26"/>
      <c r="CH51" s="26">
        <v>74</v>
      </c>
      <c r="CI51" s="26"/>
      <c r="CJ51" s="26"/>
      <c r="CK51" s="26"/>
      <c r="CL51" s="26"/>
      <c r="CM51" s="26"/>
      <c r="CN51" s="26"/>
      <c r="CO51" s="26"/>
      <c r="CP51" s="26">
        <v>330</v>
      </c>
      <c r="CQ51" s="26"/>
      <c r="CR51" s="26"/>
      <c r="CS51" s="26"/>
      <c r="CT51" s="26"/>
      <c r="CU51" s="26"/>
      <c r="CV51" s="26"/>
      <c r="CW51" s="26"/>
      <c r="CX51" s="26">
        <v>30</v>
      </c>
      <c r="CY51" s="26"/>
      <c r="CZ51" s="26"/>
      <c r="DA51" s="26"/>
      <c r="DB51" s="26"/>
      <c r="DC51" s="26"/>
      <c r="DD51" s="26"/>
      <c r="DE51" s="26"/>
      <c r="DF51" s="26">
        <v>2433</v>
      </c>
      <c r="DG51" s="26"/>
      <c r="DH51" s="26"/>
      <c r="DI51" s="26"/>
      <c r="DJ51" s="26"/>
      <c r="DK51" s="26"/>
      <c r="DL51" s="26"/>
      <c r="DM51" s="26"/>
      <c r="DN51" s="26">
        <v>737273</v>
      </c>
      <c r="DO51" s="26"/>
      <c r="DP51" s="26"/>
      <c r="DQ51" s="26"/>
      <c r="DR51" s="26"/>
      <c r="DS51" s="26"/>
      <c r="DT51" s="26"/>
      <c r="DU51" s="26"/>
    </row>
    <row r="52" spans="1:207" ht="25.2" x14ac:dyDescent="0.35">
      <c r="A52" s="21" t="s">
        <v>77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6">
        <v>20867</v>
      </c>
      <c r="M52" s="26"/>
      <c r="N52" s="26"/>
      <c r="O52" s="26"/>
      <c r="P52" s="26"/>
      <c r="Q52" s="26"/>
      <c r="R52" s="26"/>
      <c r="S52" s="26"/>
      <c r="T52" s="26">
        <v>330</v>
      </c>
      <c r="U52" s="26"/>
      <c r="V52" s="26"/>
      <c r="W52" s="26"/>
      <c r="X52" s="26"/>
      <c r="Y52" s="26"/>
      <c r="Z52" s="26"/>
      <c r="AA52" s="26"/>
      <c r="AB52" s="26">
        <v>30</v>
      </c>
      <c r="AC52" s="26"/>
      <c r="AD52" s="26"/>
      <c r="AE52" s="26"/>
      <c r="AF52" s="26"/>
      <c r="AG52" s="26"/>
      <c r="AH52" s="26"/>
      <c r="AI52" s="26"/>
      <c r="AJ52" s="26">
        <v>1436</v>
      </c>
      <c r="AK52" s="26"/>
      <c r="AL52" s="26"/>
      <c r="AM52" s="26"/>
      <c r="AN52" s="26"/>
      <c r="AO52" s="26"/>
      <c r="AP52" s="26"/>
      <c r="AQ52" s="26"/>
      <c r="AR52" s="26">
        <v>435152</v>
      </c>
      <c r="AS52" s="26"/>
      <c r="AT52" s="26"/>
      <c r="AU52" s="26"/>
      <c r="AV52" s="26"/>
      <c r="AW52" s="26"/>
      <c r="AX52" s="26"/>
      <c r="AY52" s="26"/>
      <c r="BB52" s="21" t="s">
        <v>36</v>
      </c>
      <c r="BC52" s="21"/>
      <c r="BD52" s="21"/>
      <c r="BE52" s="21"/>
      <c r="BF52" s="21"/>
      <c r="BG52" s="21"/>
      <c r="BH52" s="21"/>
      <c r="BI52" s="21"/>
      <c r="BJ52" s="21" t="s">
        <v>73</v>
      </c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6">
        <v>3751</v>
      </c>
      <c r="CA52" s="26"/>
      <c r="CB52" s="26"/>
      <c r="CC52" s="26"/>
      <c r="CD52" s="26"/>
      <c r="CE52" s="26"/>
      <c r="CF52" s="26"/>
      <c r="CG52" s="26"/>
      <c r="CH52" s="26">
        <v>75</v>
      </c>
      <c r="CI52" s="26"/>
      <c r="CJ52" s="26"/>
      <c r="CK52" s="26"/>
      <c r="CL52" s="26"/>
      <c r="CM52" s="26"/>
      <c r="CN52" s="26"/>
      <c r="CO52" s="26"/>
      <c r="CP52" s="26">
        <v>330</v>
      </c>
      <c r="CQ52" s="26"/>
      <c r="CR52" s="26"/>
      <c r="CS52" s="26"/>
      <c r="CT52" s="26"/>
      <c r="CU52" s="26"/>
      <c r="CV52" s="26"/>
      <c r="CW52" s="26"/>
      <c r="CX52" s="26">
        <v>30</v>
      </c>
      <c r="CY52" s="26"/>
      <c r="CZ52" s="26"/>
      <c r="DA52" s="26"/>
      <c r="DB52" s="26"/>
      <c r="DC52" s="26"/>
      <c r="DD52" s="26"/>
      <c r="DE52" s="26"/>
      <c r="DF52" s="26">
        <v>2181</v>
      </c>
      <c r="DG52" s="26"/>
      <c r="DH52" s="26"/>
      <c r="DI52" s="26"/>
      <c r="DJ52" s="26"/>
      <c r="DK52" s="26"/>
      <c r="DL52" s="26"/>
      <c r="DM52" s="26"/>
      <c r="DN52" s="26">
        <v>660909</v>
      </c>
      <c r="DO52" s="26"/>
      <c r="DP52" s="26"/>
      <c r="DQ52" s="26"/>
      <c r="DR52" s="26"/>
      <c r="DS52" s="26"/>
      <c r="DT52" s="26"/>
      <c r="DU52" s="26"/>
      <c r="DX52" s="21" t="s">
        <v>86</v>
      </c>
      <c r="DY52" s="21" t="s">
        <v>86</v>
      </c>
      <c r="DZ52" s="21" t="s">
        <v>86</v>
      </c>
      <c r="EA52" s="21" t="s">
        <v>86</v>
      </c>
      <c r="EB52" s="21" t="s">
        <v>86</v>
      </c>
      <c r="EC52" s="21" t="s">
        <v>86</v>
      </c>
      <c r="ED52" s="21" t="s">
        <v>86</v>
      </c>
      <c r="EE52" s="21" t="s">
        <v>86</v>
      </c>
      <c r="EF52" s="21" t="s">
        <v>86</v>
      </c>
      <c r="EG52" s="21" t="s">
        <v>86</v>
      </c>
      <c r="EH52" s="21" t="s">
        <v>86</v>
      </c>
      <c r="EI52" s="21" t="s">
        <v>86</v>
      </c>
      <c r="EJ52" s="21" t="s">
        <v>86</v>
      </c>
      <c r="EK52" s="21" t="s">
        <v>86</v>
      </c>
      <c r="EL52" s="21" t="s">
        <v>86</v>
      </c>
      <c r="EM52" s="21" t="s">
        <v>86</v>
      </c>
      <c r="EN52" s="21" t="s">
        <v>23</v>
      </c>
      <c r="EO52" s="21"/>
      <c r="EP52" s="21"/>
      <c r="EQ52" s="21"/>
      <c r="ER52" s="21"/>
      <c r="ES52" s="21"/>
      <c r="ET52" s="21"/>
      <c r="EU52" s="21"/>
      <c r="EV52" s="21" t="s">
        <v>29</v>
      </c>
      <c r="EW52" s="21"/>
      <c r="EX52" s="21"/>
      <c r="EY52" s="21"/>
      <c r="EZ52" s="21"/>
      <c r="FA52" s="21"/>
      <c r="FB52" s="21"/>
      <c r="FC52" s="21"/>
      <c r="FD52" s="21" t="s">
        <v>36</v>
      </c>
      <c r="FE52" s="21"/>
      <c r="FF52" s="21"/>
      <c r="FG52" s="21"/>
      <c r="FH52" s="21"/>
      <c r="FI52" s="21"/>
      <c r="FJ52" s="21"/>
      <c r="FK52" s="21"/>
      <c r="FL52" s="21" t="s">
        <v>41</v>
      </c>
      <c r="FM52" s="21"/>
      <c r="FN52" s="21"/>
      <c r="FO52" s="21"/>
      <c r="FP52" s="21"/>
      <c r="FQ52" s="21"/>
      <c r="FR52" s="21"/>
      <c r="FS52" s="21"/>
      <c r="FT52" s="21" t="s">
        <v>50</v>
      </c>
      <c r="FU52" s="21"/>
      <c r="FV52" s="21"/>
      <c r="FW52" s="21"/>
      <c r="FX52" s="21"/>
      <c r="FY52" s="21"/>
      <c r="FZ52" s="21"/>
      <c r="GA52" s="21"/>
      <c r="GB52" s="21" t="s">
        <v>53</v>
      </c>
      <c r="GC52" s="21"/>
      <c r="GD52" s="21"/>
      <c r="GE52" s="21"/>
      <c r="GF52" s="21"/>
      <c r="GG52" s="21"/>
      <c r="GH52" s="21"/>
      <c r="GI52" s="21"/>
      <c r="GJ52" s="21" t="s">
        <v>31</v>
      </c>
      <c r="GK52" s="21"/>
      <c r="GL52" s="21"/>
      <c r="GM52" s="21"/>
      <c r="GN52" s="21"/>
      <c r="GO52" s="21"/>
      <c r="GP52" s="21"/>
      <c r="GQ52" s="21"/>
      <c r="GR52" s="21" t="s">
        <v>69</v>
      </c>
      <c r="GS52" s="21"/>
      <c r="GT52" s="21"/>
      <c r="GU52" s="21"/>
      <c r="GV52" s="21"/>
      <c r="GW52" s="21"/>
      <c r="GX52" s="21"/>
      <c r="GY52" s="21"/>
    </row>
    <row r="53" spans="1:207" ht="25.2" x14ac:dyDescent="0.35">
      <c r="A53" s="21" t="s">
        <v>71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6">
        <v>3617</v>
      </c>
      <c r="M53" s="26"/>
      <c r="N53" s="26"/>
      <c r="O53" s="26"/>
      <c r="P53" s="26"/>
      <c r="Q53" s="26"/>
      <c r="R53" s="26"/>
      <c r="S53" s="26"/>
      <c r="T53" s="26">
        <v>175</v>
      </c>
      <c r="U53" s="26"/>
      <c r="V53" s="26"/>
      <c r="W53" s="26"/>
      <c r="X53" s="26"/>
      <c r="Y53" s="26"/>
      <c r="Z53" s="26"/>
      <c r="AA53" s="26"/>
      <c r="AB53" s="26">
        <v>38</v>
      </c>
      <c r="AC53" s="26"/>
      <c r="AD53" s="26"/>
      <c r="AE53" s="26"/>
      <c r="AF53" s="26"/>
      <c r="AG53" s="26"/>
      <c r="AH53" s="26"/>
      <c r="AI53" s="26"/>
      <c r="AJ53" s="26">
        <v>12936</v>
      </c>
      <c r="AK53" s="26"/>
      <c r="AL53" s="26"/>
      <c r="AM53" s="26"/>
      <c r="AN53" s="26"/>
      <c r="AO53" s="26"/>
      <c r="AP53" s="26"/>
      <c r="AQ53" s="26"/>
      <c r="AR53" s="26">
        <v>7391994</v>
      </c>
      <c r="AS53" s="26"/>
      <c r="AT53" s="26"/>
      <c r="AU53" s="26"/>
      <c r="AV53" s="26"/>
      <c r="AW53" s="26"/>
      <c r="AX53" s="26"/>
      <c r="AY53" s="26"/>
      <c r="BB53" s="21" t="s">
        <v>36</v>
      </c>
      <c r="BC53" s="21"/>
      <c r="BD53" s="21"/>
      <c r="BE53" s="21"/>
      <c r="BF53" s="21"/>
      <c r="BG53" s="21"/>
      <c r="BH53" s="21"/>
      <c r="BI53" s="21"/>
      <c r="BJ53" s="21" t="s">
        <v>127</v>
      </c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6">
        <v>9150</v>
      </c>
      <c r="CA53" s="26"/>
      <c r="CB53" s="26"/>
      <c r="CC53" s="26"/>
      <c r="CD53" s="26"/>
      <c r="CE53" s="26"/>
      <c r="CF53" s="26"/>
      <c r="CG53" s="26"/>
      <c r="CH53" s="26">
        <v>90</v>
      </c>
      <c r="CI53" s="26"/>
      <c r="CJ53" s="26"/>
      <c r="CK53" s="26"/>
      <c r="CL53" s="26"/>
      <c r="CM53" s="26"/>
      <c r="CN53" s="26"/>
      <c r="CO53" s="26"/>
      <c r="CP53" s="26">
        <v>250</v>
      </c>
      <c r="CQ53" s="26"/>
      <c r="CR53" s="26"/>
      <c r="CS53" s="26"/>
      <c r="CT53" s="26"/>
      <c r="CU53" s="26"/>
      <c r="CV53" s="26"/>
      <c r="CW53" s="26"/>
      <c r="CX53" s="26">
        <v>38</v>
      </c>
      <c r="CY53" s="26"/>
      <c r="CZ53" s="26"/>
      <c r="DA53" s="26"/>
      <c r="DB53" s="26"/>
      <c r="DC53" s="26"/>
      <c r="DD53" s="26"/>
      <c r="DE53" s="26"/>
      <c r="DF53" s="26">
        <v>2959</v>
      </c>
      <c r="DG53" s="26"/>
      <c r="DH53" s="26"/>
      <c r="DI53" s="26"/>
      <c r="DJ53" s="26"/>
      <c r="DK53" s="26"/>
      <c r="DL53" s="26"/>
      <c r="DM53" s="26"/>
      <c r="DN53" s="26">
        <v>1183600</v>
      </c>
      <c r="DO53" s="26"/>
      <c r="DP53" s="26"/>
      <c r="DQ53" s="26"/>
      <c r="DR53" s="26"/>
      <c r="DS53" s="26"/>
      <c r="DT53" s="26"/>
      <c r="DU53" s="26"/>
      <c r="DX53" s="21" t="s">
        <v>86</v>
      </c>
      <c r="DY53" s="21" t="s">
        <v>86</v>
      </c>
      <c r="DZ53" s="21" t="s">
        <v>86</v>
      </c>
      <c r="EA53" s="21" t="s">
        <v>86</v>
      </c>
      <c r="EB53" s="21" t="s">
        <v>86</v>
      </c>
      <c r="EC53" s="21" t="s">
        <v>86</v>
      </c>
      <c r="ED53" s="21" t="s">
        <v>86</v>
      </c>
      <c r="EE53" s="21" t="s">
        <v>86</v>
      </c>
      <c r="EF53" s="21" t="s">
        <v>86</v>
      </c>
      <c r="EG53" s="21" t="s">
        <v>86</v>
      </c>
      <c r="EH53" s="21" t="s">
        <v>86</v>
      </c>
      <c r="EI53" s="21" t="s">
        <v>86</v>
      </c>
      <c r="EJ53" s="21" t="s">
        <v>86</v>
      </c>
      <c r="EK53" s="21" t="s">
        <v>86</v>
      </c>
      <c r="EL53" s="21" t="s">
        <v>86</v>
      </c>
      <c r="EM53" s="21" t="s">
        <v>86</v>
      </c>
      <c r="EN53" s="21" t="s">
        <v>88</v>
      </c>
      <c r="EO53" s="21"/>
      <c r="EP53" s="21"/>
      <c r="EQ53" s="21" t="s">
        <v>89</v>
      </c>
      <c r="ER53" s="21"/>
      <c r="ES53" s="21" t="s">
        <v>84</v>
      </c>
      <c r="ET53" s="21"/>
      <c r="EU53" s="21"/>
      <c r="EV53" s="21" t="s">
        <v>88</v>
      </c>
      <c r="EW53" s="21"/>
      <c r="EX53" s="21"/>
      <c r="EY53" s="21" t="s">
        <v>89</v>
      </c>
      <c r="EZ53" s="21"/>
      <c r="FA53" s="21" t="s">
        <v>84</v>
      </c>
      <c r="FB53" s="21"/>
      <c r="FC53" s="21"/>
      <c r="FD53" s="21" t="s">
        <v>88</v>
      </c>
      <c r="FE53" s="21"/>
      <c r="FF53" s="21"/>
      <c r="FG53" s="21" t="s">
        <v>89</v>
      </c>
      <c r="FH53" s="21"/>
      <c r="FI53" s="21" t="s">
        <v>84</v>
      </c>
      <c r="FJ53" s="21"/>
      <c r="FK53" s="21"/>
      <c r="FL53" s="21" t="s">
        <v>88</v>
      </c>
      <c r="FM53" s="21"/>
      <c r="FN53" s="21"/>
      <c r="FO53" s="21" t="s">
        <v>89</v>
      </c>
      <c r="FP53" s="21"/>
      <c r="FQ53" s="21" t="s">
        <v>84</v>
      </c>
      <c r="FR53" s="21"/>
      <c r="FS53" s="21"/>
      <c r="FT53" s="21" t="s">
        <v>88</v>
      </c>
      <c r="FU53" s="21"/>
      <c r="FV53" s="21"/>
      <c r="FW53" s="21" t="s">
        <v>89</v>
      </c>
      <c r="FX53" s="21"/>
      <c r="FY53" s="21" t="s">
        <v>84</v>
      </c>
      <c r="FZ53" s="21"/>
      <c r="GA53" s="21"/>
      <c r="GB53" s="21" t="s">
        <v>88</v>
      </c>
      <c r="GC53" s="21"/>
      <c r="GD53" s="21"/>
      <c r="GE53" s="21" t="s">
        <v>89</v>
      </c>
      <c r="GF53" s="21"/>
      <c r="GG53" s="21" t="s">
        <v>84</v>
      </c>
      <c r="GH53" s="21"/>
      <c r="GI53" s="21"/>
      <c r="GJ53" s="21" t="s">
        <v>88</v>
      </c>
      <c r="GK53" s="21"/>
      <c r="GL53" s="21"/>
      <c r="GM53" s="21" t="s">
        <v>89</v>
      </c>
      <c r="GN53" s="21"/>
      <c r="GO53" s="21" t="s">
        <v>84</v>
      </c>
      <c r="GP53" s="21"/>
      <c r="GQ53" s="21"/>
      <c r="GR53" s="21" t="s">
        <v>88</v>
      </c>
      <c r="GS53" s="21"/>
      <c r="GT53" s="21"/>
      <c r="GU53" s="21" t="s">
        <v>89</v>
      </c>
      <c r="GV53" s="21"/>
      <c r="GW53" s="21" t="s">
        <v>84</v>
      </c>
      <c r="GX53" s="21"/>
      <c r="GY53" s="21"/>
    </row>
    <row r="54" spans="1:207" ht="25.2" x14ac:dyDescent="0.35">
      <c r="A54" s="21" t="s">
        <v>127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6">
        <v>9150</v>
      </c>
      <c r="M54" s="26"/>
      <c r="N54" s="26"/>
      <c r="O54" s="26"/>
      <c r="P54" s="26"/>
      <c r="Q54" s="26"/>
      <c r="R54" s="26"/>
      <c r="S54" s="26"/>
      <c r="T54" s="26">
        <v>250</v>
      </c>
      <c r="U54" s="26"/>
      <c r="V54" s="26"/>
      <c r="W54" s="26"/>
      <c r="X54" s="26"/>
      <c r="Y54" s="26"/>
      <c r="Z54" s="26"/>
      <c r="AA54" s="26"/>
      <c r="AB54" s="26">
        <v>38</v>
      </c>
      <c r="AC54" s="26"/>
      <c r="AD54" s="26"/>
      <c r="AE54" s="26"/>
      <c r="AF54" s="26"/>
      <c r="AG54" s="26"/>
      <c r="AH54" s="26"/>
      <c r="AI54" s="26"/>
      <c r="AJ54" s="26">
        <v>2959</v>
      </c>
      <c r="AK54" s="26"/>
      <c r="AL54" s="26"/>
      <c r="AM54" s="26"/>
      <c r="AN54" s="26"/>
      <c r="AO54" s="26"/>
      <c r="AP54" s="26"/>
      <c r="AQ54" s="26"/>
      <c r="AR54" s="26">
        <v>1183600</v>
      </c>
      <c r="AS54" s="26"/>
      <c r="AT54" s="26"/>
      <c r="AU54" s="26"/>
      <c r="AV54" s="26"/>
      <c r="AW54" s="26"/>
      <c r="AX54" s="26"/>
      <c r="AY54" s="26"/>
      <c r="BB54" s="21" t="s">
        <v>41</v>
      </c>
      <c r="BC54" s="21"/>
      <c r="BD54" s="21"/>
      <c r="BE54" s="21"/>
      <c r="BF54" s="21"/>
      <c r="BG54" s="21"/>
      <c r="BH54" s="21"/>
      <c r="BI54" s="21"/>
      <c r="BJ54" s="21" t="s">
        <v>122</v>
      </c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6">
        <v>7584</v>
      </c>
      <c r="CA54" s="26"/>
      <c r="CB54" s="26"/>
      <c r="CC54" s="26"/>
      <c r="CD54" s="26"/>
      <c r="CE54" s="26"/>
      <c r="CF54" s="26"/>
      <c r="CG54" s="26"/>
      <c r="CH54" s="26">
        <v>90</v>
      </c>
      <c r="CI54" s="26"/>
      <c r="CJ54" s="26"/>
      <c r="CK54" s="26"/>
      <c r="CL54" s="26"/>
      <c r="CM54" s="26"/>
      <c r="CN54" s="26"/>
      <c r="CO54" s="26"/>
      <c r="CP54" s="26">
        <v>269</v>
      </c>
      <c r="CQ54" s="26"/>
      <c r="CR54" s="26"/>
      <c r="CS54" s="26"/>
      <c r="CT54" s="26"/>
      <c r="CU54" s="26"/>
      <c r="CV54" s="26"/>
      <c r="CW54" s="26"/>
      <c r="CX54" s="26">
        <v>6</v>
      </c>
      <c r="CY54" s="26"/>
      <c r="CZ54" s="26"/>
      <c r="DA54" s="26"/>
      <c r="DB54" s="26"/>
      <c r="DC54" s="26"/>
      <c r="DD54" s="26"/>
      <c r="DE54" s="26"/>
      <c r="DF54" s="26">
        <v>5953</v>
      </c>
      <c r="DG54" s="26"/>
      <c r="DH54" s="26"/>
      <c r="DI54" s="26"/>
      <c r="DJ54" s="26"/>
      <c r="DK54" s="26"/>
      <c r="DL54" s="26"/>
      <c r="DM54" s="26"/>
      <c r="DN54" s="26">
        <v>2213011</v>
      </c>
      <c r="DO54" s="26"/>
      <c r="DP54" s="26"/>
      <c r="DQ54" s="26"/>
      <c r="DR54" s="26"/>
      <c r="DS54" s="26"/>
      <c r="DT54" s="26"/>
      <c r="DU54" s="26"/>
      <c r="DX54" s="20">
        <v>46279</v>
      </c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19">
        <v>18.48</v>
      </c>
      <c r="EO54" s="18"/>
      <c r="EP54" s="18"/>
      <c r="EQ54" s="19">
        <v>24</v>
      </c>
      <c r="ER54" s="18"/>
      <c r="ES54" s="17">
        <f t="shared" ref="ES54:ES61" si="1">IF(EQ54=0,0,EN54/EQ54)</f>
        <v>0.77</v>
      </c>
      <c r="ET54" s="18"/>
      <c r="EU54" s="18"/>
      <c r="EV54" s="19">
        <v>15.501430555555554</v>
      </c>
      <c r="EW54" s="18"/>
      <c r="EX54" s="18"/>
      <c r="EY54" s="19">
        <v>24</v>
      </c>
      <c r="EZ54" s="18"/>
      <c r="FA54" s="17">
        <f t="shared" ref="FA54:FA61" si="2">IF(EY54=0,0,EV54/EY54)</f>
        <v>0.64589293981481477</v>
      </c>
      <c r="FB54" s="18"/>
      <c r="FC54" s="18"/>
      <c r="FD54" s="19">
        <v>10.456391666666667</v>
      </c>
      <c r="FE54" s="18"/>
      <c r="FF54" s="18"/>
      <c r="FG54" s="19">
        <v>24</v>
      </c>
      <c r="FH54" s="18"/>
      <c r="FI54" s="17">
        <f t="shared" ref="FI54:FI61" si="3">IF(FG54=0,0,FD54/FG54)</f>
        <v>0.43568298611111111</v>
      </c>
      <c r="FJ54" s="18"/>
      <c r="FK54" s="18"/>
      <c r="FL54" s="19">
        <v>16.559999999999999</v>
      </c>
      <c r="FM54" s="18"/>
      <c r="FN54" s="18"/>
      <c r="FO54" s="19">
        <v>24</v>
      </c>
      <c r="FP54" s="18"/>
      <c r="FQ54" s="17">
        <f t="shared" ref="FQ54:FQ61" si="4">IF(FO54=0,0,FL54/FO54)</f>
        <v>0.69</v>
      </c>
      <c r="FR54" s="18"/>
      <c r="FS54" s="18"/>
      <c r="FT54" s="19">
        <v>9.4115500000000001</v>
      </c>
      <c r="FU54" s="18"/>
      <c r="FV54" s="18"/>
      <c r="FW54" s="19">
        <v>12.477499999999999</v>
      </c>
      <c r="FX54" s="18"/>
      <c r="FY54" s="17">
        <f t="shared" ref="FY54:FY61" si="5">IF(FW54=0,0,FT54/FW54)</f>
        <v>0.75428170707273101</v>
      </c>
      <c r="FZ54" s="18"/>
      <c r="GA54" s="18"/>
      <c r="GB54" s="19">
        <v>10.78</v>
      </c>
      <c r="GC54" s="18"/>
      <c r="GD54" s="18"/>
      <c r="GE54" s="19">
        <v>16</v>
      </c>
      <c r="GF54" s="18"/>
      <c r="GG54" s="17">
        <f t="shared" ref="GG54:GG61" si="6">IF(GE54=0,0,GB54/GE54)</f>
        <v>0.67374999999999996</v>
      </c>
      <c r="GH54" s="18"/>
      <c r="GI54" s="18"/>
      <c r="GJ54" s="19">
        <v>0</v>
      </c>
      <c r="GK54" s="18"/>
      <c r="GL54" s="18"/>
      <c r="GM54" s="19">
        <v>0</v>
      </c>
      <c r="GN54" s="18"/>
      <c r="GO54" s="17">
        <f t="shared" ref="GO54:GO61" si="7">IF(GM54=0,0,GJ54/GM54)</f>
        <v>0</v>
      </c>
      <c r="GP54" s="18"/>
      <c r="GQ54" s="18"/>
      <c r="GR54" s="19">
        <v>81.189369201660156</v>
      </c>
      <c r="GS54" s="18"/>
      <c r="GT54" s="18"/>
      <c r="GU54" s="19">
        <v>124.47750091552734</v>
      </c>
      <c r="GV54" s="18"/>
      <c r="GW54" s="17">
        <f t="shared" ref="GW54:GW61" si="8">IF(GU54=0,0,GR54/GU54)</f>
        <v>0.65224131754345482</v>
      </c>
      <c r="GX54" s="18"/>
      <c r="GY54" s="18"/>
    </row>
    <row r="55" spans="1:207" ht="25.2" x14ac:dyDescent="0.35">
      <c r="A55" s="21" t="s">
        <v>179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6">
        <v>23223</v>
      </c>
      <c r="M55" s="26"/>
      <c r="N55" s="26"/>
      <c r="O55" s="26"/>
      <c r="P55" s="26"/>
      <c r="Q55" s="26"/>
      <c r="R55" s="26"/>
      <c r="S55" s="26"/>
      <c r="T55" s="26">
        <v>330</v>
      </c>
      <c r="U55" s="26"/>
      <c r="V55" s="26"/>
      <c r="W55" s="26"/>
      <c r="X55" s="26"/>
      <c r="Y55" s="26"/>
      <c r="Z55" s="26"/>
      <c r="AA55" s="26"/>
      <c r="AB55" s="26">
        <v>30</v>
      </c>
      <c r="AC55" s="26"/>
      <c r="AD55" s="26"/>
      <c r="AE55" s="26"/>
      <c r="AF55" s="26"/>
      <c r="AG55" s="26"/>
      <c r="AH55" s="26"/>
      <c r="AI55" s="26"/>
      <c r="AJ55" s="26">
        <v>669</v>
      </c>
      <c r="AK55" s="26"/>
      <c r="AL55" s="26"/>
      <c r="AM55" s="26"/>
      <c r="AN55" s="26"/>
      <c r="AO55" s="26"/>
      <c r="AP55" s="26"/>
      <c r="AQ55" s="26"/>
      <c r="AR55" s="26">
        <v>202728</v>
      </c>
      <c r="AS55" s="26"/>
      <c r="AT55" s="26"/>
      <c r="AU55" s="26"/>
      <c r="AV55" s="26"/>
      <c r="AW55" s="26"/>
      <c r="AX55" s="26"/>
      <c r="AY55" s="26"/>
      <c r="BB55" s="21" t="s">
        <v>41</v>
      </c>
      <c r="BC55" s="21"/>
      <c r="BD55" s="21"/>
      <c r="BE55" s="21"/>
      <c r="BF55" s="21"/>
      <c r="BG55" s="21"/>
      <c r="BH55" s="21"/>
      <c r="BI55" s="21"/>
      <c r="BJ55" s="21" t="s">
        <v>124</v>
      </c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6">
        <v>9909</v>
      </c>
      <c r="CA55" s="26"/>
      <c r="CB55" s="26"/>
      <c r="CC55" s="26"/>
      <c r="CD55" s="26"/>
      <c r="CE55" s="26"/>
      <c r="CF55" s="26"/>
      <c r="CG55" s="26"/>
      <c r="CH55" s="26">
        <v>90</v>
      </c>
      <c r="CI55" s="26"/>
      <c r="CJ55" s="26"/>
      <c r="CK55" s="26"/>
      <c r="CL55" s="26"/>
      <c r="CM55" s="26"/>
      <c r="CN55" s="26"/>
      <c r="CO55" s="26"/>
      <c r="CP55" s="26">
        <v>269</v>
      </c>
      <c r="CQ55" s="26"/>
      <c r="CR55" s="26"/>
      <c r="CS55" s="26"/>
      <c r="CT55" s="26"/>
      <c r="CU55" s="26"/>
      <c r="CV55" s="26"/>
      <c r="CW55" s="26"/>
      <c r="CX55" s="26">
        <v>6</v>
      </c>
      <c r="CY55" s="26"/>
      <c r="CZ55" s="26"/>
      <c r="DA55" s="26"/>
      <c r="DB55" s="26"/>
      <c r="DC55" s="26"/>
      <c r="DD55" s="26"/>
      <c r="DE55" s="26"/>
      <c r="DF55" s="26">
        <v>10000</v>
      </c>
      <c r="DG55" s="26"/>
      <c r="DH55" s="26"/>
      <c r="DI55" s="26"/>
      <c r="DJ55" s="26"/>
      <c r="DK55" s="26"/>
      <c r="DL55" s="26"/>
      <c r="DM55" s="26"/>
      <c r="DN55" s="26">
        <v>3717473</v>
      </c>
      <c r="DO55" s="26"/>
      <c r="DP55" s="26"/>
      <c r="DQ55" s="26"/>
      <c r="DR55" s="26"/>
      <c r="DS55" s="26"/>
      <c r="DT55" s="26"/>
      <c r="DU55" s="26"/>
      <c r="DX55" s="20">
        <v>46280</v>
      </c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19">
        <v>18.48</v>
      </c>
      <c r="EO55" s="18"/>
      <c r="EP55" s="18"/>
      <c r="EQ55" s="19">
        <v>24</v>
      </c>
      <c r="ER55" s="18"/>
      <c r="ES55" s="17">
        <f t="shared" si="1"/>
        <v>0.77</v>
      </c>
      <c r="ET55" s="18"/>
      <c r="EU55" s="18"/>
      <c r="EV55" s="19">
        <v>17.760000000000002</v>
      </c>
      <c r="EW55" s="18"/>
      <c r="EX55" s="18"/>
      <c r="EY55" s="19">
        <v>24</v>
      </c>
      <c r="EZ55" s="18"/>
      <c r="FA55" s="17">
        <f t="shared" si="2"/>
        <v>0.7400000000000001</v>
      </c>
      <c r="FB55" s="18"/>
      <c r="FC55" s="18"/>
      <c r="FD55" s="19">
        <v>16.32</v>
      </c>
      <c r="FE55" s="18"/>
      <c r="FF55" s="18"/>
      <c r="FG55" s="19">
        <v>24</v>
      </c>
      <c r="FH55" s="18"/>
      <c r="FI55" s="17">
        <f t="shared" si="3"/>
        <v>0.68</v>
      </c>
      <c r="FJ55" s="18"/>
      <c r="FK55" s="18"/>
      <c r="FL55" s="19">
        <v>17.28</v>
      </c>
      <c r="FM55" s="18"/>
      <c r="FN55" s="18"/>
      <c r="FO55" s="19">
        <v>24</v>
      </c>
      <c r="FP55" s="18"/>
      <c r="FQ55" s="17">
        <f t="shared" si="4"/>
        <v>0.72000000000000008</v>
      </c>
      <c r="FR55" s="18"/>
      <c r="FS55" s="18"/>
      <c r="FT55" s="19">
        <v>9.4115500000000001</v>
      </c>
      <c r="FU55" s="18"/>
      <c r="FV55" s="18"/>
      <c r="FW55" s="19">
        <v>12.477499999999999</v>
      </c>
      <c r="FX55" s="18"/>
      <c r="FY55" s="17">
        <f t="shared" si="5"/>
        <v>0.75428170707273101</v>
      </c>
      <c r="FZ55" s="18"/>
      <c r="GA55" s="18"/>
      <c r="GB55" s="19">
        <v>16.940000000000001</v>
      </c>
      <c r="GC55" s="18"/>
      <c r="GD55" s="18"/>
      <c r="GE55" s="19">
        <v>24</v>
      </c>
      <c r="GF55" s="18"/>
      <c r="GG55" s="17">
        <f t="shared" si="6"/>
        <v>0.70583333333333342</v>
      </c>
      <c r="GH55" s="18"/>
      <c r="GI55" s="18"/>
      <c r="GJ55" s="19">
        <v>0</v>
      </c>
      <c r="GK55" s="18"/>
      <c r="GL55" s="18"/>
      <c r="GM55" s="19">
        <v>0</v>
      </c>
      <c r="GN55" s="18"/>
      <c r="GO55" s="17">
        <f t="shared" si="7"/>
        <v>0</v>
      </c>
      <c r="GP55" s="18"/>
      <c r="GQ55" s="18"/>
      <c r="GR55" s="19">
        <v>96.191551208496094</v>
      </c>
      <c r="GS55" s="18"/>
      <c r="GT55" s="18"/>
      <c r="GU55" s="19">
        <v>132.47749328613281</v>
      </c>
      <c r="GV55" s="18"/>
      <c r="GW55" s="17">
        <f t="shared" si="8"/>
        <v>0.72609730771955228</v>
      </c>
      <c r="GX55" s="18"/>
      <c r="GY55" s="18"/>
    </row>
    <row r="56" spans="1:207" ht="25.2" x14ac:dyDescent="0.35">
      <c r="A56" s="21" t="s">
        <v>79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6">
        <v>2512</v>
      </c>
      <c r="M56" s="26"/>
      <c r="N56" s="26"/>
      <c r="O56" s="26"/>
      <c r="P56" s="26"/>
      <c r="Q56" s="26"/>
      <c r="R56" s="26"/>
      <c r="S56" s="26"/>
      <c r="T56" s="26">
        <v>330</v>
      </c>
      <c r="U56" s="26"/>
      <c r="V56" s="26"/>
      <c r="W56" s="26"/>
      <c r="X56" s="26"/>
      <c r="Y56" s="26"/>
      <c r="Z56" s="26"/>
      <c r="AA56" s="26"/>
      <c r="AB56" s="26">
        <v>30</v>
      </c>
      <c r="AC56" s="26"/>
      <c r="AD56" s="26"/>
      <c r="AE56" s="26"/>
      <c r="AF56" s="26"/>
      <c r="AG56" s="26"/>
      <c r="AH56" s="26"/>
      <c r="AI56" s="26"/>
      <c r="AJ56" s="26">
        <v>9000</v>
      </c>
      <c r="AK56" s="26"/>
      <c r="AL56" s="26"/>
      <c r="AM56" s="26"/>
      <c r="AN56" s="26"/>
      <c r="AO56" s="26"/>
      <c r="AP56" s="26"/>
      <c r="AQ56" s="26"/>
      <c r="AR56" s="26">
        <v>2727274</v>
      </c>
      <c r="AS56" s="26"/>
      <c r="AT56" s="26"/>
      <c r="AU56" s="26"/>
      <c r="AV56" s="26"/>
      <c r="AW56" s="26"/>
      <c r="AX56" s="26"/>
      <c r="AY56" s="26"/>
      <c r="BB56" s="21" t="s">
        <v>41</v>
      </c>
      <c r="BC56" s="21"/>
      <c r="BD56" s="21"/>
      <c r="BE56" s="21"/>
      <c r="BF56" s="21"/>
      <c r="BG56" s="21"/>
      <c r="BH56" s="21"/>
      <c r="BI56" s="21"/>
      <c r="BJ56" s="21" t="s">
        <v>128</v>
      </c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6">
        <v>22102</v>
      </c>
      <c r="CA56" s="26"/>
      <c r="CB56" s="26"/>
      <c r="CC56" s="26"/>
      <c r="CD56" s="26"/>
      <c r="CE56" s="26"/>
      <c r="CF56" s="26"/>
      <c r="CG56" s="26"/>
      <c r="CH56" s="26">
        <v>90</v>
      </c>
      <c r="CI56" s="26"/>
      <c r="CJ56" s="26"/>
      <c r="CK56" s="26"/>
      <c r="CL56" s="26"/>
      <c r="CM56" s="26"/>
      <c r="CN56" s="26"/>
      <c r="CO56" s="26"/>
      <c r="CP56" s="26">
        <v>269</v>
      </c>
      <c r="CQ56" s="26"/>
      <c r="CR56" s="26"/>
      <c r="CS56" s="26"/>
      <c r="CT56" s="26"/>
      <c r="CU56" s="26"/>
      <c r="CV56" s="26"/>
      <c r="CW56" s="26"/>
      <c r="CX56" s="26">
        <v>24</v>
      </c>
      <c r="CY56" s="26"/>
      <c r="CZ56" s="26"/>
      <c r="DA56" s="26"/>
      <c r="DB56" s="26"/>
      <c r="DC56" s="26"/>
      <c r="DD56" s="26"/>
      <c r="DE56" s="26"/>
      <c r="DF56" s="26">
        <v>2060</v>
      </c>
      <c r="DG56" s="26"/>
      <c r="DH56" s="26"/>
      <c r="DI56" s="26"/>
      <c r="DJ56" s="26"/>
      <c r="DK56" s="26"/>
      <c r="DL56" s="26"/>
      <c r="DM56" s="26"/>
      <c r="DN56" s="26">
        <v>765799</v>
      </c>
      <c r="DO56" s="26"/>
      <c r="DP56" s="26"/>
      <c r="DQ56" s="26"/>
      <c r="DR56" s="26"/>
      <c r="DS56" s="26"/>
      <c r="DT56" s="26"/>
      <c r="DU56" s="26"/>
      <c r="DX56" s="20">
        <v>46281</v>
      </c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19">
        <v>18.48</v>
      </c>
      <c r="EO56" s="18"/>
      <c r="EP56" s="18"/>
      <c r="EQ56" s="19">
        <v>24</v>
      </c>
      <c r="ER56" s="18"/>
      <c r="ES56" s="17">
        <f t="shared" si="1"/>
        <v>0.77</v>
      </c>
      <c r="ET56" s="18"/>
      <c r="EU56" s="18"/>
      <c r="EV56" s="19">
        <v>16.727083333333333</v>
      </c>
      <c r="EW56" s="18"/>
      <c r="EX56" s="18"/>
      <c r="EY56" s="19">
        <v>23.604166666666664</v>
      </c>
      <c r="EZ56" s="18"/>
      <c r="FA56" s="17">
        <f t="shared" si="2"/>
        <v>0.70864960282436018</v>
      </c>
      <c r="FB56" s="18"/>
      <c r="FC56" s="18"/>
      <c r="FD56" s="19">
        <v>10.88</v>
      </c>
      <c r="FE56" s="18"/>
      <c r="FF56" s="18"/>
      <c r="FG56" s="19">
        <v>24</v>
      </c>
      <c r="FH56" s="18"/>
      <c r="FI56" s="17">
        <f t="shared" si="3"/>
        <v>0.45333333333333337</v>
      </c>
      <c r="FJ56" s="18"/>
      <c r="FK56" s="18"/>
      <c r="FL56" s="19">
        <v>17.28</v>
      </c>
      <c r="FM56" s="18"/>
      <c r="FN56" s="18"/>
      <c r="FO56" s="19">
        <v>24</v>
      </c>
      <c r="FP56" s="18"/>
      <c r="FQ56" s="17">
        <f t="shared" si="4"/>
        <v>0.72000000000000008</v>
      </c>
      <c r="FR56" s="18"/>
      <c r="FS56" s="18"/>
      <c r="FT56" s="19">
        <v>10.588022222222222</v>
      </c>
      <c r="FU56" s="18"/>
      <c r="FV56" s="18"/>
      <c r="FW56" s="19">
        <v>13.912222222222223</v>
      </c>
      <c r="FX56" s="18"/>
      <c r="FY56" s="17">
        <f t="shared" si="5"/>
        <v>0.76105902084498034</v>
      </c>
      <c r="FZ56" s="18"/>
      <c r="GA56" s="18"/>
      <c r="GB56" s="19">
        <v>16.170000000000002</v>
      </c>
      <c r="GC56" s="18"/>
      <c r="GD56" s="18"/>
      <c r="GE56" s="19">
        <v>24</v>
      </c>
      <c r="GF56" s="18"/>
      <c r="GG56" s="17">
        <f t="shared" si="6"/>
        <v>0.67375000000000007</v>
      </c>
      <c r="GH56" s="18"/>
      <c r="GI56" s="18"/>
      <c r="GJ56" s="19">
        <v>0</v>
      </c>
      <c r="GK56" s="18"/>
      <c r="GL56" s="18"/>
      <c r="GM56" s="19">
        <v>0</v>
      </c>
      <c r="GN56" s="18"/>
      <c r="GO56" s="17">
        <f t="shared" si="7"/>
        <v>0</v>
      </c>
      <c r="GP56" s="18"/>
      <c r="GQ56" s="18"/>
      <c r="GR56" s="19">
        <v>90.125106811523438</v>
      </c>
      <c r="GS56" s="18"/>
      <c r="GT56" s="18"/>
      <c r="GU56" s="19">
        <v>133.51638793945313</v>
      </c>
      <c r="GV56" s="18"/>
      <c r="GW56" s="17">
        <f t="shared" si="8"/>
        <v>0.67501157125665556</v>
      </c>
      <c r="GX56" s="18"/>
      <c r="GY56" s="18"/>
    </row>
    <row r="57" spans="1:207" ht="25.2" x14ac:dyDescent="0.35">
      <c r="A57" s="21" t="s">
        <v>152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6">
        <v>21959</v>
      </c>
      <c r="M57" s="26"/>
      <c r="N57" s="26"/>
      <c r="O57" s="26"/>
      <c r="P57" s="26"/>
      <c r="Q57" s="26"/>
      <c r="R57" s="26"/>
      <c r="S57" s="26"/>
      <c r="T57" s="26">
        <v>1500</v>
      </c>
      <c r="U57" s="26"/>
      <c r="V57" s="26"/>
      <c r="W57" s="26"/>
      <c r="X57" s="26"/>
      <c r="Y57" s="26"/>
      <c r="Z57" s="26"/>
      <c r="AA57" s="26"/>
      <c r="AB57" s="26">
        <v>6</v>
      </c>
      <c r="AC57" s="26"/>
      <c r="AD57" s="26"/>
      <c r="AE57" s="26"/>
      <c r="AF57" s="26"/>
      <c r="AG57" s="26"/>
      <c r="AH57" s="26"/>
      <c r="AI57" s="26"/>
      <c r="AJ57" s="26">
        <v>3600</v>
      </c>
      <c r="AK57" s="26"/>
      <c r="AL57" s="26"/>
      <c r="AM57" s="26"/>
      <c r="AN57" s="26"/>
      <c r="AO57" s="26"/>
      <c r="AP57" s="26"/>
      <c r="AQ57" s="26"/>
      <c r="AR57" s="26">
        <v>240001</v>
      </c>
      <c r="AS57" s="26"/>
      <c r="AT57" s="26"/>
      <c r="AU57" s="26"/>
      <c r="AV57" s="26"/>
      <c r="AW57" s="26"/>
      <c r="AX57" s="26"/>
      <c r="AY57" s="26"/>
      <c r="BB57" s="21" t="s">
        <v>50</v>
      </c>
      <c r="BC57" s="21"/>
      <c r="BD57" s="21"/>
      <c r="BE57" s="21"/>
      <c r="BF57" s="21"/>
      <c r="BG57" s="21"/>
      <c r="BH57" s="21"/>
      <c r="BI57" s="21"/>
      <c r="BJ57" s="21" t="s">
        <v>70</v>
      </c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6">
        <v>9494</v>
      </c>
      <c r="CA57" s="26"/>
      <c r="CB57" s="26"/>
      <c r="CC57" s="26"/>
      <c r="CD57" s="26"/>
      <c r="CE57" s="26"/>
      <c r="CF57" s="26"/>
      <c r="CG57" s="26"/>
      <c r="CH57" s="26">
        <v>90</v>
      </c>
      <c r="CI57" s="26"/>
      <c r="CJ57" s="26"/>
      <c r="CK57" s="26"/>
      <c r="CL57" s="26"/>
      <c r="CM57" s="26"/>
      <c r="CN57" s="26"/>
      <c r="CO57" s="26"/>
      <c r="CP57" s="26">
        <v>1000</v>
      </c>
      <c r="CQ57" s="26"/>
      <c r="CR57" s="26"/>
      <c r="CS57" s="26"/>
      <c r="CT57" s="26"/>
      <c r="CU57" s="26"/>
      <c r="CV57" s="26"/>
      <c r="CW57" s="26"/>
      <c r="CX57" s="26">
        <v>13</v>
      </c>
      <c r="CY57" s="26"/>
      <c r="CZ57" s="26"/>
      <c r="DA57" s="26"/>
      <c r="DB57" s="26"/>
      <c r="DC57" s="26"/>
      <c r="DD57" s="26"/>
      <c r="DE57" s="26"/>
      <c r="DF57" s="26">
        <v>5000</v>
      </c>
      <c r="DG57" s="26"/>
      <c r="DH57" s="26"/>
      <c r="DI57" s="26"/>
      <c r="DJ57" s="26"/>
      <c r="DK57" s="26"/>
      <c r="DL57" s="26"/>
      <c r="DM57" s="26"/>
      <c r="DN57" s="26">
        <v>500000</v>
      </c>
      <c r="DO57" s="26"/>
      <c r="DP57" s="26"/>
      <c r="DQ57" s="26"/>
      <c r="DR57" s="26"/>
      <c r="DS57" s="26"/>
      <c r="DT57" s="26"/>
      <c r="DU57" s="26"/>
      <c r="DX57" s="20">
        <v>46282</v>
      </c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19">
        <v>12.32</v>
      </c>
      <c r="EO57" s="18"/>
      <c r="EP57" s="18"/>
      <c r="EQ57" s="19">
        <v>24</v>
      </c>
      <c r="ER57" s="18"/>
      <c r="ES57" s="17">
        <f t="shared" si="1"/>
        <v>0.51333333333333331</v>
      </c>
      <c r="ET57" s="18"/>
      <c r="EU57" s="18"/>
      <c r="EV57" s="19">
        <v>10.046875</v>
      </c>
      <c r="EW57" s="18"/>
      <c r="EX57" s="18"/>
      <c r="EY57" s="19">
        <v>23.395833333333332</v>
      </c>
      <c r="EZ57" s="18"/>
      <c r="FA57" s="17">
        <f t="shared" si="2"/>
        <v>0.42943009795191456</v>
      </c>
      <c r="FB57" s="18"/>
      <c r="FC57" s="18"/>
      <c r="FD57" s="19">
        <v>16.32</v>
      </c>
      <c r="FE57" s="18"/>
      <c r="FF57" s="18"/>
      <c r="FG57" s="19">
        <v>24</v>
      </c>
      <c r="FH57" s="18"/>
      <c r="FI57" s="17">
        <f t="shared" si="3"/>
        <v>0.68</v>
      </c>
      <c r="FJ57" s="18"/>
      <c r="FK57" s="18"/>
      <c r="FL57" s="19">
        <v>17.28</v>
      </c>
      <c r="FM57" s="18"/>
      <c r="FN57" s="18"/>
      <c r="FO57" s="19">
        <v>24</v>
      </c>
      <c r="FP57" s="18"/>
      <c r="FQ57" s="17">
        <f t="shared" si="4"/>
        <v>0.72000000000000008</v>
      </c>
      <c r="FR57" s="18"/>
      <c r="FS57" s="18"/>
      <c r="FT57" s="19">
        <v>0</v>
      </c>
      <c r="FU57" s="18"/>
      <c r="FV57" s="18"/>
      <c r="FW57" s="19">
        <v>0</v>
      </c>
      <c r="FX57" s="18"/>
      <c r="FY57" s="17">
        <f t="shared" si="5"/>
        <v>0</v>
      </c>
      <c r="FZ57" s="18"/>
      <c r="GA57" s="18"/>
      <c r="GB57" s="19">
        <v>18.48</v>
      </c>
      <c r="GC57" s="18"/>
      <c r="GD57" s="18"/>
      <c r="GE57" s="19">
        <v>24</v>
      </c>
      <c r="GF57" s="18"/>
      <c r="GG57" s="17">
        <f t="shared" si="6"/>
        <v>0.77</v>
      </c>
      <c r="GH57" s="18"/>
      <c r="GI57" s="18"/>
      <c r="GJ57" s="19">
        <v>0</v>
      </c>
      <c r="GK57" s="18"/>
      <c r="GL57" s="18"/>
      <c r="GM57" s="19">
        <v>0</v>
      </c>
      <c r="GN57" s="18"/>
      <c r="GO57" s="17">
        <f t="shared" si="7"/>
        <v>0</v>
      </c>
      <c r="GP57" s="18"/>
      <c r="GQ57" s="18"/>
      <c r="GR57" s="19">
        <v>74.446876525878906</v>
      </c>
      <c r="GS57" s="18"/>
      <c r="GT57" s="18"/>
      <c r="GU57" s="19">
        <v>119.39583587646484</v>
      </c>
      <c r="GV57" s="18"/>
      <c r="GW57" s="17">
        <f t="shared" si="8"/>
        <v>0.62352992446827682</v>
      </c>
      <c r="GX57" s="18"/>
      <c r="GY57" s="18"/>
    </row>
    <row r="58" spans="1:207" ht="25.2" x14ac:dyDescent="0.35">
      <c r="A58" s="21" t="s">
        <v>131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6">
        <v>21173</v>
      </c>
      <c r="M58" s="26"/>
      <c r="N58" s="26"/>
      <c r="O58" s="26"/>
      <c r="P58" s="26"/>
      <c r="Q58" s="26"/>
      <c r="R58" s="26"/>
      <c r="S58" s="26"/>
      <c r="T58" s="26">
        <v>1000</v>
      </c>
      <c r="U58" s="26"/>
      <c r="V58" s="26"/>
      <c r="W58" s="26"/>
      <c r="X58" s="26"/>
      <c r="Y58" s="26"/>
      <c r="Z58" s="26"/>
      <c r="AA58" s="26"/>
      <c r="AB58" s="26">
        <v>15</v>
      </c>
      <c r="AC58" s="26"/>
      <c r="AD58" s="26"/>
      <c r="AE58" s="26"/>
      <c r="AF58" s="26"/>
      <c r="AG58" s="26"/>
      <c r="AH58" s="26"/>
      <c r="AI58" s="26"/>
      <c r="AJ58" s="26">
        <v>3600</v>
      </c>
      <c r="AK58" s="26"/>
      <c r="AL58" s="26"/>
      <c r="AM58" s="26"/>
      <c r="AN58" s="26"/>
      <c r="AO58" s="26"/>
      <c r="AP58" s="26"/>
      <c r="AQ58" s="26"/>
      <c r="AR58" s="26">
        <v>360000</v>
      </c>
      <c r="AS58" s="26"/>
      <c r="AT58" s="26"/>
      <c r="AU58" s="26"/>
      <c r="AV58" s="26"/>
      <c r="AW58" s="26"/>
      <c r="AX58" s="26"/>
      <c r="AY58" s="26"/>
      <c r="BB58" s="21" t="s">
        <v>53</v>
      </c>
      <c r="BC58" s="21"/>
      <c r="BD58" s="21"/>
      <c r="BE58" s="21"/>
      <c r="BF58" s="21"/>
      <c r="BG58" s="21"/>
      <c r="BH58" s="21"/>
      <c r="BI58" s="21"/>
      <c r="BJ58" s="21" t="s">
        <v>152</v>
      </c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6">
        <v>21959</v>
      </c>
      <c r="CA58" s="26"/>
      <c r="CB58" s="26"/>
      <c r="CC58" s="26"/>
      <c r="CD58" s="26"/>
      <c r="CE58" s="26"/>
      <c r="CF58" s="26"/>
      <c r="CG58" s="26"/>
      <c r="CH58" s="26">
        <v>90</v>
      </c>
      <c r="CI58" s="26"/>
      <c r="CJ58" s="26"/>
      <c r="CK58" s="26"/>
      <c r="CL58" s="26"/>
      <c r="CM58" s="26"/>
      <c r="CN58" s="26"/>
      <c r="CO58" s="26"/>
      <c r="CP58" s="26">
        <v>1500</v>
      </c>
      <c r="CQ58" s="26"/>
      <c r="CR58" s="26"/>
      <c r="CS58" s="26"/>
      <c r="CT58" s="26"/>
      <c r="CU58" s="26"/>
      <c r="CV58" s="26"/>
      <c r="CW58" s="26"/>
      <c r="CX58" s="26">
        <v>6</v>
      </c>
      <c r="CY58" s="26"/>
      <c r="CZ58" s="26"/>
      <c r="DA58" s="26"/>
      <c r="DB58" s="26"/>
      <c r="DC58" s="26"/>
      <c r="DD58" s="26"/>
      <c r="DE58" s="26"/>
      <c r="DF58" s="26">
        <v>3600</v>
      </c>
      <c r="DG58" s="26"/>
      <c r="DH58" s="26"/>
      <c r="DI58" s="26"/>
      <c r="DJ58" s="26"/>
      <c r="DK58" s="26"/>
      <c r="DL58" s="26"/>
      <c r="DM58" s="26"/>
      <c r="DN58" s="26">
        <v>240001</v>
      </c>
      <c r="DO58" s="26"/>
      <c r="DP58" s="26"/>
      <c r="DQ58" s="26"/>
      <c r="DR58" s="26"/>
      <c r="DS58" s="26"/>
      <c r="DT58" s="26"/>
      <c r="DU58" s="26"/>
      <c r="DX58" s="20">
        <v>46283</v>
      </c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19">
        <v>18.48</v>
      </c>
      <c r="EO58" s="18"/>
      <c r="EP58" s="18"/>
      <c r="EQ58" s="19">
        <v>24</v>
      </c>
      <c r="ER58" s="18"/>
      <c r="ES58" s="17">
        <f t="shared" si="1"/>
        <v>0.77</v>
      </c>
      <c r="ET58" s="18"/>
      <c r="EU58" s="18"/>
      <c r="EV58" s="19">
        <v>18</v>
      </c>
      <c r="EW58" s="18"/>
      <c r="EX58" s="18"/>
      <c r="EY58" s="19">
        <v>24</v>
      </c>
      <c r="EZ58" s="18"/>
      <c r="FA58" s="17">
        <f t="shared" si="2"/>
        <v>0.75</v>
      </c>
      <c r="FB58" s="18"/>
      <c r="FC58" s="18"/>
      <c r="FD58" s="19">
        <v>16.312633333333334</v>
      </c>
      <c r="FE58" s="18"/>
      <c r="FF58" s="18"/>
      <c r="FG58" s="19">
        <v>23.989166666666666</v>
      </c>
      <c r="FH58" s="18"/>
      <c r="FI58" s="17">
        <f t="shared" si="3"/>
        <v>0.68</v>
      </c>
      <c r="FJ58" s="18"/>
      <c r="FK58" s="18"/>
      <c r="FL58" s="19">
        <v>8.64</v>
      </c>
      <c r="FM58" s="18"/>
      <c r="FN58" s="18"/>
      <c r="FO58" s="19">
        <v>24</v>
      </c>
      <c r="FP58" s="18"/>
      <c r="FQ58" s="17">
        <f t="shared" si="4"/>
        <v>0.36000000000000004</v>
      </c>
      <c r="FR58" s="18"/>
      <c r="FS58" s="18"/>
      <c r="FT58" s="19">
        <v>0</v>
      </c>
      <c r="FU58" s="18"/>
      <c r="FV58" s="18"/>
      <c r="FW58" s="19">
        <v>0</v>
      </c>
      <c r="FX58" s="18"/>
      <c r="FY58" s="17">
        <f t="shared" si="5"/>
        <v>0</v>
      </c>
      <c r="FZ58" s="18"/>
      <c r="GA58" s="18"/>
      <c r="GB58" s="19">
        <v>1.465780555555555</v>
      </c>
      <c r="GC58" s="18"/>
      <c r="GD58" s="18"/>
      <c r="GE58" s="19">
        <v>1.90361111111111</v>
      </c>
      <c r="GF58" s="18"/>
      <c r="GG58" s="17">
        <f t="shared" si="6"/>
        <v>0.77000000000000013</v>
      </c>
      <c r="GH58" s="18"/>
      <c r="GI58" s="18"/>
      <c r="GJ58" s="19">
        <v>0</v>
      </c>
      <c r="GK58" s="18"/>
      <c r="GL58" s="18"/>
      <c r="GM58" s="19">
        <v>0</v>
      </c>
      <c r="GN58" s="18"/>
      <c r="GO58" s="17">
        <f t="shared" si="7"/>
        <v>0</v>
      </c>
      <c r="GP58" s="18"/>
      <c r="GQ58" s="18"/>
      <c r="GR58" s="19">
        <v>62.898414611816406</v>
      </c>
      <c r="GS58" s="18"/>
      <c r="GT58" s="18"/>
      <c r="GU58" s="19">
        <v>97.892776489257813</v>
      </c>
      <c r="GV58" s="18"/>
      <c r="GW58" s="17">
        <f t="shared" si="8"/>
        <v>0.64252355349956303</v>
      </c>
      <c r="GX58" s="18"/>
      <c r="GY58" s="18"/>
    </row>
    <row r="59" spans="1:207" ht="25.2" x14ac:dyDescent="0.35">
      <c r="A59" s="21" t="s">
        <v>87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6">
        <v>7078</v>
      </c>
      <c r="M59" s="26"/>
      <c r="N59" s="26"/>
      <c r="O59" s="26"/>
      <c r="P59" s="26"/>
      <c r="Q59" s="26"/>
      <c r="R59" s="26"/>
      <c r="S59" s="26"/>
      <c r="T59" s="26">
        <v>1000</v>
      </c>
      <c r="U59" s="26"/>
      <c r="V59" s="26"/>
      <c r="W59" s="26"/>
      <c r="X59" s="26"/>
      <c r="Y59" s="26"/>
      <c r="Z59" s="26"/>
      <c r="AA59" s="26"/>
      <c r="AB59" s="26">
        <v>15</v>
      </c>
      <c r="AC59" s="26"/>
      <c r="AD59" s="26"/>
      <c r="AE59" s="26"/>
      <c r="AF59" s="26"/>
      <c r="AG59" s="26"/>
      <c r="AH59" s="26"/>
      <c r="AI59" s="26"/>
      <c r="AJ59" s="26">
        <v>3600</v>
      </c>
      <c r="AK59" s="26"/>
      <c r="AL59" s="26"/>
      <c r="AM59" s="26"/>
      <c r="AN59" s="26"/>
      <c r="AO59" s="26"/>
      <c r="AP59" s="26"/>
      <c r="AQ59" s="26"/>
      <c r="AR59" s="26">
        <v>360000</v>
      </c>
      <c r="AS59" s="26"/>
      <c r="AT59" s="26"/>
      <c r="AU59" s="26"/>
      <c r="AV59" s="26"/>
      <c r="AW59" s="26"/>
      <c r="AX59" s="26"/>
      <c r="AY59" s="26"/>
      <c r="BB59" s="21" t="s">
        <v>53</v>
      </c>
      <c r="BC59" s="21"/>
      <c r="BD59" s="21"/>
      <c r="BE59" s="21"/>
      <c r="BF59" s="21"/>
      <c r="BG59" s="21"/>
      <c r="BH59" s="21"/>
      <c r="BI59" s="21"/>
      <c r="BJ59" s="21" t="s">
        <v>131</v>
      </c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6">
        <v>21173</v>
      </c>
      <c r="CA59" s="26"/>
      <c r="CB59" s="26"/>
      <c r="CC59" s="26"/>
      <c r="CD59" s="26"/>
      <c r="CE59" s="26"/>
      <c r="CF59" s="26"/>
      <c r="CG59" s="26"/>
      <c r="CH59" s="26">
        <v>90</v>
      </c>
      <c r="CI59" s="26"/>
      <c r="CJ59" s="26"/>
      <c r="CK59" s="26"/>
      <c r="CL59" s="26"/>
      <c r="CM59" s="26"/>
      <c r="CN59" s="26"/>
      <c r="CO59" s="26"/>
      <c r="CP59" s="26">
        <v>1000</v>
      </c>
      <c r="CQ59" s="26"/>
      <c r="CR59" s="26"/>
      <c r="CS59" s="26"/>
      <c r="CT59" s="26"/>
      <c r="CU59" s="26"/>
      <c r="CV59" s="26"/>
      <c r="CW59" s="26"/>
      <c r="CX59" s="26">
        <v>15</v>
      </c>
      <c r="CY59" s="26"/>
      <c r="CZ59" s="26"/>
      <c r="DA59" s="26"/>
      <c r="DB59" s="26"/>
      <c r="DC59" s="26"/>
      <c r="DD59" s="26"/>
      <c r="DE59" s="26"/>
      <c r="DF59" s="26">
        <v>3600</v>
      </c>
      <c r="DG59" s="26"/>
      <c r="DH59" s="26"/>
      <c r="DI59" s="26"/>
      <c r="DJ59" s="26"/>
      <c r="DK59" s="26"/>
      <c r="DL59" s="26"/>
      <c r="DM59" s="26"/>
      <c r="DN59" s="26">
        <v>360000</v>
      </c>
      <c r="DO59" s="26"/>
      <c r="DP59" s="26"/>
      <c r="DQ59" s="26"/>
      <c r="DR59" s="26"/>
      <c r="DS59" s="26"/>
      <c r="DT59" s="26"/>
      <c r="DU59" s="26"/>
      <c r="DX59" s="20">
        <v>46284</v>
      </c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19">
        <v>18.48</v>
      </c>
      <c r="EO59" s="18"/>
      <c r="EP59" s="18"/>
      <c r="EQ59" s="19">
        <v>24</v>
      </c>
      <c r="ER59" s="18"/>
      <c r="ES59" s="17">
        <f t="shared" si="1"/>
        <v>0.77</v>
      </c>
      <c r="ET59" s="18"/>
      <c r="EU59" s="18"/>
      <c r="EV59" s="19">
        <v>18</v>
      </c>
      <c r="EW59" s="18"/>
      <c r="EX59" s="18"/>
      <c r="EY59" s="19">
        <v>24</v>
      </c>
      <c r="EZ59" s="18"/>
      <c r="FA59" s="17">
        <f t="shared" si="2"/>
        <v>0.75</v>
      </c>
      <c r="FB59" s="18"/>
      <c r="FC59" s="18"/>
      <c r="FD59" s="19">
        <v>14.967366666666665</v>
      </c>
      <c r="FE59" s="18"/>
      <c r="FF59" s="18"/>
      <c r="FG59" s="19">
        <v>23.010833333333331</v>
      </c>
      <c r="FH59" s="18"/>
      <c r="FI59" s="17">
        <f t="shared" si="3"/>
        <v>0.65044870169847535</v>
      </c>
      <c r="FJ59" s="18"/>
      <c r="FK59" s="18"/>
      <c r="FL59" s="19">
        <v>17.28</v>
      </c>
      <c r="FM59" s="18"/>
      <c r="FN59" s="18"/>
      <c r="FO59" s="19">
        <v>24</v>
      </c>
      <c r="FP59" s="18"/>
      <c r="FQ59" s="17">
        <f t="shared" si="4"/>
        <v>0.72000000000000008</v>
      </c>
      <c r="FR59" s="18"/>
      <c r="FS59" s="18"/>
      <c r="FT59" s="19">
        <v>0</v>
      </c>
      <c r="FU59" s="18"/>
      <c r="FV59" s="18"/>
      <c r="FW59" s="19">
        <v>0</v>
      </c>
      <c r="FX59" s="18"/>
      <c r="FY59" s="17">
        <f t="shared" si="5"/>
        <v>0</v>
      </c>
      <c r="FZ59" s="18"/>
      <c r="GA59" s="18"/>
      <c r="GB59" s="19">
        <v>0</v>
      </c>
      <c r="GC59" s="18"/>
      <c r="GD59" s="18"/>
      <c r="GE59" s="19">
        <v>0</v>
      </c>
      <c r="GF59" s="18"/>
      <c r="GG59" s="17">
        <f t="shared" si="6"/>
        <v>0</v>
      </c>
      <c r="GH59" s="18"/>
      <c r="GI59" s="18"/>
      <c r="GJ59" s="19">
        <v>0</v>
      </c>
      <c r="GK59" s="18"/>
      <c r="GL59" s="18"/>
      <c r="GM59" s="19">
        <v>0</v>
      </c>
      <c r="GN59" s="18"/>
      <c r="GO59" s="17">
        <f t="shared" si="7"/>
        <v>0</v>
      </c>
      <c r="GP59" s="18"/>
      <c r="GQ59" s="18"/>
      <c r="GR59" s="19">
        <v>68.727363586425781</v>
      </c>
      <c r="GS59" s="18"/>
      <c r="GT59" s="18"/>
      <c r="GU59" s="19">
        <v>95.010833740234375</v>
      </c>
      <c r="GV59" s="18"/>
      <c r="GW59" s="17">
        <f t="shared" si="8"/>
        <v>0.72336344057700552</v>
      </c>
      <c r="GX59" s="18"/>
      <c r="GY59" s="18"/>
    </row>
    <row r="60" spans="1:207" ht="25.2" x14ac:dyDescent="0.35">
      <c r="A60" s="21" t="s">
        <v>133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6">
        <v>2224</v>
      </c>
      <c r="M60" s="26"/>
      <c r="N60" s="26"/>
      <c r="O60" s="26"/>
      <c r="P60" s="26"/>
      <c r="Q60" s="26"/>
      <c r="R60" s="26"/>
      <c r="S60" s="26"/>
      <c r="T60" s="26">
        <v>1500</v>
      </c>
      <c r="U60" s="26"/>
      <c r="V60" s="26"/>
      <c r="W60" s="26"/>
      <c r="X60" s="26"/>
      <c r="Y60" s="26"/>
      <c r="Z60" s="26"/>
      <c r="AA60" s="26"/>
      <c r="AB60" s="26">
        <v>6</v>
      </c>
      <c r="AC60" s="26"/>
      <c r="AD60" s="26"/>
      <c r="AE60" s="26"/>
      <c r="AF60" s="26"/>
      <c r="AG60" s="26"/>
      <c r="AH60" s="26"/>
      <c r="AI60" s="26"/>
      <c r="AJ60" s="26">
        <v>3600</v>
      </c>
      <c r="AK60" s="26"/>
      <c r="AL60" s="26"/>
      <c r="AM60" s="26"/>
      <c r="AN60" s="26"/>
      <c r="AO60" s="26"/>
      <c r="AP60" s="26"/>
      <c r="AQ60" s="26"/>
      <c r="AR60" s="26">
        <v>240000</v>
      </c>
      <c r="AS60" s="26"/>
      <c r="AT60" s="26"/>
      <c r="AU60" s="26"/>
      <c r="AV60" s="26"/>
      <c r="AW60" s="26"/>
      <c r="AX60" s="26"/>
      <c r="AY60" s="26"/>
      <c r="BB60" s="21" t="s">
        <v>53</v>
      </c>
      <c r="BC60" s="21"/>
      <c r="BD60" s="21"/>
      <c r="BE60" s="21"/>
      <c r="BF60" s="21"/>
      <c r="BG60" s="21"/>
      <c r="BH60" s="21"/>
      <c r="BI60" s="21"/>
      <c r="BJ60" s="21" t="s">
        <v>87</v>
      </c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6">
        <v>7078</v>
      </c>
      <c r="CA60" s="26"/>
      <c r="CB60" s="26"/>
      <c r="CC60" s="26"/>
      <c r="CD60" s="26"/>
      <c r="CE60" s="26"/>
      <c r="CF60" s="26"/>
      <c r="CG60" s="26"/>
      <c r="CH60" s="26">
        <v>90</v>
      </c>
      <c r="CI60" s="26"/>
      <c r="CJ60" s="26"/>
      <c r="CK60" s="26"/>
      <c r="CL60" s="26"/>
      <c r="CM60" s="26"/>
      <c r="CN60" s="26"/>
      <c r="CO60" s="26"/>
      <c r="CP60" s="26">
        <v>1000</v>
      </c>
      <c r="CQ60" s="26"/>
      <c r="CR60" s="26"/>
      <c r="CS60" s="26"/>
      <c r="CT60" s="26"/>
      <c r="CU60" s="26"/>
      <c r="CV60" s="26"/>
      <c r="CW60" s="26"/>
      <c r="CX60" s="26">
        <v>15</v>
      </c>
      <c r="CY60" s="26"/>
      <c r="CZ60" s="26"/>
      <c r="DA60" s="26"/>
      <c r="DB60" s="26"/>
      <c r="DC60" s="26"/>
      <c r="DD60" s="26"/>
      <c r="DE60" s="26"/>
      <c r="DF60" s="26">
        <v>3600</v>
      </c>
      <c r="DG60" s="26"/>
      <c r="DH60" s="26"/>
      <c r="DI60" s="26"/>
      <c r="DJ60" s="26"/>
      <c r="DK60" s="26"/>
      <c r="DL60" s="26"/>
      <c r="DM60" s="26"/>
      <c r="DN60" s="26">
        <v>360000</v>
      </c>
      <c r="DO60" s="26"/>
      <c r="DP60" s="26"/>
      <c r="DQ60" s="26"/>
      <c r="DR60" s="26"/>
      <c r="DS60" s="26"/>
      <c r="DT60" s="26"/>
      <c r="DU60" s="26"/>
      <c r="DX60" s="20">
        <v>46285</v>
      </c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19">
        <v>18.48</v>
      </c>
      <c r="EO60" s="18"/>
      <c r="EP60" s="18"/>
      <c r="EQ60" s="19">
        <v>24</v>
      </c>
      <c r="ER60" s="18"/>
      <c r="ES60" s="17">
        <f t="shared" si="1"/>
        <v>0.77</v>
      </c>
      <c r="ET60" s="18"/>
      <c r="EU60" s="18"/>
      <c r="EV60" s="19">
        <v>16.418355555555554</v>
      </c>
      <c r="EW60" s="18"/>
      <c r="EX60" s="18"/>
      <c r="EY60" s="19">
        <v>24</v>
      </c>
      <c r="EZ60" s="18"/>
      <c r="FA60" s="17">
        <f t="shared" si="2"/>
        <v>0.68409814814814807</v>
      </c>
      <c r="FB60" s="18"/>
      <c r="FC60" s="18"/>
      <c r="FD60" s="19">
        <v>11.710166666666666</v>
      </c>
      <c r="FE60" s="18"/>
      <c r="FF60" s="18"/>
      <c r="FG60" s="19">
        <v>24</v>
      </c>
      <c r="FH60" s="18"/>
      <c r="FI60" s="17">
        <f t="shared" si="3"/>
        <v>0.4879236111111111</v>
      </c>
      <c r="FJ60" s="18"/>
      <c r="FK60" s="18"/>
      <c r="FL60" s="19">
        <v>17.28</v>
      </c>
      <c r="FM60" s="18"/>
      <c r="FN60" s="18"/>
      <c r="FO60" s="19">
        <v>24</v>
      </c>
      <c r="FP60" s="18"/>
      <c r="FQ60" s="17">
        <f t="shared" si="4"/>
        <v>0.72000000000000008</v>
      </c>
      <c r="FR60" s="18"/>
      <c r="FS60" s="18"/>
      <c r="FT60" s="19">
        <v>0</v>
      </c>
      <c r="FU60" s="18"/>
      <c r="FV60" s="18"/>
      <c r="FW60" s="19">
        <v>0</v>
      </c>
      <c r="FX60" s="18"/>
      <c r="FY60" s="17">
        <f t="shared" si="5"/>
        <v>0</v>
      </c>
      <c r="FZ60" s="18"/>
      <c r="GA60" s="18"/>
      <c r="GB60" s="19">
        <v>0</v>
      </c>
      <c r="GC60" s="18"/>
      <c r="GD60" s="18"/>
      <c r="GE60" s="19">
        <v>0</v>
      </c>
      <c r="GF60" s="18"/>
      <c r="GG60" s="17">
        <f t="shared" si="6"/>
        <v>0</v>
      </c>
      <c r="GH60" s="18"/>
      <c r="GI60" s="18"/>
      <c r="GJ60" s="19">
        <v>0</v>
      </c>
      <c r="GK60" s="18"/>
      <c r="GL60" s="18"/>
      <c r="GM60" s="19">
        <v>0</v>
      </c>
      <c r="GN60" s="18"/>
      <c r="GO60" s="17">
        <f t="shared" si="7"/>
        <v>0</v>
      </c>
      <c r="GP60" s="18"/>
      <c r="GQ60" s="18"/>
      <c r="GR60" s="19">
        <v>63.888523101806641</v>
      </c>
      <c r="GS60" s="18"/>
      <c r="GT60" s="18"/>
      <c r="GU60" s="19">
        <v>96</v>
      </c>
      <c r="GV60" s="18"/>
      <c r="GW60" s="17">
        <f t="shared" si="8"/>
        <v>0.66550544897715247</v>
      </c>
      <c r="GX60" s="18"/>
      <c r="GY60" s="18"/>
    </row>
    <row r="61" spans="1:207" ht="25.2" x14ac:dyDescent="0.35">
      <c r="A61" s="21" t="s">
        <v>134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6">
        <v>2222</v>
      </c>
      <c r="M61" s="26"/>
      <c r="N61" s="26"/>
      <c r="O61" s="26"/>
      <c r="P61" s="26"/>
      <c r="Q61" s="26"/>
      <c r="R61" s="26"/>
      <c r="S61" s="26"/>
      <c r="T61" s="26">
        <v>330</v>
      </c>
      <c r="U61" s="26"/>
      <c r="V61" s="26"/>
      <c r="W61" s="26"/>
      <c r="X61" s="26"/>
      <c r="Y61" s="26"/>
      <c r="Z61" s="26"/>
      <c r="AA61" s="26"/>
      <c r="AB61" s="26">
        <v>24</v>
      </c>
      <c r="AC61" s="26"/>
      <c r="AD61" s="26"/>
      <c r="AE61" s="26"/>
      <c r="AF61" s="26"/>
      <c r="AG61" s="26"/>
      <c r="AH61" s="26"/>
      <c r="AI61" s="26"/>
      <c r="AJ61" s="26">
        <v>3600</v>
      </c>
      <c r="AK61" s="26"/>
      <c r="AL61" s="26"/>
      <c r="AM61" s="26"/>
      <c r="AN61" s="26"/>
      <c r="AO61" s="26"/>
      <c r="AP61" s="26"/>
      <c r="AQ61" s="26"/>
      <c r="AR61" s="26">
        <v>1090909</v>
      </c>
      <c r="AS61" s="26"/>
      <c r="AT61" s="26"/>
      <c r="AU61" s="26"/>
      <c r="AV61" s="26"/>
      <c r="AW61" s="26"/>
      <c r="AX61" s="26"/>
      <c r="AY61" s="26"/>
      <c r="BB61" s="21" t="s">
        <v>53</v>
      </c>
      <c r="BC61" s="21"/>
      <c r="BD61" s="21"/>
      <c r="BE61" s="21"/>
      <c r="BF61" s="21"/>
      <c r="BG61" s="21"/>
      <c r="BH61" s="21"/>
      <c r="BI61" s="21"/>
      <c r="BJ61" s="21" t="s">
        <v>133</v>
      </c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6">
        <v>2224</v>
      </c>
      <c r="CA61" s="26"/>
      <c r="CB61" s="26"/>
      <c r="CC61" s="26"/>
      <c r="CD61" s="26"/>
      <c r="CE61" s="26"/>
      <c r="CF61" s="26"/>
      <c r="CG61" s="26"/>
      <c r="CH61" s="26">
        <v>90</v>
      </c>
      <c r="CI61" s="26"/>
      <c r="CJ61" s="26"/>
      <c r="CK61" s="26"/>
      <c r="CL61" s="26"/>
      <c r="CM61" s="26"/>
      <c r="CN61" s="26"/>
      <c r="CO61" s="26"/>
      <c r="CP61" s="26">
        <v>1500</v>
      </c>
      <c r="CQ61" s="26"/>
      <c r="CR61" s="26"/>
      <c r="CS61" s="26"/>
      <c r="CT61" s="26"/>
      <c r="CU61" s="26"/>
      <c r="CV61" s="26"/>
      <c r="CW61" s="26"/>
      <c r="CX61" s="26">
        <v>6</v>
      </c>
      <c r="CY61" s="26"/>
      <c r="CZ61" s="26"/>
      <c r="DA61" s="26"/>
      <c r="DB61" s="26"/>
      <c r="DC61" s="26"/>
      <c r="DD61" s="26"/>
      <c r="DE61" s="26"/>
      <c r="DF61" s="26">
        <v>3600</v>
      </c>
      <c r="DG61" s="26"/>
      <c r="DH61" s="26"/>
      <c r="DI61" s="26"/>
      <c r="DJ61" s="26"/>
      <c r="DK61" s="26"/>
      <c r="DL61" s="26"/>
      <c r="DM61" s="26"/>
      <c r="DN61" s="26">
        <v>240000</v>
      </c>
      <c r="DO61" s="26"/>
      <c r="DP61" s="26"/>
      <c r="DQ61" s="26"/>
      <c r="DR61" s="26"/>
      <c r="DS61" s="26"/>
      <c r="DT61" s="26"/>
      <c r="DU61" s="26"/>
      <c r="DX61" s="21" t="s">
        <v>69</v>
      </c>
      <c r="DY61" s="21" t="s">
        <v>69</v>
      </c>
      <c r="DZ61" s="21" t="s">
        <v>69</v>
      </c>
      <c r="EA61" s="21" t="s">
        <v>69</v>
      </c>
      <c r="EB61" s="21" t="s">
        <v>69</v>
      </c>
      <c r="EC61" s="21" t="s">
        <v>69</v>
      </c>
      <c r="ED61" s="21" t="s">
        <v>69</v>
      </c>
      <c r="EE61" s="21" t="s">
        <v>69</v>
      </c>
      <c r="EF61" s="21" t="s">
        <v>69</v>
      </c>
      <c r="EG61" s="21" t="s">
        <v>69</v>
      </c>
      <c r="EH61" s="21" t="s">
        <v>69</v>
      </c>
      <c r="EI61" s="21" t="s">
        <v>69</v>
      </c>
      <c r="EJ61" s="21" t="s">
        <v>69</v>
      </c>
      <c r="EK61" s="21" t="s">
        <v>69</v>
      </c>
      <c r="EL61" s="21" t="s">
        <v>69</v>
      </c>
      <c r="EM61" s="21" t="s">
        <v>69</v>
      </c>
      <c r="EN61" s="22">
        <f>SUM(EN54:EP60)</f>
        <v>123.2</v>
      </c>
      <c r="EO61" s="18"/>
      <c r="EP61" s="18"/>
      <c r="EQ61" s="22">
        <f>SUM(EQ54:ER60)</f>
        <v>168</v>
      </c>
      <c r="ER61" s="18"/>
      <c r="ES61" s="23">
        <f t="shared" si="1"/>
        <v>0.73333333333333339</v>
      </c>
      <c r="ET61" s="18"/>
      <c r="EU61" s="18"/>
      <c r="EV61" s="22">
        <f>SUM(EV54:EX60)</f>
        <v>112.45374444444444</v>
      </c>
      <c r="EW61" s="18"/>
      <c r="EX61" s="18"/>
      <c r="EY61" s="22">
        <f>SUM(EY54:EZ60)</f>
        <v>167</v>
      </c>
      <c r="EZ61" s="18"/>
      <c r="FA61" s="23">
        <f t="shared" si="2"/>
        <v>0.67337571523619422</v>
      </c>
      <c r="FB61" s="18"/>
      <c r="FC61" s="18"/>
      <c r="FD61" s="22">
        <f>SUM(FD54:FF60)</f>
        <v>96.966558333333339</v>
      </c>
      <c r="FE61" s="18"/>
      <c r="FF61" s="18"/>
      <c r="FG61" s="22">
        <f>SUM(FG54:FH60)</f>
        <v>167</v>
      </c>
      <c r="FH61" s="18"/>
      <c r="FI61" s="23">
        <f t="shared" si="3"/>
        <v>0.58063807385229549</v>
      </c>
      <c r="FJ61" s="18"/>
      <c r="FK61" s="18"/>
      <c r="FL61" s="22">
        <f>SUM(FL54:FN60)</f>
        <v>111.60000000000001</v>
      </c>
      <c r="FM61" s="18"/>
      <c r="FN61" s="18"/>
      <c r="FO61" s="22">
        <f>SUM(FO54:FP60)</f>
        <v>168</v>
      </c>
      <c r="FP61" s="18"/>
      <c r="FQ61" s="23">
        <f t="shared" si="4"/>
        <v>0.66428571428571437</v>
      </c>
      <c r="FR61" s="18"/>
      <c r="FS61" s="18"/>
      <c r="FT61" s="22">
        <f>SUM(FT54:FV60)</f>
        <v>29.411122222222222</v>
      </c>
      <c r="FU61" s="18"/>
      <c r="FV61" s="18"/>
      <c r="FW61" s="22">
        <f>SUM(FW54:FX60)</f>
        <v>38.867222222222225</v>
      </c>
      <c r="FX61" s="18"/>
      <c r="FY61" s="23">
        <f t="shared" si="5"/>
        <v>0.75670759423107159</v>
      </c>
      <c r="FZ61" s="18"/>
      <c r="GA61" s="18"/>
      <c r="GB61" s="22">
        <f>SUM(GB54:GD60)</f>
        <v>63.835780555555559</v>
      </c>
      <c r="GC61" s="18"/>
      <c r="GD61" s="18"/>
      <c r="GE61" s="22">
        <f>SUM(GE54:GF60)</f>
        <v>89.903611111111104</v>
      </c>
      <c r="GF61" s="18"/>
      <c r="GG61" s="23">
        <f t="shared" si="6"/>
        <v>0.71004690208340426</v>
      </c>
      <c r="GH61" s="18"/>
      <c r="GI61" s="18"/>
      <c r="GJ61" s="22">
        <f>SUM(GJ54:GL60)</f>
        <v>0</v>
      </c>
      <c r="GK61" s="18"/>
      <c r="GL61" s="18"/>
      <c r="GM61" s="22">
        <f>SUM(GM54:GN60)</f>
        <v>0</v>
      </c>
      <c r="GN61" s="18"/>
      <c r="GO61" s="23">
        <f t="shared" si="7"/>
        <v>0</v>
      </c>
      <c r="GP61" s="18"/>
      <c r="GQ61" s="18"/>
      <c r="GR61" s="22">
        <f>SUM(GR54:GT60)</f>
        <v>537.46720504760742</v>
      </c>
      <c r="GS61" s="18"/>
      <c r="GT61" s="18"/>
      <c r="GU61" s="22">
        <f>SUM(GU54:GV60)</f>
        <v>798.77082824707031</v>
      </c>
      <c r="GV61" s="18"/>
      <c r="GW61" s="23">
        <f t="shared" si="8"/>
        <v>0.67286784399362387</v>
      </c>
      <c r="GX61" s="18"/>
      <c r="GY61" s="18"/>
    </row>
    <row r="62" spans="1:207" ht="25.2" x14ac:dyDescent="0.35">
      <c r="A62" s="21" t="s">
        <v>91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>
        <f>SUM(AJ43:AQ61)</f>
        <v>98835</v>
      </c>
      <c r="AK62" s="26"/>
      <c r="AL62" s="26"/>
      <c r="AM62" s="26"/>
      <c r="AN62" s="26"/>
      <c r="AO62" s="26"/>
      <c r="AP62" s="26"/>
      <c r="AQ62" s="26"/>
      <c r="AR62" s="26">
        <f>SUM(AR43:AY61)</f>
        <v>31957714</v>
      </c>
      <c r="AS62" s="26"/>
      <c r="AT62" s="26"/>
      <c r="AU62" s="26"/>
      <c r="AV62" s="26"/>
      <c r="AW62" s="26"/>
      <c r="AX62" s="26"/>
      <c r="AY62" s="26"/>
      <c r="BB62" s="21" t="s">
        <v>53</v>
      </c>
      <c r="BC62" s="21"/>
      <c r="BD62" s="21"/>
      <c r="BE62" s="21"/>
      <c r="BF62" s="21"/>
      <c r="BG62" s="21"/>
      <c r="BH62" s="21"/>
      <c r="BI62" s="21"/>
      <c r="BJ62" s="21" t="s">
        <v>134</v>
      </c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6">
        <v>2222</v>
      </c>
      <c r="CA62" s="26"/>
      <c r="CB62" s="26"/>
      <c r="CC62" s="26"/>
      <c r="CD62" s="26"/>
      <c r="CE62" s="26"/>
      <c r="CF62" s="26"/>
      <c r="CG62" s="26"/>
      <c r="CH62" s="26">
        <v>90</v>
      </c>
      <c r="CI62" s="26"/>
      <c r="CJ62" s="26"/>
      <c r="CK62" s="26"/>
      <c r="CL62" s="26"/>
      <c r="CM62" s="26"/>
      <c r="CN62" s="26"/>
      <c r="CO62" s="26"/>
      <c r="CP62" s="26">
        <v>330</v>
      </c>
      <c r="CQ62" s="26"/>
      <c r="CR62" s="26"/>
      <c r="CS62" s="26"/>
      <c r="CT62" s="26"/>
      <c r="CU62" s="26"/>
      <c r="CV62" s="26"/>
      <c r="CW62" s="26"/>
      <c r="CX62" s="26">
        <v>24</v>
      </c>
      <c r="CY62" s="26"/>
      <c r="CZ62" s="26"/>
      <c r="DA62" s="26"/>
      <c r="DB62" s="26"/>
      <c r="DC62" s="26"/>
      <c r="DD62" s="26"/>
      <c r="DE62" s="26"/>
      <c r="DF62" s="26">
        <v>3600</v>
      </c>
      <c r="DG62" s="26"/>
      <c r="DH62" s="26"/>
      <c r="DI62" s="26"/>
      <c r="DJ62" s="26"/>
      <c r="DK62" s="26"/>
      <c r="DL62" s="26"/>
      <c r="DM62" s="26"/>
      <c r="DN62" s="26">
        <v>1090909</v>
      </c>
      <c r="DO62" s="26"/>
      <c r="DP62" s="26"/>
      <c r="DQ62" s="26"/>
      <c r="DR62" s="26"/>
      <c r="DS62" s="26"/>
      <c r="DT62" s="26"/>
      <c r="DU62" s="26"/>
    </row>
    <row r="63" spans="1:207" ht="25.2" x14ac:dyDescent="0.35">
      <c r="BB63" s="21" t="s">
        <v>91</v>
      </c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>
        <f>SUM(DF43:DM62)</f>
        <v>98835</v>
      </c>
      <c r="DG63" s="26"/>
      <c r="DH63" s="26"/>
      <c r="DI63" s="26"/>
      <c r="DJ63" s="26"/>
      <c r="DK63" s="26"/>
      <c r="DL63" s="26"/>
      <c r="DM63" s="26"/>
      <c r="DN63" s="26">
        <f>SUM(DN43:DU62)</f>
        <v>31957714</v>
      </c>
      <c r="DO63" s="26"/>
      <c r="DP63" s="26"/>
      <c r="DQ63" s="26"/>
      <c r="DR63" s="26"/>
      <c r="DS63" s="26"/>
      <c r="DT63" s="26"/>
      <c r="DU63" s="26"/>
    </row>
  </sheetData>
  <mergeCells count="1191">
    <mergeCell ref="AJ9:AQ9"/>
    <mergeCell ref="AR9:AY9"/>
    <mergeCell ref="A6:C6"/>
    <mergeCell ref="D6:AA6"/>
    <mergeCell ref="AB6:AI6"/>
    <mergeCell ref="AJ6:AN6"/>
    <mergeCell ref="D8:AA8"/>
    <mergeCell ref="Q1:FT4"/>
    <mergeCell ref="A1:C1"/>
    <mergeCell ref="A2:C2"/>
    <mergeCell ref="A3:C3"/>
    <mergeCell ref="A4:C4"/>
    <mergeCell ref="D1:P1"/>
    <mergeCell ref="D2:P2"/>
    <mergeCell ref="D3:P3"/>
    <mergeCell ref="D4:P4"/>
    <mergeCell ref="A11:C11"/>
    <mergeCell ref="A12:C12"/>
    <mergeCell ref="A13:C13"/>
    <mergeCell ref="A14:C14"/>
    <mergeCell ref="D11:AA11"/>
    <mergeCell ref="D14:AA14"/>
    <mergeCell ref="ER8:FO8"/>
    <mergeCell ref="ER9:EY9"/>
    <mergeCell ref="EZ9:FG9"/>
    <mergeCell ref="FH9:FO9"/>
    <mergeCell ref="FP8:FT10"/>
    <mergeCell ref="CV8:DS8"/>
    <mergeCell ref="CV9:DC9"/>
    <mergeCell ref="DD9:DK9"/>
    <mergeCell ref="DL9:DS9"/>
    <mergeCell ref="DT8:EQ8"/>
    <mergeCell ref="DT9:EA9"/>
    <mergeCell ref="EB9:EI9"/>
    <mergeCell ref="EJ9:EQ9"/>
    <mergeCell ref="AZ8:BW8"/>
    <mergeCell ref="AZ9:BG9"/>
    <mergeCell ref="BH9:BO9"/>
    <mergeCell ref="BP9:BW9"/>
    <mergeCell ref="BX8:CU8"/>
    <mergeCell ref="BX9:CE9"/>
    <mergeCell ref="CF9:CM9"/>
    <mergeCell ref="CN9:CU9"/>
    <mergeCell ref="D9:K9"/>
    <mergeCell ref="L9:S9"/>
    <mergeCell ref="T9:AA9"/>
    <mergeCell ref="AB8:AY8"/>
    <mergeCell ref="AB9:AI9"/>
    <mergeCell ref="AB14:AY14"/>
    <mergeCell ref="AZ12:BG12"/>
    <mergeCell ref="AZ13:BG13"/>
    <mergeCell ref="BH12:BO12"/>
    <mergeCell ref="BH13:BO13"/>
    <mergeCell ref="CV11:DS11"/>
    <mergeCell ref="DT11:EQ11"/>
    <mergeCell ref="ER11:FO11"/>
    <mergeCell ref="D12:K12"/>
    <mergeCell ref="D13:K13"/>
    <mergeCell ref="L12:S12"/>
    <mergeCell ref="L13:S13"/>
    <mergeCell ref="T12:AA12"/>
    <mergeCell ref="T13:AA13"/>
    <mergeCell ref="AB12:AI12"/>
    <mergeCell ref="AB13:AI13"/>
    <mergeCell ref="AJ12:AQ12"/>
    <mergeCell ref="AJ13:AQ13"/>
    <mergeCell ref="AR12:AY12"/>
    <mergeCell ref="AR13:AY13"/>
    <mergeCell ref="BP12:BW12"/>
    <mergeCell ref="AB11:AY11"/>
    <mergeCell ref="AZ11:BW11"/>
    <mergeCell ref="BX11:CE11"/>
    <mergeCell ref="CF11:CM11"/>
    <mergeCell ref="CN11:CU11"/>
    <mergeCell ref="EJ13:EQ13"/>
    <mergeCell ref="DD12:DK12"/>
    <mergeCell ref="DD13:DK13"/>
    <mergeCell ref="DL12:DS12"/>
    <mergeCell ref="DL13:DS13"/>
    <mergeCell ref="CV14:DS14"/>
    <mergeCell ref="CN12:CU12"/>
    <mergeCell ref="CN13:CU13"/>
    <mergeCell ref="BX14:CU14"/>
    <mergeCell ref="CV12:DC12"/>
    <mergeCell ref="CV13:DC13"/>
    <mergeCell ref="BP13:BW13"/>
    <mergeCell ref="AZ14:BW14"/>
    <mergeCell ref="BX12:CE12"/>
    <mergeCell ref="BX13:CE13"/>
    <mergeCell ref="CF12:CM12"/>
    <mergeCell ref="CF13:CM13"/>
    <mergeCell ref="A16:C16"/>
    <mergeCell ref="A17:C17"/>
    <mergeCell ref="A18:C18"/>
    <mergeCell ref="D15:P15"/>
    <mergeCell ref="Q15:R15"/>
    <mergeCell ref="D18:AA18"/>
    <mergeCell ref="FH12:FO12"/>
    <mergeCell ref="FH13:FO13"/>
    <mergeCell ref="ER14:FO14"/>
    <mergeCell ref="FP11:FT14"/>
    <mergeCell ref="A15:C15"/>
    <mergeCell ref="S15:U15"/>
    <mergeCell ref="V15"/>
    <mergeCell ref="W15:AA15"/>
    <mergeCell ref="AB15:AY15"/>
    <mergeCell ref="AZ15:BV15"/>
    <mergeCell ref="BW15"/>
    <mergeCell ref="BX15:CH15"/>
    <mergeCell ref="CI15:CU15"/>
    <mergeCell ref="CV15:DS15"/>
    <mergeCell ref="DT15:EQ15"/>
    <mergeCell ref="ER15:FE15"/>
    <mergeCell ref="DT14:EQ14"/>
    <mergeCell ref="ER12:EY12"/>
    <mergeCell ref="ER13:EY13"/>
    <mergeCell ref="EZ12:FG12"/>
    <mergeCell ref="EZ13:FG13"/>
    <mergeCell ref="DT12:EA12"/>
    <mergeCell ref="DT13:EA13"/>
    <mergeCell ref="EB12:EI12"/>
    <mergeCell ref="EB13:EI13"/>
    <mergeCell ref="EJ12:EQ12"/>
    <mergeCell ref="BW17:CH17"/>
    <mergeCell ref="AB18:AY18"/>
    <mergeCell ref="AZ16:BG16"/>
    <mergeCell ref="AZ17:BG17"/>
    <mergeCell ref="BH16:BO16"/>
    <mergeCell ref="BH17:BO17"/>
    <mergeCell ref="AB16:AI16"/>
    <mergeCell ref="AB17:AI17"/>
    <mergeCell ref="AJ16:AQ16"/>
    <mergeCell ref="AJ17:AQ17"/>
    <mergeCell ref="AR16:AY16"/>
    <mergeCell ref="AR17:AY17"/>
    <mergeCell ref="FF15:FG15"/>
    <mergeCell ref="FH15:FO15"/>
    <mergeCell ref="D16:K16"/>
    <mergeCell ref="D17:K17"/>
    <mergeCell ref="L16:P16"/>
    <mergeCell ref="L17:P17"/>
    <mergeCell ref="Q16:R16"/>
    <mergeCell ref="Q17:R17"/>
    <mergeCell ref="S16"/>
    <mergeCell ref="S17"/>
    <mergeCell ref="T16:U16"/>
    <mergeCell ref="T17:U17"/>
    <mergeCell ref="V16"/>
    <mergeCell ref="V17"/>
    <mergeCell ref="W16:AA16"/>
    <mergeCell ref="W17:AA17"/>
    <mergeCell ref="A19:C19"/>
    <mergeCell ref="A20:C20"/>
    <mergeCell ref="A21:C21"/>
    <mergeCell ref="A22:C22"/>
    <mergeCell ref="D19:Q19"/>
    <mergeCell ref="R19:Y19"/>
    <mergeCell ref="Z19:AA19"/>
    <mergeCell ref="AB19:AY19"/>
    <mergeCell ref="AZ19:BN19"/>
    <mergeCell ref="BO19:BV19"/>
    <mergeCell ref="BW19"/>
    <mergeCell ref="BX19:CU19"/>
    <mergeCell ref="CV19:DS19"/>
    <mergeCell ref="DT19:DU19"/>
    <mergeCell ref="DV19:EQ19"/>
    <mergeCell ref="EZ16:FE16"/>
    <mergeCell ref="EZ17:FE17"/>
    <mergeCell ref="EJ16:EQ16"/>
    <mergeCell ref="EJ17:EQ17"/>
    <mergeCell ref="DT18:EQ18"/>
    <mergeCell ref="ER16:EY16"/>
    <mergeCell ref="ER17:EY17"/>
    <mergeCell ref="ER18:FO18"/>
    <mergeCell ref="CV18:DS18"/>
    <mergeCell ref="DT16:EA16"/>
    <mergeCell ref="DT17:EA17"/>
    <mergeCell ref="EB16:EI16"/>
    <mergeCell ref="EB17:EI17"/>
    <mergeCell ref="CV16:DC16"/>
    <mergeCell ref="CV17:DC17"/>
    <mergeCell ref="DD16:DK16"/>
    <mergeCell ref="DD17:DK17"/>
    <mergeCell ref="ER19:ES19"/>
    <mergeCell ref="ET19:FA19"/>
    <mergeCell ref="FB19:FO19"/>
    <mergeCell ref="D20:K20"/>
    <mergeCell ref="D21:K21"/>
    <mergeCell ref="L20:Q20"/>
    <mergeCell ref="L21:Q21"/>
    <mergeCell ref="R20:Y20"/>
    <mergeCell ref="R21:Y21"/>
    <mergeCell ref="Z20:AA20"/>
    <mergeCell ref="Z21:AA21"/>
    <mergeCell ref="AR20:AY20"/>
    <mergeCell ref="AR21:AY21"/>
    <mergeCell ref="AZ20:BG20"/>
    <mergeCell ref="AZ21:BG21"/>
    <mergeCell ref="BH20:BN20"/>
    <mergeCell ref="FP15:FT18"/>
    <mergeCell ref="FF16:FG16"/>
    <mergeCell ref="FF17:FG17"/>
    <mergeCell ref="FH16:FO16"/>
    <mergeCell ref="FH17:FO17"/>
    <mergeCell ref="DL16:DS16"/>
    <mergeCell ref="DL17:DS17"/>
    <mergeCell ref="CI16:CM16"/>
    <mergeCell ref="CI17:CM17"/>
    <mergeCell ref="CN16:CU16"/>
    <mergeCell ref="CN17:CU17"/>
    <mergeCell ref="BX18:CU18"/>
    <mergeCell ref="BP16:BV16"/>
    <mergeCell ref="BP17:BV17"/>
    <mergeCell ref="AZ18:BW18"/>
    <mergeCell ref="BW16:CH16"/>
    <mergeCell ref="CN20:CU20"/>
    <mergeCell ref="CN21:CU21"/>
    <mergeCell ref="BX22:CU22"/>
    <mergeCell ref="CV20:DC20"/>
    <mergeCell ref="CV21:DC21"/>
    <mergeCell ref="AZ22:BW22"/>
    <mergeCell ref="BX20:CE20"/>
    <mergeCell ref="BX21:CE21"/>
    <mergeCell ref="CF20:CM20"/>
    <mergeCell ref="CF21:CM21"/>
    <mergeCell ref="BH21:BN21"/>
    <mergeCell ref="BO20:BV20"/>
    <mergeCell ref="BO21:BV21"/>
    <mergeCell ref="BW20"/>
    <mergeCell ref="BW21"/>
    <mergeCell ref="D22:AA22"/>
    <mergeCell ref="AB20:AI20"/>
    <mergeCell ref="AB21:AI21"/>
    <mergeCell ref="AJ20:AQ20"/>
    <mergeCell ref="AJ21:AQ21"/>
    <mergeCell ref="AB22:AY22"/>
    <mergeCell ref="FH21:FO21"/>
    <mergeCell ref="EJ20:EQ20"/>
    <mergeCell ref="EJ21:EQ21"/>
    <mergeCell ref="DT22:EQ22"/>
    <mergeCell ref="ER20:ES20"/>
    <mergeCell ref="ER21:ES21"/>
    <mergeCell ref="ER22:FO22"/>
    <mergeCell ref="DT20:DU20"/>
    <mergeCell ref="DT21:DU21"/>
    <mergeCell ref="DV20:EA20"/>
    <mergeCell ref="DV21:EA21"/>
    <mergeCell ref="EB20:EI20"/>
    <mergeCell ref="EB21:EI21"/>
    <mergeCell ref="DD20:DK20"/>
    <mergeCell ref="DD21:DK21"/>
    <mergeCell ref="DL20:DS20"/>
    <mergeCell ref="DL21:DS21"/>
    <mergeCell ref="CV22:DS22"/>
    <mergeCell ref="V24"/>
    <mergeCell ref="V25"/>
    <mergeCell ref="W24:AA24"/>
    <mergeCell ref="W25:AA25"/>
    <mergeCell ref="D26:AA26"/>
    <mergeCell ref="D24:K24"/>
    <mergeCell ref="D25:K25"/>
    <mergeCell ref="L24:S24"/>
    <mergeCell ref="L25:S25"/>
    <mergeCell ref="T24:U24"/>
    <mergeCell ref="T25:U25"/>
    <mergeCell ref="FP19:FT22"/>
    <mergeCell ref="A23:C23"/>
    <mergeCell ref="A24:C24"/>
    <mergeCell ref="A25:C25"/>
    <mergeCell ref="A26:C26"/>
    <mergeCell ref="D23:U23"/>
    <mergeCell ref="V23"/>
    <mergeCell ref="W23:AA23"/>
    <mergeCell ref="AB23:AY23"/>
    <mergeCell ref="AZ23:BW23"/>
    <mergeCell ref="BX23:CU23"/>
    <mergeCell ref="CV23:DD23"/>
    <mergeCell ref="DE23:DP23"/>
    <mergeCell ref="DQ23:DS23"/>
    <mergeCell ref="DT23:EQ23"/>
    <mergeCell ref="ER23:FO23"/>
    <mergeCell ref="ET20:FA20"/>
    <mergeCell ref="ET21:FA21"/>
    <mergeCell ref="FB20:FG20"/>
    <mergeCell ref="FB21:FG21"/>
    <mergeCell ref="FH20:FO20"/>
    <mergeCell ref="CV24:DC24"/>
    <mergeCell ref="CV25:DC25"/>
    <mergeCell ref="DD24"/>
    <mergeCell ref="DD25"/>
    <mergeCell ref="DE24:DP24"/>
    <mergeCell ref="DE25:DP25"/>
    <mergeCell ref="CF24:CM24"/>
    <mergeCell ref="CF25:CM25"/>
    <mergeCell ref="CN24:CU24"/>
    <mergeCell ref="CN25:CU25"/>
    <mergeCell ref="BX26:CU26"/>
    <mergeCell ref="BP24:BW24"/>
    <mergeCell ref="BP25:BW25"/>
    <mergeCell ref="AZ26:BW26"/>
    <mergeCell ref="BX24:CE24"/>
    <mergeCell ref="BX25:CE25"/>
    <mergeCell ref="AB26:AY26"/>
    <mergeCell ref="AZ24:BG24"/>
    <mergeCell ref="AZ25:BG25"/>
    <mergeCell ref="BH24:BO24"/>
    <mergeCell ref="BH25:BO25"/>
    <mergeCell ref="AB24:AI24"/>
    <mergeCell ref="AB25:AI25"/>
    <mergeCell ref="AJ24:AQ24"/>
    <mergeCell ref="AJ25:AQ25"/>
    <mergeCell ref="AR24:AY24"/>
    <mergeCell ref="AR25:AY25"/>
    <mergeCell ref="ER26:FO26"/>
    <mergeCell ref="FP23:FT26"/>
    <mergeCell ref="A27:C27"/>
    <mergeCell ref="A28:C28"/>
    <mergeCell ref="A29:C29"/>
    <mergeCell ref="AM27:AW27"/>
    <mergeCell ref="AX27:AY27"/>
    <mergeCell ref="AZ27:BJ27"/>
    <mergeCell ref="BK27:BW27"/>
    <mergeCell ref="BX27:CU27"/>
    <mergeCell ref="CV27:DS27"/>
    <mergeCell ref="DT27:EQ27"/>
    <mergeCell ref="ER27:FO27"/>
    <mergeCell ref="Z29:AA29"/>
    <mergeCell ref="AL28"/>
    <mergeCell ref="AL29"/>
    <mergeCell ref="ER24:EY24"/>
    <mergeCell ref="ER25:EY25"/>
    <mergeCell ref="EZ24:FG24"/>
    <mergeCell ref="EZ25:FG25"/>
    <mergeCell ref="FH24:FO24"/>
    <mergeCell ref="FH25:FO25"/>
    <mergeCell ref="EB24:EI24"/>
    <mergeCell ref="EB25:EI25"/>
    <mergeCell ref="EJ24:EQ24"/>
    <mergeCell ref="EJ25:EQ25"/>
    <mergeCell ref="DT26:EQ26"/>
    <mergeCell ref="DQ24:DS24"/>
    <mergeCell ref="DQ25:DS25"/>
    <mergeCell ref="CV26:DS26"/>
    <mergeCell ref="DT24:EA24"/>
    <mergeCell ref="DT25:EA25"/>
    <mergeCell ref="AM28:AQ28"/>
    <mergeCell ref="AM29:AQ29"/>
    <mergeCell ref="AR28:AW28"/>
    <mergeCell ref="AR29:AW29"/>
    <mergeCell ref="AX28:AY28"/>
    <mergeCell ref="AX29:AY29"/>
    <mergeCell ref="D30:AA30"/>
    <mergeCell ref="AB28:AI28"/>
    <mergeCell ref="AB29:AI29"/>
    <mergeCell ref="AJ28:AK28"/>
    <mergeCell ref="AJ29:AK29"/>
    <mergeCell ref="AB30:AY30"/>
    <mergeCell ref="A30:C30"/>
    <mergeCell ref="D27:N27"/>
    <mergeCell ref="O27:Y27"/>
    <mergeCell ref="Z27:AA27"/>
    <mergeCell ref="AB27:AL27"/>
    <mergeCell ref="D28:K28"/>
    <mergeCell ref="D29:K29"/>
    <mergeCell ref="L28:M28"/>
    <mergeCell ref="L29:M29"/>
    <mergeCell ref="N28"/>
    <mergeCell ref="N29"/>
    <mergeCell ref="O28:S28"/>
    <mergeCell ref="O29:S29"/>
    <mergeCell ref="T28:Y28"/>
    <mergeCell ref="T29:Y29"/>
    <mergeCell ref="Z28:AA28"/>
    <mergeCell ref="BX30:CU30"/>
    <mergeCell ref="CV28:DC28"/>
    <mergeCell ref="CV29:DC29"/>
    <mergeCell ref="DD28:DK28"/>
    <mergeCell ref="DD29:DK29"/>
    <mergeCell ref="BX28:CE28"/>
    <mergeCell ref="BX29:CE29"/>
    <mergeCell ref="CF28:CM28"/>
    <mergeCell ref="CF29:CM29"/>
    <mergeCell ref="CN28:CU28"/>
    <mergeCell ref="CN29:CU29"/>
    <mergeCell ref="BK28:BO28"/>
    <mergeCell ref="BK29:BO29"/>
    <mergeCell ref="BP28:BW28"/>
    <mergeCell ref="BP29:BW29"/>
    <mergeCell ref="AZ30:BW30"/>
    <mergeCell ref="AZ28:BG28"/>
    <mergeCell ref="AZ29:BG29"/>
    <mergeCell ref="BH28:BI28"/>
    <mergeCell ref="BH29:BI29"/>
    <mergeCell ref="BJ28"/>
    <mergeCell ref="BJ29"/>
    <mergeCell ref="ER30:FO30"/>
    <mergeCell ref="FP27:FT30"/>
    <mergeCell ref="A31:C31"/>
    <mergeCell ref="A32:C32"/>
    <mergeCell ref="A33:C33"/>
    <mergeCell ref="AB31:AI31"/>
    <mergeCell ref="AJ31:AK31"/>
    <mergeCell ref="AL31:AY31"/>
    <mergeCell ref="AZ31:BB31"/>
    <mergeCell ref="BC31"/>
    <mergeCell ref="BD31:BT31"/>
    <mergeCell ref="BU31:BV31"/>
    <mergeCell ref="BW31"/>
    <mergeCell ref="BX31:CU31"/>
    <mergeCell ref="CV31:CW31"/>
    <mergeCell ref="CX31:DS31"/>
    <mergeCell ref="ER28:EY28"/>
    <mergeCell ref="ER29:EY29"/>
    <mergeCell ref="EZ28:FG28"/>
    <mergeCell ref="EZ29:FG29"/>
    <mergeCell ref="FH28:FO28"/>
    <mergeCell ref="FH29:FO29"/>
    <mergeCell ref="EB28:EI28"/>
    <mergeCell ref="EB29:EI29"/>
    <mergeCell ref="EJ28:EQ28"/>
    <mergeCell ref="EJ29:EQ29"/>
    <mergeCell ref="DT30:EQ30"/>
    <mergeCell ref="DL28:DS28"/>
    <mergeCell ref="DL29:DS29"/>
    <mergeCell ref="CV30:DS30"/>
    <mergeCell ref="DT28:EA28"/>
    <mergeCell ref="DT29:EA29"/>
    <mergeCell ref="DT31:EQ31"/>
    <mergeCell ref="ER31:FO31"/>
    <mergeCell ref="D32:K32"/>
    <mergeCell ref="D33:K33"/>
    <mergeCell ref="L32"/>
    <mergeCell ref="L33"/>
    <mergeCell ref="M32:S32"/>
    <mergeCell ref="M33:S33"/>
    <mergeCell ref="T32:W32"/>
    <mergeCell ref="T33:W33"/>
    <mergeCell ref="X32"/>
    <mergeCell ref="X33"/>
    <mergeCell ref="Y32:AA32"/>
    <mergeCell ref="Y33:AA33"/>
    <mergeCell ref="AB32:AI32"/>
    <mergeCell ref="AB33:AI33"/>
    <mergeCell ref="A34:C34"/>
    <mergeCell ref="D31:L31"/>
    <mergeCell ref="M31:W31"/>
    <mergeCell ref="X31"/>
    <mergeCell ref="Y31:AA31"/>
    <mergeCell ref="D34:AA34"/>
    <mergeCell ref="BX33:CE33"/>
    <mergeCell ref="CF32:CM32"/>
    <mergeCell ref="CF33:CM33"/>
    <mergeCell ref="CN32:CU32"/>
    <mergeCell ref="CN33:CU33"/>
    <mergeCell ref="BU32:BV32"/>
    <mergeCell ref="BU33:BV33"/>
    <mergeCell ref="BW32"/>
    <mergeCell ref="BW33"/>
    <mergeCell ref="AZ34:BW34"/>
    <mergeCell ref="BD32:BG32"/>
    <mergeCell ref="BD33:BG33"/>
    <mergeCell ref="BH32:BO32"/>
    <mergeCell ref="BH33:BO33"/>
    <mergeCell ref="BP32:BT32"/>
    <mergeCell ref="BP33:BT33"/>
    <mergeCell ref="AB34:AY34"/>
    <mergeCell ref="AZ32:BB32"/>
    <mergeCell ref="AZ33:BB33"/>
    <mergeCell ref="BC32"/>
    <mergeCell ref="BC33"/>
    <mergeCell ref="AJ32:AK32"/>
    <mergeCell ref="AJ33:AK33"/>
    <mergeCell ref="AL32:AQ32"/>
    <mergeCell ref="AL33:AQ33"/>
    <mergeCell ref="AR32:AY32"/>
    <mergeCell ref="AR33:AY33"/>
    <mergeCell ref="FH32:FO32"/>
    <mergeCell ref="FH33:FO33"/>
    <mergeCell ref="ER34:FO34"/>
    <mergeCell ref="FP31:FT34"/>
    <mergeCell ref="A35:C35"/>
    <mergeCell ref="AZ35:BW35"/>
    <mergeCell ref="BX35:CU35"/>
    <mergeCell ref="CV35:DS35"/>
    <mergeCell ref="DT35:EQ35"/>
    <mergeCell ref="ER35:FO35"/>
    <mergeCell ref="DT34:EQ34"/>
    <mergeCell ref="ER32:EY32"/>
    <mergeCell ref="ER33:EY33"/>
    <mergeCell ref="EZ32:FG32"/>
    <mergeCell ref="EZ33:FG33"/>
    <mergeCell ref="DT32:EA32"/>
    <mergeCell ref="DT33:EA33"/>
    <mergeCell ref="EB32:EI32"/>
    <mergeCell ref="EB33:EI33"/>
    <mergeCell ref="EJ32:EQ32"/>
    <mergeCell ref="EJ33:EQ33"/>
    <mergeCell ref="DD32:DK32"/>
    <mergeCell ref="DD33:DK33"/>
    <mergeCell ref="DL32:DS32"/>
    <mergeCell ref="DL33:DS33"/>
    <mergeCell ref="CV34:DS34"/>
    <mergeCell ref="BX34:CU34"/>
    <mergeCell ref="CV32:CW32"/>
    <mergeCell ref="CV33:CW33"/>
    <mergeCell ref="CX32:DC32"/>
    <mergeCell ref="CX33:DC33"/>
    <mergeCell ref="BX32:CE32"/>
    <mergeCell ref="AR36:AY36"/>
    <mergeCell ref="AR37:AY37"/>
    <mergeCell ref="AB38:AY38"/>
    <mergeCell ref="AZ36:BG36"/>
    <mergeCell ref="AZ37:BG37"/>
    <mergeCell ref="A36:C36"/>
    <mergeCell ref="A37:C37"/>
    <mergeCell ref="A38:C38"/>
    <mergeCell ref="D35:AA35"/>
    <mergeCell ref="AB35:AY35"/>
    <mergeCell ref="D36:K36"/>
    <mergeCell ref="D37:K37"/>
    <mergeCell ref="L36:S36"/>
    <mergeCell ref="L37:S37"/>
    <mergeCell ref="T36:AA36"/>
    <mergeCell ref="T37:AA37"/>
    <mergeCell ref="D38:AA38"/>
    <mergeCell ref="AB36:AI36"/>
    <mergeCell ref="AB37:AI37"/>
    <mergeCell ref="AJ36:AQ36"/>
    <mergeCell ref="AJ37:AQ37"/>
    <mergeCell ref="DT36:EA36"/>
    <mergeCell ref="DT37:EA37"/>
    <mergeCell ref="BX38:CU38"/>
    <mergeCell ref="CV36:DC36"/>
    <mergeCell ref="CV37:DC37"/>
    <mergeCell ref="DD36:DK36"/>
    <mergeCell ref="DD37:DK37"/>
    <mergeCell ref="BX36:CE36"/>
    <mergeCell ref="BX37:CE37"/>
    <mergeCell ref="CF36:CM36"/>
    <mergeCell ref="CF37:CM37"/>
    <mergeCell ref="CN36:CU36"/>
    <mergeCell ref="CN37:CU37"/>
    <mergeCell ref="BH36:BO36"/>
    <mergeCell ref="BH37:BO37"/>
    <mergeCell ref="BP36:BW36"/>
    <mergeCell ref="BP37:BW37"/>
    <mergeCell ref="AZ38:BW38"/>
    <mergeCell ref="A41:AY41"/>
    <mergeCell ref="A42:K42"/>
    <mergeCell ref="L42:S42"/>
    <mergeCell ref="T42:AA42"/>
    <mergeCell ref="AB42:AI42"/>
    <mergeCell ref="AJ42:AQ42"/>
    <mergeCell ref="AR42:AY42"/>
    <mergeCell ref="ER38:FO38"/>
    <mergeCell ref="FP35:FT38"/>
    <mergeCell ref="A39:C39"/>
    <mergeCell ref="FP39:FT39"/>
    <mergeCell ref="D39:AA39"/>
    <mergeCell ref="AB39:AY39"/>
    <mergeCell ref="AZ39:BW39"/>
    <mergeCell ref="BX39:CU39"/>
    <mergeCell ref="CV39:DS39"/>
    <mergeCell ref="DT39:EQ39"/>
    <mergeCell ref="ER39:FO39"/>
    <mergeCell ref="ER36:EY36"/>
    <mergeCell ref="ER37:EY37"/>
    <mergeCell ref="EZ36:FG36"/>
    <mergeCell ref="EZ37:FG37"/>
    <mergeCell ref="FH36:FO36"/>
    <mergeCell ref="FH37:FO37"/>
    <mergeCell ref="EB36:EI36"/>
    <mergeCell ref="EB37:EI37"/>
    <mergeCell ref="EJ36:EQ36"/>
    <mergeCell ref="EJ37:EQ37"/>
    <mergeCell ref="DT38:EQ38"/>
    <mergeCell ref="DL36:DS36"/>
    <mergeCell ref="DL37:DS37"/>
    <mergeCell ref="CV38:DS38"/>
    <mergeCell ref="AR45:AY45"/>
    <mergeCell ref="A46:K46"/>
    <mergeCell ref="L46:S46"/>
    <mergeCell ref="T46:AA46"/>
    <mergeCell ref="AB46:AI46"/>
    <mergeCell ref="AJ46:AQ46"/>
    <mergeCell ref="AR46:AY46"/>
    <mergeCell ref="A45:K45"/>
    <mergeCell ref="L45:S45"/>
    <mergeCell ref="T45:AA45"/>
    <mergeCell ref="AB45:AI45"/>
    <mergeCell ref="AJ45:AQ45"/>
    <mergeCell ref="AR43:AY43"/>
    <mergeCell ref="A44:K44"/>
    <mergeCell ref="L44:S44"/>
    <mergeCell ref="T44:AA44"/>
    <mergeCell ref="AB44:AI44"/>
    <mergeCell ref="AJ44:AQ44"/>
    <mergeCell ref="AR44:AY44"/>
    <mergeCell ref="A43:K43"/>
    <mergeCell ref="L43:S43"/>
    <mergeCell ref="T43:AA43"/>
    <mergeCell ref="AB43:AI43"/>
    <mergeCell ref="AJ43:AQ43"/>
    <mergeCell ref="AR49:AY49"/>
    <mergeCell ref="A50:K50"/>
    <mergeCell ref="L50:S50"/>
    <mergeCell ref="T50:AA50"/>
    <mergeCell ref="AB50:AI50"/>
    <mergeCell ref="AJ50:AQ50"/>
    <mergeCell ref="AR50:AY50"/>
    <mergeCell ref="A49:K49"/>
    <mergeCell ref="L49:S49"/>
    <mergeCell ref="T49:AA49"/>
    <mergeCell ref="AB49:AI49"/>
    <mergeCell ref="AJ49:AQ49"/>
    <mergeCell ref="AR47:AY47"/>
    <mergeCell ref="A48:K48"/>
    <mergeCell ref="L48:S48"/>
    <mergeCell ref="T48:AA48"/>
    <mergeCell ref="AB48:AI48"/>
    <mergeCell ref="AJ48:AQ48"/>
    <mergeCell ref="AR48:AY48"/>
    <mergeCell ref="A47:K47"/>
    <mergeCell ref="L47:S47"/>
    <mergeCell ref="T47:AA47"/>
    <mergeCell ref="AB47:AI47"/>
    <mergeCell ref="AJ47:AQ47"/>
    <mergeCell ref="AR53:AY53"/>
    <mergeCell ref="A54:K54"/>
    <mergeCell ref="L54:S54"/>
    <mergeCell ref="T54:AA54"/>
    <mergeCell ref="AB54:AI54"/>
    <mergeCell ref="AJ54:AQ54"/>
    <mergeCell ref="AR54:AY54"/>
    <mergeCell ref="A53:K53"/>
    <mergeCell ref="L53:S53"/>
    <mergeCell ref="T53:AA53"/>
    <mergeCell ref="AB53:AI53"/>
    <mergeCell ref="AJ53:AQ53"/>
    <mergeCell ref="AR51:AY51"/>
    <mergeCell ref="A52:K52"/>
    <mergeCell ref="L52:S52"/>
    <mergeCell ref="T52:AA52"/>
    <mergeCell ref="AB52:AI52"/>
    <mergeCell ref="AJ52:AQ52"/>
    <mergeCell ref="AR52:AY52"/>
    <mergeCell ref="A51:K51"/>
    <mergeCell ref="L51:S51"/>
    <mergeCell ref="T51:AA51"/>
    <mergeCell ref="AB51:AI51"/>
    <mergeCell ref="AJ51:AQ51"/>
    <mergeCell ref="AR57:AY57"/>
    <mergeCell ref="A58:K58"/>
    <mergeCell ref="L58:S58"/>
    <mergeCell ref="T58:AA58"/>
    <mergeCell ref="AB58:AI58"/>
    <mergeCell ref="AJ58:AQ58"/>
    <mergeCell ref="AR58:AY58"/>
    <mergeCell ref="A57:K57"/>
    <mergeCell ref="L57:S57"/>
    <mergeCell ref="T57:AA57"/>
    <mergeCell ref="AB57:AI57"/>
    <mergeCell ref="AJ57:AQ57"/>
    <mergeCell ref="AR55:AY55"/>
    <mergeCell ref="A56:K56"/>
    <mergeCell ref="L56:S56"/>
    <mergeCell ref="T56:AA56"/>
    <mergeCell ref="AB56:AI56"/>
    <mergeCell ref="AJ56:AQ56"/>
    <mergeCell ref="AR56:AY56"/>
    <mergeCell ref="A55:K55"/>
    <mergeCell ref="L55:S55"/>
    <mergeCell ref="T55:AA55"/>
    <mergeCell ref="AB55:AI55"/>
    <mergeCell ref="AJ55:AQ55"/>
    <mergeCell ref="AR61:AY61"/>
    <mergeCell ref="A62:K62"/>
    <mergeCell ref="L62:S62"/>
    <mergeCell ref="T62:AA62"/>
    <mergeCell ref="AB62:AI62"/>
    <mergeCell ref="AJ62:AQ62"/>
    <mergeCell ref="AR62:AY62"/>
    <mergeCell ref="A61:K61"/>
    <mergeCell ref="L61:S61"/>
    <mergeCell ref="T61:AA61"/>
    <mergeCell ref="AB61:AI61"/>
    <mergeCell ref="AJ61:AQ61"/>
    <mergeCell ref="AR59:AY59"/>
    <mergeCell ref="A60:K60"/>
    <mergeCell ref="L60:S60"/>
    <mergeCell ref="T60:AA60"/>
    <mergeCell ref="AB60:AI60"/>
    <mergeCell ref="AJ60:AQ60"/>
    <mergeCell ref="AR60:AY60"/>
    <mergeCell ref="A59:K59"/>
    <mergeCell ref="L59:S59"/>
    <mergeCell ref="T59:AA59"/>
    <mergeCell ref="AB59:AI59"/>
    <mergeCell ref="AJ59:AQ59"/>
    <mergeCell ref="CX43:DE43"/>
    <mergeCell ref="DF43:DM43"/>
    <mergeCell ref="DN43:DU43"/>
    <mergeCell ref="BB44:BI44"/>
    <mergeCell ref="BJ44:BY44"/>
    <mergeCell ref="BZ44:CG44"/>
    <mergeCell ref="CH44:CO44"/>
    <mergeCell ref="CP44:CW44"/>
    <mergeCell ref="CX44:DE44"/>
    <mergeCell ref="DF44:DM44"/>
    <mergeCell ref="DN44:DU44"/>
    <mergeCell ref="BB43:BI43"/>
    <mergeCell ref="BJ43:BY43"/>
    <mergeCell ref="BZ43:CG43"/>
    <mergeCell ref="CH43:CO43"/>
    <mergeCell ref="CP43:CW43"/>
    <mergeCell ref="BB41:DU41"/>
    <mergeCell ref="BB42:BI42"/>
    <mergeCell ref="BJ42:BY42"/>
    <mergeCell ref="BZ42:CG42"/>
    <mergeCell ref="CH42:CO42"/>
    <mergeCell ref="CP42:CW42"/>
    <mergeCell ref="CX42:DE42"/>
    <mergeCell ref="DF42:DM42"/>
    <mergeCell ref="DN42:DU42"/>
    <mergeCell ref="CX47:DE47"/>
    <mergeCell ref="DF47:DM47"/>
    <mergeCell ref="DN47:DU47"/>
    <mergeCell ref="BB48:BI48"/>
    <mergeCell ref="BJ48:BY48"/>
    <mergeCell ref="BZ48:CG48"/>
    <mergeCell ref="CH48:CO48"/>
    <mergeCell ref="CP48:CW48"/>
    <mergeCell ref="CX48:DE48"/>
    <mergeCell ref="DF48:DM48"/>
    <mergeCell ref="DN48:DU48"/>
    <mergeCell ref="BB47:BI47"/>
    <mergeCell ref="BJ47:BY47"/>
    <mergeCell ref="BZ47:CG47"/>
    <mergeCell ref="CH47:CO47"/>
    <mergeCell ref="CP47:CW47"/>
    <mergeCell ref="CX45:DE45"/>
    <mergeCell ref="DF45:DM45"/>
    <mergeCell ref="DN45:DU45"/>
    <mergeCell ref="BB46:BI46"/>
    <mergeCell ref="BJ46:BY46"/>
    <mergeCell ref="BZ46:CG46"/>
    <mergeCell ref="CH46:CO46"/>
    <mergeCell ref="CP46:CW46"/>
    <mergeCell ref="CX46:DE46"/>
    <mergeCell ref="DF46:DM46"/>
    <mergeCell ref="DN46:DU46"/>
    <mergeCell ref="BB45:BI45"/>
    <mergeCell ref="BJ45:BY45"/>
    <mergeCell ref="BZ45:CG45"/>
    <mergeCell ref="CH45:CO45"/>
    <mergeCell ref="CP45:CW45"/>
    <mergeCell ref="CX51:DE51"/>
    <mergeCell ref="DF51:DM51"/>
    <mergeCell ref="DN51:DU51"/>
    <mergeCell ref="BB52:BI52"/>
    <mergeCell ref="BJ52:BY52"/>
    <mergeCell ref="BZ52:CG52"/>
    <mergeCell ref="CH52:CO52"/>
    <mergeCell ref="CP52:CW52"/>
    <mergeCell ref="CX52:DE52"/>
    <mergeCell ref="DF52:DM52"/>
    <mergeCell ref="DN52:DU52"/>
    <mergeCell ref="BB51:BI51"/>
    <mergeCell ref="BJ51:BY51"/>
    <mergeCell ref="BZ51:CG51"/>
    <mergeCell ref="CH51:CO51"/>
    <mergeCell ref="CP51:CW51"/>
    <mergeCell ref="CX49:DE49"/>
    <mergeCell ref="DF49:DM49"/>
    <mergeCell ref="DN49:DU49"/>
    <mergeCell ref="BB50:BI50"/>
    <mergeCell ref="BJ50:BY50"/>
    <mergeCell ref="BZ50:CG50"/>
    <mergeCell ref="CH50:CO50"/>
    <mergeCell ref="CP50:CW50"/>
    <mergeCell ref="CX50:DE50"/>
    <mergeCell ref="DF50:DM50"/>
    <mergeCell ref="DN50:DU50"/>
    <mergeCell ref="BB49:BI49"/>
    <mergeCell ref="BJ49:BY49"/>
    <mergeCell ref="BZ49:CG49"/>
    <mergeCell ref="CH49:CO49"/>
    <mergeCell ref="CP49:CW49"/>
    <mergeCell ref="CX55:DE55"/>
    <mergeCell ref="DF55:DM55"/>
    <mergeCell ref="DN55:DU55"/>
    <mergeCell ref="BB56:BI56"/>
    <mergeCell ref="BJ56:BY56"/>
    <mergeCell ref="BZ56:CG56"/>
    <mergeCell ref="CH56:CO56"/>
    <mergeCell ref="CP56:CW56"/>
    <mergeCell ref="CX56:DE56"/>
    <mergeCell ref="DF56:DM56"/>
    <mergeCell ref="DN56:DU56"/>
    <mergeCell ref="BB55:BI55"/>
    <mergeCell ref="BJ55:BY55"/>
    <mergeCell ref="BZ55:CG55"/>
    <mergeCell ref="CH55:CO55"/>
    <mergeCell ref="CP55:CW55"/>
    <mergeCell ref="CX53:DE53"/>
    <mergeCell ref="DF53:DM53"/>
    <mergeCell ref="DN53:DU53"/>
    <mergeCell ref="BB54:BI54"/>
    <mergeCell ref="BJ54:BY54"/>
    <mergeCell ref="BZ54:CG54"/>
    <mergeCell ref="CH54:CO54"/>
    <mergeCell ref="CP54:CW54"/>
    <mergeCell ref="CX54:DE54"/>
    <mergeCell ref="DF54:DM54"/>
    <mergeCell ref="DN54:DU54"/>
    <mergeCell ref="BB53:BI53"/>
    <mergeCell ref="BJ53:BY53"/>
    <mergeCell ref="BZ53:CG53"/>
    <mergeCell ref="CH53:CO53"/>
    <mergeCell ref="CP53:CW53"/>
    <mergeCell ref="DN59:DU59"/>
    <mergeCell ref="BB60:BI60"/>
    <mergeCell ref="BJ60:BY60"/>
    <mergeCell ref="BZ60:CG60"/>
    <mergeCell ref="CH60:CO60"/>
    <mergeCell ref="CP60:CW60"/>
    <mergeCell ref="CX60:DE60"/>
    <mergeCell ref="DF60:DM60"/>
    <mergeCell ref="DN60:DU60"/>
    <mergeCell ref="BB59:BI59"/>
    <mergeCell ref="BJ59:BY59"/>
    <mergeCell ref="BZ59:CG59"/>
    <mergeCell ref="CH59:CO59"/>
    <mergeCell ref="CP59:CW59"/>
    <mergeCell ref="CX57:DE57"/>
    <mergeCell ref="DF57:DM57"/>
    <mergeCell ref="DN57:DU57"/>
    <mergeCell ref="BB58:BI58"/>
    <mergeCell ref="BJ58:BY58"/>
    <mergeCell ref="BZ58:CG58"/>
    <mergeCell ref="CH58:CO58"/>
    <mergeCell ref="CP58:CW58"/>
    <mergeCell ref="CX58:DE58"/>
    <mergeCell ref="DF58:DM58"/>
    <mergeCell ref="DN58:DU58"/>
    <mergeCell ref="BB57:BI57"/>
    <mergeCell ref="BJ57:BY57"/>
    <mergeCell ref="BZ57:CG57"/>
    <mergeCell ref="CH57:CO57"/>
    <mergeCell ref="CP57:CW57"/>
    <mergeCell ref="BB63:BI63"/>
    <mergeCell ref="BJ63:BY63"/>
    <mergeCell ref="BZ63:CG63"/>
    <mergeCell ref="CH63:CO63"/>
    <mergeCell ref="CP63:CW63"/>
    <mergeCell ref="CX61:DE61"/>
    <mergeCell ref="DF61:DM61"/>
    <mergeCell ref="DN61:DU61"/>
    <mergeCell ref="BB62:BI62"/>
    <mergeCell ref="BJ62:BY62"/>
    <mergeCell ref="BZ62:CG62"/>
    <mergeCell ref="CH62:CO62"/>
    <mergeCell ref="CP62:CW62"/>
    <mergeCell ref="CX62:DE62"/>
    <mergeCell ref="DF62:DM62"/>
    <mergeCell ref="DN62:DU62"/>
    <mergeCell ref="BB61:BI61"/>
    <mergeCell ref="BJ61:BY61"/>
    <mergeCell ref="BZ61:CG61"/>
    <mergeCell ref="CH61:CO61"/>
    <mergeCell ref="CP61:CW61"/>
    <mergeCell ref="EV42:FC42"/>
    <mergeCell ref="EV43:FC43"/>
    <mergeCell ref="EV44:FC44"/>
    <mergeCell ref="EV45:FC45"/>
    <mergeCell ref="EV46:FC46"/>
    <mergeCell ref="EV47:FC47"/>
    <mergeCell ref="EV48:FC48"/>
    <mergeCell ref="EV49:FC49"/>
    <mergeCell ref="EV50:FC50"/>
    <mergeCell ref="EN42:EU42"/>
    <mergeCell ref="EN43:EU43"/>
    <mergeCell ref="EN44:EU44"/>
    <mergeCell ref="EN45:EU45"/>
    <mergeCell ref="EN46:EU46"/>
    <mergeCell ref="CX63:DE63"/>
    <mergeCell ref="DF63:DM63"/>
    <mergeCell ref="DN63:DU63"/>
    <mergeCell ref="DX42:EM42"/>
    <mergeCell ref="DX43:EM43"/>
    <mergeCell ref="DX44:EM44"/>
    <mergeCell ref="DX45:EM45"/>
    <mergeCell ref="DX46:EM46"/>
    <mergeCell ref="DX47:EM47"/>
    <mergeCell ref="DX48:EM48"/>
    <mergeCell ref="DX49:EM49"/>
    <mergeCell ref="DX50:EM50"/>
    <mergeCell ref="DX52:EM53"/>
    <mergeCell ref="DX61:EM61"/>
    <mergeCell ref="DX54:EM54"/>
    <mergeCell ref="DX55:EM55"/>
    <mergeCell ref="CX59:DE59"/>
    <mergeCell ref="DF59:DM59"/>
    <mergeCell ref="FT46:GA46"/>
    <mergeCell ref="FD47:FK47"/>
    <mergeCell ref="FD48:FK48"/>
    <mergeCell ref="FD49:FK49"/>
    <mergeCell ref="FD50:FK50"/>
    <mergeCell ref="FL42:FS42"/>
    <mergeCell ref="FL43:FS43"/>
    <mergeCell ref="FL44:FS44"/>
    <mergeCell ref="FL45:FS45"/>
    <mergeCell ref="FL46:FS46"/>
    <mergeCell ref="FL47:FS47"/>
    <mergeCell ref="FL48:FS48"/>
    <mergeCell ref="FL49:FS49"/>
    <mergeCell ref="FL50:FS50"/>
    <mergeCell ref="FD42:FK42"/>
    <mergeCell ref="FD43:FK43"/>
    <mergeCell ref="FD44:FK44"/>
    <mergeCell ref="FD45:FK45"/>
    <mergeCell ref="FD46:FK46"/>
    <mergeCell ref="DX41:GY41"/>
    <mergeCell ref="GR42:GY42"/>
    <mergeCell ref="GR43:GY43"/>
    <mergeCell ref="GR44:GY44"/>
    <mergeCell ref="GR45:GY45"/>
    <mergeCell ref="GR46:GY46"/>
    <mergeCell ref="GR47:GY47"/>
    <mergeCell ref="GR48:GY48"/>
    <mergeCell ref="GR49:GY49"/>
    <mergeCell ref="GR50:GY50"/>
    <mergeCell ref="GJ42:GQ42"/>
    <mergeCell ref="GJ43:GQ43"/>
    <mergeCell ref="GJ44:GQ44"/>
    <mergeCell ref="GJ45:GQ45"/>
    <mergeCell ref="GJ46:GQ46"/>
    <mergeCell ref="FT47:GA47"/>
    <mergeCell ref="FT48:GA48"/>
    <mergeCell ref="FT49:GA49"/>
    <mergeCell ref="FT50:GA50"/>
    <mergeCell ref="GB42:GI42"/>
    <mergeCell ref="GB43:GI43"/>
    <mergeCell ref="GB44:GI44"/>
    <mergeCell ref="GB45:GI45"/>
    <mergeCell ref="GB46:GI46"/>
    <mergeCell ref="GB47:GI47"/>
    <mergeCell ref="GB48:GI48"/>
    <mergeCell ref="GB49:GI49"/>
    <mergeCell ref="GB50:GI50"/>
    <mergeCell ref="FT42:GA42"/>
    <mergeCell ref="FT43:GA43"/>
    <mergeCell ref="FT44:GA44"/>
    <mergeCell ref="FT45:GA45"/>
    <mergeCell ref="EN53:EP53"/>
    <mergeCell ref="EQ53:ER53"/>
    <mergeCell ref="ES53:EU53"/>
    <mergeCell ref="EN52:EU52"/>
    <mergeCell ref="EN61:EP61"/>
    <mergeCell ref="EQ61:ER61"/>
    <mergeCell ref="ES61:EU61"/>
    <mergeCell ref="EN54:EP54"/>
    <mergeCell ref="EQ54:ER54"/>
    <mergeCell ref="ES54:EU54"/>
    <mergeCell ref="EN55:EP55"/>
    <mergeCell ref="EQ55:ER55"/>
    <mergeCell ref="ES55:EU55"/>
    <mergeCell ref="GJ47:GQ47"/>
    <mergeCell ref="GJ48:GQ48"/>
    <mergeCell ref="GJ49:GQ49"/>
    <mergeCell ref="GJ50:GQ50"/>
    <mergeCell ref="EN47:EU47"/>
    <mergeCell ref="EN48:EU48"/>
    <mergeCell ref="EN49:EU49"/>
    <mergeCell ref="EN50:EU50"/>
    <mergeCell ref="FD53:FF53"/>
    <mergeCell ref="FG53:FH53"/>
    <mergeCell ref="FI53:FK53"/>
    <mergeCell ref="FD52:FK52"/>
    <mergeCell ref="FD61:FF61"/>
    <mergeCell ref="FG61:FH61"/>
    <mergeCell ref="FI61:FK61"/>
    <mergeCell ref="FD54:FF54"/>
    <mergeCell ref="FG54:FH54"/>
    <mergeCell ref="FI54:FK54"/>
    <mergeCell ref="FD55:FF55"/>
    <mergeCell ref="FG55:FH55"/>
    <mergeCell ref="FI55:FK55"/>
    <mergeCell ref="FD56:FF56"/>
    <mergeCell ref="FG56:FH56"/>
    <mergeCell ref="FI56:FK56"/>
    <mergeCell ref="EV53:EX53"/>
    <mergeCell ref="EY53:EZ53"/>
    <mergeCell ref="FA53:FC53"/>
    <mergeCell ref="EV52:FC52"/>
    <mergeCell ref="EV61:EX61"/>
    <mergeCell ref="EY61:EZ61"/>
    <mergeCell ref="FA61:FC61"/>
    <mergeCell ref="EV54:EX54"/>
    <mergeCell ref="EY54:EZ54"/>
    <mergeCell ref="FA54:FC54"/>
    <mergeCell ref="EV55:EX55"/>
    <mergeCell ref="EY55:EZ55"/>
    <mergeCell ref="FA55:FC55"/>
    <mergeCell ref="EY56:EZ56"/>
    <mergeCell ref="FA56:FC56"/>
    <mergeCell ref="EY57:EZ57"/>
    <mergeCell ref="FT53:FV53"/>
    <mergeCell ref="FW53:FX53"/>
    <mergeCell ref="FY53:GA53"/>
    <mergeCell ref="FT52:GA52"/>
    <mergeCell ref="FT61:FV61"/>
    <mergeCell ref="FW61:FX61"/>
    <mergeCell ref="FY61:GA61"/>
    <mergeCell ref="FT54:FV54"/>
    <mergeCell ref="FW54:FX54"/>
    <mergeCell ref="FY54:GA54"/>
    <mergeCell ref="FT55:FV55"/>
    <mergeCell ref="FW55:FX55"/>
    <mergeCell ref="FY55:GA55"/>
    <mergeCell ref="FT56:FV56"/>
    <mergeCell ref="FW56:FX56"/>
    <mergeCell ref="FY56:GA56"/>
    <mergeCell ref="FL53:FN53"/>
    <mergeCell ref="FO53:FP53"/>
    <mergeCell ref="FQ53:FS53"/>
    <mergeCell ref="FL52:FS52"/>
    <mergeCell ref="FL61:FN61"/>
    <mergeCell ref="FO61:FP61"/>
    <mergeCell ref="FQ61:FS61"/>
    <mergeCell ref="FL54:FN54"/>
    <mergeCell ref="FO54:FP54"/>
    <mergeCell ref="FQ54:FS54"/>
    <mergeCell ref="FL55:FN55"/>
    <mergeCell ref="FO55:FP55"/>
    <mergeCell ref="FQ55:FS55"/>
    <mergeCell ref="FL56:FN56"/>
    <mergeCell ref="FO56:FP56"/>
    <mergeCell ref="FQ56:FS56"/>
    <mergeCell ref="GJ54:GL54"/>
    <mergeCell ref="GM54:GN54"/>
    <mergeCell ref="GO54:GQ54"/>
    <mergeCell ref="GJ55:GL55"/>
    <mergeCell ref="GM55:GN55"/>
    <mergeCell ref="GO55:GQ55"/>
    <mergeCell ref="GJ56:GL56"/>
    <mergeCell ref="GM56:GN56"/>
    <mergeCell ref="GO56:GQ56"/>
    <mergeCell ref="GB53:GD53"/>
    <mergeCell ref="GE53:GF53"/>
    <mergeCell ref="GG53:GI53"/>
    <mergeCell ref="GB52:GI52"/>
    <mergeCell ref="GB61:GD61"/>
    <mergeCell ref="GE61:GF61"/>
    <mergeCell ref="GG61:GI61"/>
    <mergeCell ref="GB54:GD54"/>
    <mergeCell ref="GE54:GF54"/>
    <mergeCell ref="GG54:GI54"/>
    <mergeCell ref="GB55:GD55"/>
    <mergeCell ref="GE55:GF55"/>
    <mergeCell ref="GG55:GI55"/>
    <mergeCell ref="GB56:GD56"/>
    <mergeCell ref="GE56:GF56"/>
    <mergeCell ref="GG56:GI56"/>
    <mergeCell ref="EN57:EP57"/>
    <mergeCell ref="EQ57:ER57"/>
    <mergeCell ref="ES57:EU57"/>
    <mergeCell ref="EV57:EX57"/>
    <mergeCell ref="DX56:EM56"/>
    <mergeCell ref="EN56:EP56"/>
    <mergeCell ref="EQ56:ER56"/>
    <mergeCell ref="ES56:EU56"/>
    <mergeCell ref="EV56:EX56"/>
    <mergeCell ref="GR53:GT53"/>
    <mergeCell ref="GU53:GV53"/>
    <mergeCell ref="GW53:GY53"/>
    <mergeCell ref="GR52:GY52"/>
    <mergeCell ref="GR61:GT61"/>
    <mergeCell ref="GU61:GV61"/>
    <mergeCell ref="GW61:GY61"/>
    <mergeCell ref="GR54:GT54"/>
    <mergeCell ref="GU54:GV54"/>
    <mergeCell ref="GW54:GY54"/>
    <mergeCell ref="GR55:GT55"/>
    <mergeCell ref="GU55:GV55"/>
    <mergeCell ref="GW55:GY55"/>
    <mergeCell ref="GR56:GT56"/>
    <mergeCell ref="GU56:GV56"/>
    <mergeCell ref="GW56:GY56"/>
    <mergeCell ref="GJ53:GL53"/>
    <mergeCell ref="GM53:GN53"/>
    <mergeCell ref="GO53:GQ53"/>
    <mergeCell ref="GJ52:GQ52"/>
    <mergeCell ref="GJ61:GL61"/>
    <mergeCell ref="GM61:GN61"/>
    <mergeCell ref="GO61:GQ61"/>
    <mergeCell ref="GO57:GQ57"/>
    <mergeCell ref="GR57:GT57"/>
    <mergeCell ref="GU57:GV57"/>
    <mergeCell ref="GW57:GY57"/>
    <mergeCell ref="DX58:EM58"/>
    <mergeCell ref="EN58:EP58"/>
    <mergeCell ref="EQ58:ER58"/>
    <mergeCell ref="ES58:EU58"/>
    <mergeCell ref="EV58:EX58"/>
    <mergeCell ref="EY58:EZ58"/>
    <mergeCell ref="FA58:FC58"/>
    <mergeCell ref="FD58:FF58"/>
    <mergeCell ref="FG58:FH58"/>
    <mergeCell ref="FI58:FK58"/>
    <mergeCell ref="FL58:FN58"/>
    <mergeCell ref="FO58:FP58"/>
    <mergeCell ref="GB57:GD57"/>
    <mergeCell ref="GE57:GF57"/>
    <mergeCell ref="GG57:GI57"/>
    <mergeCell ref="GJ57:GL57"/>
    <mergeCell ref="GM57:GN57"/>
    <mergeCell ref="FO57:FP57"/>
    <mergeCell ref="FQ57:FS57"/>
    <mergeCell ref="FT57:FV57"/>
    <mergeCell ref="FW57:FX57"/>
    <mergeCell ref="FY57:GA57"/>
    <mergeCell ref="FA57:FC57"/>
    <mergeCell ref="FD57:FF57"/>
    <mergeCell ref="FG57:FH57"/>
    <mergeCell ref="FI57:FK57"/>
    <mergeCell ref="FL57:FN57"/>
    <mergeCell ref="DX57:EM57"/>
    <mergeCell ref="FT59:FV59"/>
    <mergeCell ref="FW59:FX59"/>
    <mergeCell ref="FY59:GA59"/>
    <mergeCell ref="GB59:GD59"/>
    <mergeCell ref="GE59:GF59"/>
    <mergeCell ref="GR58:GT58"/>
    <mergeCell ref="GU58:GV58"/>
    <mergeCell ref="GW58:GY58"/>
    <mergeCell ref="DX59:EM59"/>
    <mergeCell ref="EN59:EP59"/>
    <mergeCell ref="EQ59:ER59"/>
    <mergeCell ref="ES59:EU59"/>
    <mergeCell ref="EV59:EX59"/>
    <mergeCell ref="EY59:EZ59"/>
    <mergeCell ref="FA59:FC59"/>
    <mergeCell ref="FD59:FF59"/>
    <mergeCell ref="FG59:FH59"/>
    <mergeCell ref="FI59:FK59"/>
    <mergeCell ref="FL59:FN59"/>
    <mergeCell ref="FO59:FP59"/>
    <mergeCell ref="FQ59:FS59"/>
    <mergeCell ref="GE58:GF58"/>
    <mergeCell ref="GG58:GI58"/>
    <mergeCell ref="GJ58:GL58"/>
    <mergeCell ref="GM58:GN58"/>
    <mergeCell ref="GO58:GQ58"/>
    <mergeCell ref="FQ58:FS58"/>
    <mergeCell ref="FT58:FV58"/>
    <mergeCell ref="FW58:FX58"/>
    <mergeCell ref="FY58:GA58"/>
    <mergeCell ref="GB58:GD58"/>
    <mergeCell ref="GW60:GY60"/>
    <mergeCell ref="GJ60:GL60"/>
    <mergeCell ref="GM60:GN60"/>
    <mergeCell ref="GO60:GQ60"/>
    <mergeCell ref="GR60:GT60"/>
    <mergeCell ref="GU60:GV60"/>
    <mergeCell ref="FW60:FX60"/>
    <mergeCell ref="FY60:GA60"/>
    <mergeCell ref="GB60:GD60"/>
    <mergeCell ref="GE60:GF60"/>
    <mergeCell ref="GG60:GI60"/>
    <mergeCell ref="GU59:GV59"/>
    <mergeCell ref="GW59:GY59"/>
    <mergeCell ref="DX60:EM60"/>
    <mergeCell ref="EN60:EP60"/>
    <mergeCell ref="EQ60:ER60"/>
    <mergeCell ref="ES60:EU60"/>
    <mergeCell ref="EV60:EX60"/>
    <mergeCell ref="EY60:EZ60"/>
    <mergeCell ref="FA60:FC60"/>
    <mergeCell ref="FD60:FF60"/>
    <mergeCell ref="FG60:FH60"/>
    <mergeCell ref="FI60:FK60"/>
    <mergeCell ref="FL60:FN60"/>
    <mergeCell ref="FO60:FP60"/>
    <mergeCell ref="FQ60:FS60"/>
    <mergeCell ref="FT60:FV60"/>
    <mergeCell ref="GG59:GI59"/>
    <mergeCell ref="GJ59:GL59"/>
    <mergeCell ref="GM59:GN59"/>
    <mergeCell ref="GO59:GQ59"/>
    <mergeCell ref="GR59:GT5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.77734375" customWidth="1"/>
    <col min="2" max="2" width="11" customWidth="1"/>
    <col min="3" max="3" width="43.88671875" customWidth="1"/>
    <col min="4" max="4" width="13" customWidth="1"/>
    <col min="5" max="5" width="14.6640625" customWidth="1"/>
    <col min="6" max="6" width="15.5546875" customWidth="1"/>
    <col min="7" max="7" width="19.44140625" customWidth="1"/>
    <col min="8" max="8" width="13.44140625" customWidth="1"/>
  </cols>
  <sheetData>
    <row r="1" spans="1:8" x14ac:dyDescent="0.3">
      <c r="A1" s="10" t="s">
        <v>180</v>
      </c>
      <c r="B1" s="10" t="s">
        <v>181</v>
      </c>
      <c r="C1" s="10" t="s">
        <v>182</v>
      </c>
      <c r="D1" s="10" t="s">
        <v>183</v>
      </c>
      <c r="E1" s="10" t="s">
        <v>184</v>
      </c>
      <c r="F1" s="10" t="s">
        <v>185</v>
      </c>
      <c r="G1" s="10" t="s">
        <v>186</v>
      </c>
      <c r="H1" s="10" t="s">
        <v>187</v>
      </c>
    </row>
    <row r="2" spans="1:8" x14ac:dyDescent="0.3">
      <c r="A2" s="11" t="s">
        <v>188</v>
      </c>
      <c r="B2" s="11" t="s">
        <v>189</v>
      </c>
      <c r="C2" s="11" t="s">
        <v>190</v>
      </c>
      <c r="D2" s="11">
        <v>12</v>
      </c>
      <c r="E2" s="11">
        <v>330</v>
      </c>
      <c r="F2" s="11" t="s">
        <v>191</v>
      </c>
      <c r="G2" s="12">
        <v>2195</v>
      </c>
      <c r="H2" s="13" t="s">
        <v>192</v>
      </c>
    </row>
    <row r="3" spans="1:8" x14ac:dyDescent="0.3">
      <c r="A3" s="11" t="s">
        <v>188</v>
      </c>
      <c r="B3" s="11" t="s">
        <v>193</v>
      </c>
      <c r="C3" s="11" t="s">
        <v>194</v>
      </c>
      <c r="D3" s="11">
        <v>6</v>
      </c>
      <c r="E3" s="11">
        <v>330</v>
      </c>
      <c r="F3" s="11" t="s">
        <v>191</v>
      </c>
      <c r="G3" s="12">
        <v>2195</v>
      </c>
      <c r="H3" s="13" t="s">
        <v>192</v>
      </c>
    </row>
    <row r="4" spans="1:8" x14ac:dyDescent="0.3">
      <c r="A4" s="11" t="s">
        <v>188</v>
      </c>
      <c r="B4" s="11" t="s">
        <v>195</v>
      </c>
      <c r="C4" s="11" t="s">
        <v>196</v>
      </c>
      <c r="D4" s="11">
        <v>6</v>
      </c>
      <c r="E4" s="11">
        <v>330</v>
      </c>
      <c r="F4" s="11" t="s">
        <v>197</v>
      </c>
      <c r="G4" s="12">
        <v>22</v>
      </c>
      <c r="H4" s="13" t="s">
        <v>192</v>
      </c>
    </row>
    <row r="5" spans="1:8" x14ac:dyDescent="0.3">
      <c r="A5" s="11" t="s">
        <v>188</v>
      </c>
      <c r="B5" s="11" t="s">
        <v>198</v>
      </c>
      <c r="C5" s="11" t="s">
        <v>199</v>
      </c>
      <c r="D5" s="11">
        <v>24</v>
      </c>
      <c r="E5" s="11">
        <v>330</v>
      </c>
      <c r="F5" s="11" t="s">
        <v>200</v>
      </c>
      <c r="G5" s="12">
        <v>176.55</v>
      </c>
      <c r="H5" s="13" t="s">
        <v>192</v>
      </c>
    </row>
    <row r="6" spans="1:8" x14ac:dyDescent="0.3">
      <c r="A6" s="11" t="s">
        <v>188</v>
      </c>
      <c r="B6" s="11" t="s">
        <v>201</v>
      </c>
      <c r="C6" s="11" t="s">
        <v>202</v>
      </c>
      <c r="D6" s="11">
        <v>6</v>
      </c>
      <c r="E6" s="11">
        <v>330</v>
      </c>
      <c r="F6" s="11" t="s">
        <v>200</v>
      </c>
      <c r="G6" s="12">
        <v>237.6</v>
      </c>
      <c r="H6" s="13" t="s">
        <v>192</v>
      </c>
    </row>
    <row r="7" spans="1:8" x14ac:dyDescent="0.3">
      <c r="A7" s="11" t="s">
        <v>188</v>
      </c>
      <c r="B7" s="11" t="s">
        <v>203</v>
      </c>
      <c r="C7" s="11" t="s">
        <v>204</v>
      </c>
      <c r="D7" s="11">
        <v>6</v>
      </c>
      <c r="E7" s="11">
        <v>330</v>
      </c>
      <c r="F7" s="11" t="s">
        <v>191</v>
      </c>
      <c r="G7" s="12">
        <v>22</v>
      </c>
      <c r="H7" s="13" t="s">
        <v>192</v>
      </c>
    </row>
    <row r="8" spans="1:8" x14ac:dyDescent="0.3">
      <c r="A8" s="11" t="s">
        <v>188</v>
      </c>
      <c r="B8" s="11" t="s">
        <v>205</v>
      </c>
      <c r="C8" s="11" t="s">
        <v>206</v>
      </c>
      <c r="D8" s="11">
        <v>6</v>
      </c>
      <c r="E8" s="11">
        <v>330</v>
      </c>
      <c r="F8" s="11" t="s">
        <v>191</v>
      </c>
      <c r="G8" s="12">
        <v>22</v>
      </c>
      <c r="H8" s="13" t="s">
        <v>192</v>
      </c>
    </row>
    <row r="9" spans="1:8" x14ac:dyDescent="0.3">
      <c r="A9" s="11" t="s">
        <v>188</v>
      </c>
      <c r="B9" s="11" t="s">
        <v>207</v>
      </c>
      <c r="C9" s="11" t="s">
        <v>168</v>
      </c>
      <c r="D9" s="11">
        <v>6</v>
      </c>
      <c r="E9" s="11">
        <v>330</v>
      </c>
      <c r="F9" s="11" t="s">
        <v>191</v>
      </c>
      <c r="G9" s="12">
        <v>2195</v>
      </c>
      <c r="H9" s="13" t="s">
        <v>192</v>
      </c>
    </row>
    <row r="10" spans="1:8" x14ac:dyDescent="0.3">
      <c r="A10" s="11" t="s">
        <v>188</v>
      </c>
      <c r="B10" s="11" t="s">
        <v>208</v>
      </c>
      <c r="C10" s="11" t="s">
        <v>209</v>
      </c>
      <c r="D10" s="11">
        <v>6</v>
      </c>
      <c r="E10" s="11">
        <v>473</v>
      </c>
      <c r="F10" s="11" t="s">
        <v>191</v>
      </c>
      <c r="G10" s="12">
        <v>31.5</v>
      </c>
      <c r="H10" s="13" t="s">
        <v>192</v>
      </c>
    </row>
    <row r="11" spans="1:8" x14ac:dyDescent="0.3">
      <c r="A11" s="11" t="s">
        <v>188</v>
      </c>
      <c r="B11" s="11" t="s">
        <v>210</v>
      </c>
      <c r="C11" s="11" t="s">
        <v>211</v>
      </c>
      <c r="D11" s="11">
        <v>6</v>
      </c>
      <c r="E11" s="11">
        <v>473</v>
      </c>
      <c r="F11" s="11" t="s">
        <v>191</v>
      </c>
      <c r="G11" s="12">
        <v>31.5</v>
      </c>
      <c r="H11" s="13" t="s">
        <v>192</v>
      </c>
    </row>
    <row r="12" spans="1:8" x14ac:dyDescent="0.3">
      <c r="A12" s="11" t="s">
        <v>188</v>
      </c>
      <c r="B12" s="11" t="s">
        <v>212</v>
      </c>
      <c r="C12" s="11" t="s">
        <v>122</v>
      </c>
      <c r="D12" s="11">
        <v>6</v>
      </c>
      <c r="E12" s="11">
        <v>269</v>
      </c>
      <c r="F12" s="11" t="s">
        <v>191</v>
      </c>
      <c r="G12" s="12">
        <v>2195</v>
      </c>
      <c r="H12" s="13" t="s">
        <v>192</v>
      </c>
    </row>
    <row r="13" spans="1:8" x14ac:dyDescent="0.3">
      <c r="A13" s="11" t="s">
        <v>188</v>
      </c>
      <c r="B13" s="11" t="s">
        <v>213</v>
      </c>
      <c r="C13" s="11" t="s">
        <v>214</v>
      </c>
      <c r="D13" s="11">
        <v>6</v>
      </c>
      <c r="E13" s="11">
        <v>269</v>
      </c>
      <c r="F13" s="11" t="s">
        <v>191</v>
      </c>
      <c r="G13" s="12">
        <v>2195</v>
      </c>
      <c r="H13" s="13" t="s">
        <v>192</v>
      </c>
    </row>
    <row r="14" spans="1:8" x14ac:dyDescent="0.3">
      <c r="A14" s="11" t="s">
        <v>188</v>
      </c>
      <c r="B14" s="11" t="s">
        <v>215</v>
      </c>
      <c r="C14" s="11" t="s">
        <v>216</v>
      </c>
      <c r="D14" s="11">
        <v>12</v>
      </c>
      <c r="E14" s="11">
        <v>269</v>
      </c>
      <c r="F14" s="11" t="s">
        <v>191</v>
      </c>
      <c r="G14" s="12">
        <v>2195</v>
      </c>
      <c r="H14" s="13" t="s">
        <v>192</v>
      </c>
    </row>
    <row r="15" spans="1:8" x14ac:dyDescent="0.3">
      <c r="A15" s="11" t="s">
        <v>188</v>
      </c>
      <c r="B15" s="11" t="s">
        <v>217</v>
      </c>
      <c r="C15" s="11" t="s">
        <v>218</v>
      </c>
      <c r="D15" s="11">
        <v>6</v>
      </c>
      <c r="E15" s="11">
        <v>355</v>
      </c>
      <c r="F15" s="11" t="s">
        <v>191</v>
      </c>
      <c r="G15" s="12">
        <v>2195</v>
      </c>
      <c r="H15" s="13" t="s">
        <v>192</v>
      </c>
    </row>
    <row r="16" spans="1:8" x14ac:dyDescent="0.3">
      <c r="A16" s="11" t="s">
        <v>188</v>
      </c>
      <c r="B16" s="11" t="s">
        <v>219</v>
      </c>
      <c r="C16" s="11" t="s">
        <v>220</v>
      </c>
      <c r="D16" s="11">
        <v>6</v>
      </c>
      <c r="E16" s="11">
        <v>355</v>
      </c>
      <c r="F16" s="11" t="s">
        <v>191</v>
      </c>
      <c r="G16" s="12">
        <v>2195</v>
      </c>
      <c r="H16" s="13" t="s">
        <v>192</v>
      </c>
    </row>
    <row r="17" spans="1:8" x14ac:dyDescent="0.3">
      <c r="A17" s="11" t="s">
        <v>188</v>
      </c>
      <c r="B17" s="11" t="s">
        <v>221</v>
      </c>
      <c r="C17" s="11" t="s">
        <v>222</v>
      </c>
      <c r="D17" s="11">
        <v>6</v>
      </c>
      <c r="E17" s="11">
        <v>355</v>
      </c>
      <c r="F17" s="11" t="s">
        <v>191</v>
      </c>
      <c r="G17" s="12">
        <v>23.6</v>
      </c>
      <c r="H17" s="13" t="s">
        <v>192</v>
      </c>
    </row>
    <row r="18" spans="1:8" x14ac:dyDescent="0.3">
      <c r="A18" s="11" t="s">
        <v>188</v>
      </c>
      <c r="B18" s="11" t="s">
        <v>223</v>
      </c>
      <c r="C18" s="11" t="s">
        <v>224</v>
      </c>
      <c r="D18" s="11">
        <v>6</v>
      </c>
      <c r="E18" s="11">
        <v>355</v>
      </c>
      <c r="F18" s="11" t="s">
        <v>191</v>
      </c>
      <c r="G18" s="12">
        <v>23.6</v>
      </c>
      <c r="H18" s="13" t="s">
        <v>192</v>
      </c>
    </row>
    <row r="19" spans="1:8" x14ac:dyDescent="0.3">
      <c r="A19" s="11" t="s">
        <v>188</v>
      </c>
      <c r="B19" s="11" t="s">
        <v>225</v>
      </c>
      <c r="C19" s="11" t="s">
        <v>226</v>
      </c>
      <c r="D19" s="11">
        <v>6</v>
      </c>
      <c r="E19" s="11">
        <v>355</v>
      </c>
      <c r="F19" s="11" t="s">
        <v>191</v>
      </c>
      <c r="G19" s="12">
        <v>23.6</v>
      </c>
      <c r="H19" s="13" t="s">
        <v>192</v>
      </c>
    </row>
    <row r="20" spans="1:8" x14ac:dyDescent="0.3">
      <c r="A20" s="11" t="s">
        <v>188</v>
      </c>
      <c r="B20" s="11" t="s">
        <v>227</v>
      </c>
      <c r="C20" s="11" t="s">
        <v>228</v>
      </c>
      <c r="D20" s="11">
        <v>6</v>
      </c>
      <c r="E20" s="11">
        <v>269</v>
      </c>
      <c r="F20" s="11" t="s">
        <v>191</v>
      </c>
      <c r="G20" s="12">
        <v>2195</v>
      </c>
      <c r="H20" s="13" t="s">
        <v>192</v>
      </c>
    </row>
    <row r="21" spans="1:8" x14ac:dyDescent="0.3">
      <c r="A21" s="11" t="s">
        <v>188</v>
      </c>
      <c r="B21" s="11" t="s">
        <v>229</v>
      </c>
      <c r="C21" s="11" t="s">
        <v>230</v>
      </c>
      <c r="D21" s="11">
        <v>6</v>
      </c>
      <c r="E21" s="11">
        <v>355</v>
      </c>
      <c r="F21" s="11" t="s">
        <v>191</v>
      </c>
      <c r="G21" s="12">
        <v>23.6</v>
      </c>
      <c r="H21" s="13" t="s">
        <v>192</v>
      </c>
    </row>
    <row r="22" spans="1:8" x14ac:dyDescent="0.3">
      <c r="A22" s="11" t="s">
        <v>188</v>
      </c>
      <c r="B22" s="11" t="s">
        <v>231</v>
      </c>
      <c r="C22" s="11" t="s">
        <v>232</v>
      </c>
      <c r="D22" s="11">
        <v>6</v>
      </c>
      <c r="E22" s="11">
        <v>269</v>
      </c>
      <c r="F22" s="11" t="s">
        <v>191</v>
      </c>
      <c r="G22" s="12">
        <v>17.899999999999999</v>
      </c>
      <c r="H22" s="13" t="s">
        <v>192</v>
      </c>
    </row>
    <row r="23" spans="1:8" x14ac:dyDescent="0.3">
      <c r="A23" s="11" t="s">
        <v>188</v>
      </c>
      <c r="B23" s="11" t="s">
        <v>233</v>
      </c>
      <c r="C23" s="11" t="s">
        <v>234</v>
      </c>
      <c r="D23" s="11">
        <v>6</v>
      </c>
      <c r="E23" s="11">
        <v>330</v>
      </c>
      <c r="F23" s="11" t="s">
        <v>191</v>
      </c>
      <c r="G23" s="12">
        <v>2195</v>
      </c>
      <c r="H23" s="13" t="s">
        <v>192</v>
      </c>
    </row>
    <row r="24" spans="1:8" x14ac:dyDescent="0.3">
      <c r="A24" s="11" t="s">
        <v>188</v>
      </c>
      <c r="B24" s="11" t="s">
        <v>235</v>
      </c>
      <c r="C24" s="11" t="s">
        <v>236</v>
      </c>
      <c r="D24" s="11">
        <v>6</v>
      </c>
      <c r="E24" s="11">
        <v>330</v>
      </c>
      <c r="F24" s="11" t="s">
        <v>200</v>
      </c>
      <c r="G24" s="12">
        <v>237.6</v>
      </c>
      <c r="H24" s="13" t="s">
        <v>192</v>
      </c>
    </row>
    <row r="25" spans="1:8" x14ac:dyDescent="0.3">
      <c r="A25" s="11" t="s">
        <v>188</v>
      </c>
      <c r="B25" s="11" t="s">
        <v>237</v>
      </c>
      <c r="C25" s="11" t="s">
        <v>238</v>
      </c>
      <c r="D25" s="11">
        <v>24</v>
      </c>
      <c r="E25" s="11">
        <v>330</v>
      </c>
      <c r="F25" s="11" t="s">
        <v>200</v>
      </c>
      <c r="G25" s="12">
        <v>237.6</v>
      </c>
      <c r="H25" s="13" t="s">
        <v>192</v>
      </c>
    </row>
    <row r="26" spans="1:8" x14ac:dyDescent="0.3">
      <c r="A26" s="11" t="s">
        <v>188</v>
      </c>
      <c r="B26" s="11" t="s">
        <v>239</v>
      </c>
      <c r="C26" s="11" t="s">
        <v>240</v>
      </c>
      <c r="D26" s="11">
        <v>24</v>
      </c>
      <c r="E26" s="11">
        <v>330</v>
      </c>
      <c r="F26" s="11" t="s">
        <v>200</v>
      </c>
      <c r="G26" s="12">
        <v>237.6</v>
      </c>
      <c r="H26" s="13" t="s">
        <v>192</v>
      </c>
    </row>
    <row r="27" spans="1:8" x14ac:dyDescent="0.3">
      <c r="A27" s="11" t="s">
        <v>188</v>
      </c>
      <c r="B27" s="11" t="s">
        <v>241</v>
      </c>
      <c r="C27" s="11" t="s">
        <v>124</v>
      </c>
      <c r="D27" s="11">
        <v>6</v>
      </c>
      <c r="E27" s="11">
        <v>269</v>
      </c>
      <c r="F27" s="11" t="s">
        <v>191</v>
      </c>
      <c r="G27" s="12">
        <v>2195</v>
      </c>
      <c r="H27" s="13" t="s">
        <v>192</v>
      </c>
    </row>
    <row r="28" spans="1:8" x14ac:dyDescent="0.3">
      <c r="A28" s="11" t="s">
        <v>23</v>
      </c>
      <c r="B28" s="11" t="s">
        <v>242</v>
      </c>
      <c r="C28" s="11" t="s">
        <v>243</v>
      </c>
      <c r="D28" s="11">
        <v>38</v>
      </c>
      <c r="E28" s="11">
        <v>175</v>
      </c>
      <c r="F28" s="11" t="s">
        <v>200</v>
      </c>
      <c r="G28" s="12">
        <v>105</v>
      </c>
      <c r="H28" s="13" t="s">
        <v>192</v>
      </c>
    </row>
    <row r="29" spans="1:8" x14ac:dyDescent="0.3">
      <c r="A29" s="11" t="s">
        <v>23</v>
      </c>
      <c r="B29" s="11" t="s">
        <v>244</v>
      </c>
      <c r="C29" s="11" t="s">
        <v>245</v>
      </c>
      <c r="D29" s="11">
        <v>38</v>
      </c>
      <c r="E29" s="11">
        <v>175</v>
      </c>
      <c r="F29" s="11" t="s">
        <v>200</v>
      </c>
      <c r="G29" s="12">
        <v>105</v>
      </c>
      <c r="H29" s="13" t="s">
        <v>192</v>
      </c>
    </row>
    <row r="30" spans="1:8" x14ac:dyDescent="0.3">
      <c r="A30" s="11" t="s">
        <v>23</v>
      </c>
      <c r="B30" s="11" t="s">
        <v>246</v>
      </c>
      <c r="C30" s="11" t="s">
        <v>247</v>
      </c>
      <c r="D30" s="11">
        <v>38</v>
      </c>
      <c r="E30" s="11">
        <v>225</v>
      </c>
      <c r="F30" s="11" t="s">
        <v>200</v>
      </c>
      <c r="G30" s="12">
        <v>135</v>
      </c>
      <c r="H30" s="13" t="s">
        <v>248</v>
      </c>
    </row>
    <row r="31" spans="1:8" x14ac:dyDescent="0.3">
      <c r="A31" s="11" t="s">
        <v>23</v>
      </c>
      <c r="B31" s="11" t="s">
        <v>249</v>
      </c>
      <c r="C31" s="11" t="s">
        <v>71</v>
      </c>
      <c r="D31" s="11">
        <v>38</v>
      </c>
      <c r="E31" s="11">
        <v>175</v>
      </c>
      <c r="F31" s="11" t="s">
        <v>200</v>
      </c>
      <c r="G31" s="12">
        <v>105</v>
      </c>
      <c r="H31" s="13" t="s">
        <v>250</v>
      </c>
    </row>
    <row r="32" spans="1:8" x14ac:dyDescent="0.3">
      <c r="A32" s="11" t="s">
        <v>23</v>
      </c>
      <c r="B32" s="11" t="s">
        <v>251</v>
      </c>
      <c r="C32" s="11" t="s">
        <v>252</v>
      </c>
      <c r="D32" s="11">
        <v>38</v>
      </c>
      <c r="E32" s="11">
        <v>175</v>
      </c>
      <c r="F32" s="11" t="s">
        <v>200</v>
      </c>
      <c r="G32" s="12">
        <v>105</v>
      </c>
      <c r="H32" s="13" t="s">
        <v>253</v>
      </c>
    </row>
    <row r="33" spans="1:8" x14ac:dyDescent="0.3">
      <c r="A33" s="11" t="s">
        <v>29</v>
      </c>
      <c r="B33" s="11" t="s">
        <v>254</v>
      </c>
      <c r="C33" s="11" t="s">
        <v>148</v>
      </c>
      <c r="D33" s="11">
        <v>30</v>
      </c>
      <c r="E33" s="11">
        <v>330</v>
      </c>
      <c r="F33" s="11" t="s">
        <v>200</v>
      </c>
      <c r="G33" s="12">
        <v>237.6</v>
      </c>
      <c r="H33" s="13" t="s">
        <v>192</v>
      </c>
    </row>
    <row r="34" spans="1:8" x14ac:dyDescent="0.3">
      <c r="A34" s="11" t="s">
        <v>29</v>
      </c>
      <c r="B34" s="11" t="s">
        <v>255</v>
      </c>
      <c r="C34" s="11" t="s">
        <v>256</v>
      </c>
      <c r="D34" s="11">
        <v>30</v>
      </c>
      <c r="E34" s="11">
        <v>330</v>
      </c>
      <c r="F34" s="11" t="s">
        <v>200</v>
      </c>
      <c r="G34" s="12">
        <v>237.6</v>
      </c>
      <c r="H34" s="13" t="s">
        <v>192</v>
      </c>
    </row>
    <row r="35" spans="1:8" x14ac:dyDescent="0.3">
      <c r="A35" s="11" t="s">
        <v>29</v>
      </c>
      <c r="B35" s="11" t="s">
        <v>257</v>
      </c>
      <c r="C35" s="11" t="s">
        <v>258</v>
      </c>
      <c r="D35" s="11">
        <v>30</v>
      </c>
      <c r="E35" s="11">
        <v>330</v>
      </c>
      <c r="F35" s="11" t="s">
        <v>200</v>
      </c>
      <c r="G35" s="12">
        <v>237.6</v>
      </c>
      <c r="H35" s="13" t="s">
        <v>259</v>
      </c>
    </row>
    <row r="36" spans="1:8" x14ac:dyDescent="0.3">
      <c r="A36" s="11" t="s">
        <v>29</v>
      </c>
      <c r="B36" s="11" t="s">
        <v>30</v>
      </c>
      <c r="C36" s="11" t="s">
        <v>74</v>
      </c>
      <c r="D36" s="11">
        <v>30</v>
      </c>
      <c r="E36" s="11">
        <v>320</v>
      </c>
      <c r="F36" s="11" t="s">
        <v>200</v>
      </c>
      <c r="G36" s="12">
        <v>230.4</v>
      </c>
      <c r="H36" s="13" t="s">
        <v>192</v>
      </c>
    </row>
    <row r="37" spans="1:8" x14ac:dyDescent="0.3">
      <c r="A37" s="11" t="s">
        <v>29</v>
      </c>
      <c r="B37" s="11" t="s">
        <v>260</v>
      </c>
      <c r="C37" s="11" t="s">
        <v>261</v>
      </c>
      <c r="D37" s="11">
        <v>30</v>
      </c>
      <c r="E37" s="11">
        <v>330</v>
      </c>
      <c r="F37" s="11" t="s">
        <v>200</v>
      </c>
      <c r="G37" s="12">
        <v>237.6</v>
      </c>
      <c r="H37" s="13" t="s">
        <v>192</v>
      </c>
    </row>
    <row r="38" spans="1:8" x14ac:dyDescent="0.3">
      <c r="A38" s="11" t="s">
        <v>29</v>
      </c>
      <c r="B38" s="11" t="s">
        <v>262</v>
      </c>
      <c r="C38" s="11" t="s">
        <v>77</v>
      </c>
      <c r="D38" s="11">
        <v>30</v>
      </c>
      <c r="E38" s="11">
        <v>330</v>
      </c>
      <c r="F38" s="11" t="s">
        <v>200</v>
      </c>
      <c r="G38" s="12">
        <v>237.6</v>
      </c>
      <c r="H38" s="13" t="s">
        <v>192</v>
      </c>
    </row>
    <row r="39" spans="1:8" x14ac:dyDescent="0.3">
      <c r="A39" s="11" t="s">
        <v>29</v>
      </c>
      <c r="B39" s="11" t="s">
        <v>263</v>
      </c>
      <c r="C39" s="11" t="s">
        <v>264</v>
      </c>
      <c r="D39" s="11">
        <v>30</v>
      </c>
      <c r="E39" s="11">
        <v>330</v>
      </c>
      <c r="F39" s="11" t="s">
        <v>200</v>
      </c>
      <c r="G39" s="12">
        <v>237.6</v>
      </c>
      <c r="H39" s="13" t="s">
        <v>192</v>
      </c>
    </row>
    <row r="40" spans="1:8" x14ac:dyDescent="0.3">
      <c r="A40" s="11" t="s">
        <v>29</v>
      </c>
      <c r="B40" s="11" t="s">
        <v>265</v>
      </c>
      <c r="C40" s="11" t="s">
        <v>266</v>
      </c>
      <c r="D40" s="11">
        <v>30</v>
      </c>
      <c r="E40" s="11">
        <v>330</v>
      </c>
      <c r="F40" s="11" t="s">
        <v>200</v>
      </c>
      <c r="G40" s="12">
        <v>237.6</v>
      </c>
      <c r="H40" s="13" t="s">
        <v>192</v>
      </c>
    </row>
    <row r="41" spans="1:8" x14ac:dyDescent="0.3">
      <c r="A41" s="11" t="s">
        <v>29</v>
      </c>
      <c r="B41" s="11" t="s">
        <v>267</v>
      </c>
      <c r="C41" s="11" t="s">
        <v>268</v>
      </c>
      <c r="D41" s="11">
        <v>30</v>
      </c>
      <c r="E41" s="11">
        <v>330</v>
      </c>
      <c r="F41" s="11" t="s">
        <v>200</v>
      </c>
      <c r="G41" s="12">
        <v>237.6</v>
      </c>
      <c r="H41" s="13" t="s">
        <v>269</v>
      </c>
    </row>
    <row r="42" spans="1:8" x14ac:dyDescent="0.3">
      <c r="A42" s="11" t="s">
        <v>29</v>
      </c>
      <c r="B42" s="11" t="s">
        <v>270</v>
      </c>
      <c r="C42" s="11" t="s">
        <v>150</v>
      </c>
      <c r="D42" s="11">
        <v>30</v>
      </c>
      <c r="E42" s="11">
        <v>330</v>
      </c>
      <c r="F42" s="11" t="s">
        <v>200</v>
      </c>
      <c r="G42" s="12">
        <v>231</v>
      </c>
      <c r="H42" s="13" t="s">
        <v>271</v>
      </c>
    </row>
    <row r="43" spans="1:8" x14ac:dyDescent="0.3">
      <c r="A43" s="11" t="s">
        <v>29</v>
      </c>
      <c r="B43" s="11" t="s">
        <v>272</v>
      </c>
      <c r="C43" s="11" t="s">
        <v>273</v>
      </c>
      <c r="D43" s="11">
        <v>30</v>
      </c>
      <c r="E43" s="11">
        <v>330</v>
      </c>
      <c r="F43" s="11" t="s">
        <v>200</v>
      </c>
      <c r="G43" s="12">
        <v>231</v>
      </c>
      <c r="H43" s="13" t="s">
        <v>192</v>
      </c>
    </row>
    <row r="44" spans="1:8" x14ac:dyDescent="0.3">
      <c r="A44" s="11" t="s">
        <v>29</v>
      </c>
      <c r="B44" s="11" t="s">
        <v>274</v>
      </c>
      <c r="C44" s="11" t="s">
        <v>121</v>
      </c>
      <c r="D44" s="11">
        <v>30</v>
      </c>
      <c r="E44" s="11">
        <v>330</v>
      </c>
      <c r="F44" s="11" t="s">
        <v>200</v>
      </c>
      <c r="G44" s="12">
        <v>118.8</v>
      </c>
      <c r="H44" s="13" t="s">
        <v>192</v>
      </c>
    </row>
    <row r="45" spans="1:8" x14ac:dyDescent="0.3">
      <c r="A45" s="11" t="s">
        <v>29</v>
      </c>
      <c r="B45" s="11" t="s">
        <v>275</v>
      </c>
      <c r="C45" s="11" t="s">
        <v>276</v>
      </c>
      <c r="D45" s="11">
        <v>30</v>
      </c>
      <c r="E45" s="11">
        <v>330</v>
      </c>
      <c r="F45" s="11" t="s">
        <v>200</v>
      </c>
      <c r="G45" s="12">
        <v>237.6</v>
      </c>
      <c r="H45" s="13" t="s">
        <v>192</v>
      </c>
    </row>
    <row r="46" spans="1:8" x14ac:dyDescent="0.3">
      <c r="A46" s="11" t="s">
        <v>29</v>
      </c>
      <c r="B46" s="11" t="s">
        <v>277</v>
      </c>
      <c r="C46" s="11" t="s">
        <v>278</v>
      </c>
      <c r="D46" s="11">
        <v>30</v>
      </c>
      <c r="E46" s="11">
        <v>330</v>
      </c>
      <c r="F46" s="11" t="s">
        <v>200</v>
      </c>
      <c r="G46" s="12">
        <v>237.6</v>
      </c>
      <c r="H46" s="13" t="s">
        <v>192</v>
      </c>
    </row>
    <row r="47" spans="1:8" x14ac:dyDescent="0.3">
      <c r="A47" s="11" t="s">
        <v>29</v>
      </c>
      <c r="B47" s="11" t="s">
        <v>198</v>
      </c>
      <c r="C47" s="11" t="s">
        <v>199</v>
      </c>
      <c r="D47" s="11">
        <v>24</v>
      </c>
      <c r="E47" s="11">
        <v>330</v>
      </c>
      <c r="F47" s="11" t="s">
        <v>200</v>
      </c>
      <c r="G47" s="12">
        <v>165</v>
      </c>
      <c r="H47" s="13" t="s">
        <v>192</v>
      </c>
    </row>
    <row r="48" spans="1:8" x14ac:dyDescent="0.3">
      <c r="A48" s="11" t="s">
        <v>29</v>
      </c>
      <c r="B48" s="11" t="s">
        <v>178</v>
      </c>
      <c r="C48" s="11" t="s">
        <v>179</v>
      </c>
      <c r="D48" s="11">
        <v>30</v>
      </c>
      <c r="E48" s="11">
        <v>330</v>
      </c>
      <c r="F48" s="11" t="s">
        <v>200</v>
      </c>
      <c r="G48" s="12">
        <v>237.6</v>
      </c>
      <c r="H48" s="13" t="s">
        <v>192</v>
      </c>
    </row>
    <row r="49" spans="1:8" x14ac:dyDescent="0.3">
      <c r="A49" s="11" t="s">
        <v>29</v>
      </c>
      <c r="B49" s="11" t="s">
        <v>279</v>
      </c>
      <c r="C49" s="11" t="s">
        <v>79</v>
      </c>
      <c r="D49" s="11">
        <v>30</v>
      </c>
      <c r="E49" s="11">
        <v>330</v>
      </c>
      <c r="F49" s="11" t="s">
        <v>200</v>
      </c>
      <c r="G49" s="12">
        <v>237.6</v>
      </c>
      <c r="H49" s="13" t="s">
        <v>192</v>
      </c>
    </row>
    <row r="50" spans="1:8" x14ac:dyDescent="0.3">
      <c r="A50" s="11" t="s">
        <v>29</v>
      </c>
      <c r="B50" s="11" t="s">
        <v>280</v>
      </c>
      <c r="C50" s="11" t="s">
        <v>281</v>
      </c>
      <c r="D50" s="11">
        <v>30</v>
      </c>
      <c r="E50" s="11">
        <v>330</v>
      </c>
      <c r="F50" s="11" t="s">
        <v>200</v>
      </c>
      <c r="G50" s="12">
        <v>231</v>
      </c>
      <c r="H50" s="13" t="s">
        <v>192</v>
      </c>
    </row>
    <row r="51" spans="1:8" x14ac:dyDescent="0.3">
      <c r="A51" s="11" t="s">
        <v>29</v>
      </c>
      <c r="B51" s="11" t="s">
        <v>282</v>
      </c>
      <c r="C51" s="11" t="s">
        <v>149</v>
      </c>
      <c r="D51" s="11">
        <v>30</v>
      </c>
      <c r="E51" s="11">
        <v>330</v>
      </c>
      <c r="F51" s="11" t="s">
        <v>200</v>
      </c>
      <c r="G51" s="12">
        <v>231</v>
      </c>
      <c r="H51" s="13" t="s">
        <v>192</v>
      </c>
    </row>
    <row r="52" spans="1:8" x14ac:dyDescent="0.3">
      <c r="A52" s="11" t="s">
        <v>29</v>
      </c>
      <c r="B52" s="11" t="s">
        <v>283</v>
      </c>
      <c r="C52" s="11" t="s">
        <v>284</v>
      </c>
      <c r="D52" s="11">
        <v>30</v>
      </c>
      <c r="E52" s="11">
        <v>330</v>
      </c>
      <c r="F52" s="11" t="s">
        <v>200</v>
      </c>
      <c r="G52" s="12">
        <v>237.6</v>
      </c>
      <c r="H52" s="13" t="s">
        <v>271</v>
      </c>
    </row>
    <row r="53" spans="1:8" x14ac:dyDescent="0.3">
      <c r="A53" s="11" t="s">
        <v>29</v>
      </c>
      <c r="B53" s="11" t="s">
        <v>285</v>
      </c>
      <c r="C53" s="11" t="s">
        <v>286</v>
      </c>
      <c r="D53" s="11">
        <v>30</v>
      </c>
      <c r="E53" s="11">
        <v>330</v>
      </c>
      <c r="F53" s="11" t="s">
        <v>200</v>
      </c>
      <c r="G53" s="12">
        <v>237.6</v>
      </c>
      <c r="H53" s="13" t="s">
        <v>271</v>
      </c>
    </row>
    <row r="54" spans="1:8" x14ac:dyDescent="0.3">
      <c r="A54" s="11" t="s">
        <v>29</v>
      </c>
      <c r="B54" s="11" t="s">
        <v>287</v>
      </c>
      <c r="C54" s="11" t="s">
        <v>288</v>
      </c>
      <c r="D54" s="11">
        <v>30</v>
      </c>
      <c r="E54" s="11">
        <v>330</v>
      </c>
      <c r="F54" s="11" t="s">
        <v>200</v>
      </c>
      <c r="G54" s="12">
        <v>237.6</v>
      </c>
      <c r="H54" s="13" t="s">
        <v>192</v>
      </c>
    </row>
    <row r="55" spans="1:8" x14ac:dyDescent="0.3">
      <c r="A55" s="11" t="s">
        <v>29</v>
      </c>
      <c r="B55" s="11" t="s">
        <v>289</v>
      </c>
      <c r="C55" s="11" t="s">
        <v>72</v>
      </c>
      <c r="D55" s="11">
        <v>30</v>
      </c>
      <c r="E55" s="11">
        <v>330</v>
      </c>
      <c r="F55" s="11" t="s">
        <v>200</v>
      </c>
      <c r="G55" s="12">
        <v>237.6</v>
      </c>
      <c r="H55" s="13" t="s">
        <v>271</v>
      </c>
    </row>
    <row r="56" spans="1:8" x14ac:dyDescent="0.3">
      <c r="A56" s="11" t="s">
        <v>29</v>
      </c>
      <c r="B56" s="11" t="s">
        <v>290</v>
      </c>
      <c r="C56" s="11" t="s">
        <v>291</v>
      </c>
      <c r="D56" s="11">
        <v>30</v>
      </c>
      <c r="E56" s="11">
        <v>330</v>
      </c>
      <c r="F56" s="11" t="s">
        <v>200</v>
      </c>
      <c r="G56" s="12">
        <v>231</v>
      </c>
      <c r="H56" s="13" t="s">
        <v>192</v>
      </c>
    </row>
    <row r="57" spans="1:8" x14ac:dyDescent="0.3">
      <c r="A57" s="11" t="s">
        <v>29</v>
      </c>
      <c r="B57" s="11" t="s">
        <v>292</v>
      </c>
      <c r="C57" s="11" t="s">
        <v>293</v>
      </c>
      <c r="D57" s="11">
        <v>30</v>
      </c>
      <c r="E57" s="11">
        <v>330</v>
      </c>
      <c r="F57" s="11" t="s">
        <v>200</v>
      </c>
      <c r="G57" s="12">
        <v>231</v>
      </c>
      <c r="H57" s="13" t="s">
        <v>271</v>
      </c>
    </row>
    <row r="58" spans="1:8" x14ac:dyDescent="0.3">
      <c r="A58" s="11" t="s">
        <v>29</v>
      </c>
      <c r="B58" s="11" t="s">
        <v>294</v>
      </c>
      <c r="C58" s="11" t="s">
        <v>295</v>
      </c>
      <c r="D58" s="11">
        <v>30</v>
      </c>
      <c r="E58" s="11">
        <v>330</v>
      </c>
      <c r="F58" s="11" t="s">
        <v>200</v>
      </c>
      <c r="G58" s="12">
        <v>237.6</v>
      </c>
      <c r="H58" s="13" t="s">
        <v>296</v>
      </c>
    </row>
    <row r="59" spans="1:8" x14ac:dyDescent="0.3">
      <c r="A59" s="11" t="s">
        <v>29</v>
      </c>
      <c r="B59" s="11" t="s">
        <v>297</v>
      </c>
      <c r="C59" s="11" t="s">
        <v>298</v>
      </c>
      <c r="D59" s="11">
        <v>30</v>
      </c>
      <c r="E59" s="11">
        <v>330</v>
      </c>
      <c r="F59" s="11" t="s">
        <v>200</v>
      </c>
      <c r="G59" s="12">
        <v>237.6</v>
      </c>
      <c r="H59" s="13" t="s">
        <v>296</v>
      </c>
    </row>
    <row r="60" spans="1:8" x14ac:dyDescent="0.3">
      <c r="A60" s="11" t="s">
        <v>29</v>
      </c>
      <c r="B60" s="11" t="s">
        <v>299</v>
      </c>
      <c r="C60" s="11" t="s">
        <v>300</v>
      </c>
      <c r="D60" s="11">
        <v>30</v>
      </c>
      <c r="E60" s="11">
        <v>330</v>
      </c>
      <c r="F60" s="11" t="s">
        <v>200</v>
      </c>
      <c r="G60" s="12">
        <v>231</v>
      </c>
      <c r="H60" s="13" t="s">
        <v>192</v>
      </c>
    </row>
    <row r="61" spans="1:8" x14ac:dyDescent="0.3">
      <c r="A61" s="11" t="s">
        <v>29</v>
      </c>
      <c r="B61" s="11" t="s">
        <v>301</v>
      </c>
      <c r="C61" s="11" t="s">
        <v>302</v>
      </c>
      <c r="D61" s="11">
        <v>30</v>
      </c>
      <c r="E61" s="11">
        <v>330</v>
      </c>
      <c r="F61" s="11" t="s">
        <v>200</v>
      </c>
      <c r="G61" s="12">
        <v>237.6</v>
      </c>
      <c r="H61" s="13" t="s">
        <v>296</v>
      </c>
    </row>
    <row r="62" spans="1:8" x14ac:dyDescent="0.3">
      <c r="A62" s="11" t="s">
        <v>29</v>
      </c>
      <c r="B62" s="11" t="s">
        <v>303</v>
      </c>
      <c r="C62" s="11" t="s">
        <v>304</v>
      </c>
      <c r="D62" s="11">
        <v>30</v>
      </c>
      <c r="E62" s="11">
        <v>330</v>
      </c>
      <c r="F62" s="11" t="s">
        <v>200</v>
      </c>
      <c r="G62" s="12">
        <v>237.6</v>
      </c>
      <c r="H62" s="13" t="s">
        <v>192</v>
      </c>
    </row>
    <row r="63" spans="1:8" x14ac:dyDescent="0.3">
      <c r="A63" s="11" t="s">
        <v>29</v>
      </c>
      <c r="B63" s="11" t="s">
        <v>305</v>
      </c>
      <c r="C63" s="11" t="s">
        <v>306</v>
      </c>
      <c r="D63" s="11">
        <v>30</v>
      </c>
      <c r="E63" s="11">
        <v>330</v>
      </c>
      <c r="F63" s="11" t="s">
        <v>200</v>
      </c>
      <c r="G63" s="12">
        <v>237.6</v>
      </c>
      <c r="H63" s="13" t="s">
        <v>192</v>
      </c>
    </row>
    <row r="64" spans="1:8" x14ac:dyDescent="0.3">
      <c r="A64" s="11" t="s">
        <v>29</v>
      </c>
      <c r="B64" s="11" t="s">
        <v>307</v>
      </c>
      <c r="C64" s="11" t="s">
        <v>308</v>
      </c>
      <c r="D64" s="11">
        <v>30</v>
      </c>
      <c r="E64" s="11">
        <v>330</v>
      </c>
      <c r="F64" s="11" t="s">
        <v>200</v>
      </c>
      <c r="G64" s="12">
        <v>237.6</v>
      </c>
      <c r="H64" s="13" t="s">
        <v>192</v>
      </c>
    </row>
    <row r="65" spans="1:8" x14ac:dyDescent="0.3">
      <c r="A65" s="11" t="s">
        <v>29</v>
      </c>
      <c r="B65" s="11" t="s">
        <v>309</v>
      </c>
      <c r="C65" s="11" t="s">
        <v>310</v>
      </c>
      <c r="D65" s="11">
        <v>30</v>
      </c>
      <c r="E65" s="11">
        <v>330</v>
      </c>
      <c r="F65" s="11" t="s">
        <v>200</v>
      </c>
      <c r="G65" s="12">
        <v>237.6</v>
      </c>
      <c r="H65" s="13" t="s">
        <v>192</v>
      </c>
    </row>
    <row r="66" spans="1:8" x14ac:dyDescent="0.3">
      <c r="A66" s="11" t="s">
        <v>29</v>
      </c>
      <c r="B66" s="11" t="s">
        <v>311</v>
      </c>
      <c r="C66" s="11" t="s">
        <v>312</v>
      </c>
      <c r="D66" s="11">
        <v>30</v>
      </c>
      <c r="E66" s="11">
        <v>330</v>
      </c>
      <c r="F66" s="11" t="s">
        <v>200</v>
      </c>
      <c r="G66" s="12">
        <v>237.6</v>
      </c>
      <c r="H66" s="13" t="s">
        <v>192</v>
      </c>
    </row>
    <row r="67" spans="1:8" x14ac:dyDescent="0.3">
      <c r="A67" s="11" t="s">
        <v>29</v>
      </c>
      <c r="B67" s="11" t="s">
        <v>313</v>
      </c>
      <c r="C67" s="11" t="s">
        <v>314</v>
      </c>
      <c r="D67" s="11">
        <v>30</v>
      </c>
      <c r="E67" s="11">
        <v>330</v>
      </c>
      <c r="F67" s="11" t="s">
        <v>200</v>
      </c>
      <c r="G67" s="12">
        <v>237.6</v>
      </c>
      <c r="H67" s="13" t="s">
        <v>192</v>
      </c>
    </row>
    <row r="68" spans="1:8" x14ac:dyDescent="0.3">
      <c r="A68" s="11" t="s">
        <v>29</v>
      </c>
      <c r="B68" s="11" t="s">
        <v>315</v>
      </c>
      <c r="C68" s="11" t="s">
        <v>316</v>
      </c>
      <c r="D68" s="11">
        <v>30</v>
      </c>
      <c r="E68" s="11">
        <v>330</v>
      </c>
      <c r="F68" s="11" t="s">
        <v>200</v>
      </c>
      <c r="G68" s="12">
        <v>237.6</v>
      </c>
      <c r="H68" s="13" t="s">
        <v>192</v>
      </c>
    </row>
    <row r="69" spans="1:8" x14ac:dyDescent="0.3">
      <c r="A69" s="11" t="s">
        <v>29</v>
      </c>
      <c r="B69" s="11" t="s">
        <v>317</v>
      </c>
      <c r="C69" s="11" t="s">
        <v>318</v>
      </c>
      <c r="D69" s="11">
        <v>30</v>
      </c>
      <c r="E69" s="11">
        <v>330</v>
      </c>
      <c r="F69" s="11" t="s">
        <v>200</v>
      </c>
      <c r="G69" s="12">
        <v>237.6</v>
      </c>
      <c r="H69" s="13" t="s">
        <v>192</v>
      </c>
    </row>
    <row r="70" spans="1:8" x14ac:dyDescent="0.3">
      <c r="A70" s="11" t="s">
        <v>29</v>
      </c>
      <c r="B70" s="11" t="s">
        <v>237</v>
      </c>
      <c r="C70" s="11" t="s">
        <v>238</v>
      </c>
      <c r="D70" s="11">
        <v>24</v>
      </c>
      <c r="E70" s="11">
        <v>330</v>
      </c>
      <c r="F70" s="11" t="s">
        <v>200</v>
      </c>
      <c r="G70" s="12">
        <v>237.6</v>
      </c>
      <c r="H70" s="13" t="s">
        <v>192</v>
      </c>
    </row>
    <row r="71" spans="1:8" x14ac:dyDescent="0.3">
      <c r="A71" s="11" t="s">
        <v>36</v>
      </c>
      <c r="B71" s="11" t="s">
        <v>255</v>
      </c>
      <c r="C71" s="11" t="s">
        <v>256</v>
      </c>
      <c r="D71" s="11">
        <v>30</v>
      </c>
      <c r="E71" s="11">
        <v>330</v>
      </c>
      <c r="F71" s="11" t="s">
        <v>200</v>
      </c>
      <c r="G71" s="12">
        <v>237.6</v>
      </c>
      <c r="H71" s="13" t="s">
        <v>192</v>
      </c>
    </row>
    <row r="72" spans="1:8" x14ac:dyDescent="0.3">
      <c r="A72" s="11" t="s">
        <v>36</v>
      </c>
      <c r="B72" s="11" t="s">
        <v>319</v>
      </c>
      <c r="C72" s="11" t="s">
        <v>320</v>
      </c>
      <c r="D72" s="11">
        <v>30</v>
      </c>
      <c r="E72" s="11">
        <v>330</v>
      </c>
      <c r="F72" s="11" t="s">
        <v>200</v>
      </c>
      <c r="G72" s="12">
        <v>237.6</v>
      </c>
      <c r="H72" s="13" t="s">
        <v>321</v>
      </c>
    </row>
    <row r="73" spans="1:8" x14ac:dyDescent="0.3">
      <c r="A73" s="11" t="s">
        <v>36</v>
      </c>
      <c r="B73" s="11" t="s">
        <v>257</v>
      </c>
      <c r="C73" s="11" t="s">
        <v>258</v>
      </c>
      <c r="D73" s="11">
        <v>30</v>
      </c>
      <c r="E73" s="11">
        <v>330</v>
      </c>
      <c r="F73" s="11" t="s">
        <v>200</v>
      </c>
      <c r="G73" s="12">
        <v>237.6</v>
      </c>
      <c r="H73" s="13" t="s">
        <v>192</v>
      </c>
    </row>
    <row r="74" spans="1:8" x14ac:dyDescent="0.3">
      <c r="A74" s="11" t="s">
        <v>36</v>
      </c>
      <c r="B74" s="11" t="s">
        <v>30</v>
      </c>
      <c r="C74" s="11" t="s">
        <v>74</v>
      </c>
      <c r="D74" s="11">
        <v>30</v>
      </c>
      <c r="E74" s="11">
        <v>320</v>
      </c>
      <c r="F74" s="11" t="s">
        <v>200</v>
      </c>
      <c r="G74" s="12">
        <v>230.4</v>
      </c>
      <c r="H74" s="13" t="s">
        <v>192</v>
      </c>
    </row>
    <row r="75" spans="1:8" x14ac:dyDescent="0.3">
      <c r="A75" s="11" t="s">
        <v>36</v>
      </c>
      <c r="B75" s="11" t="s">
        <v>322</v>
      </c>
      <c r="C75" s="11" t="s">
        <v>323</v>
      </c>
      <c r="D75" s="11">
        <v>30</v>
      </c>
      <c r="E75" s="11">
        <v>330</v>
      </c>
      <c r="F75" s="11" t="s">
        <v>200</v>
      </c>
      <c r="G75" s="12">
        <v>237.6</v>
      </c>
      <c r="H75" s="13" t="s">
        <v>192</v>
      </c>
    </row>
    <row r="76" spans="1:8" x14ac:dyDescent="0.3">
      <c r="A76" s="11" t="s">
        <v>36</v>
      </c>
      <c r="B76" s="11" t="s">
        <v>260</v>
      </c>
      <c r="C76" s="11" t="s">
        <v>261</v>
      </c>
      <c r="D76" s="11">
        <v>30</v>
      </c>
      <c r="E76" s="11">
        <v>330</v>
      </c>
      <c r="F76" s="11" t="s">
        <v>200</v>
      </c>
      <c r="G76" s="12">
        <v>237.6</v>
      </c>
      <c r="H76" s="13" t="s">
        <v>192</v>
      </c>
    </row>
    <row r="77" spans="1:8" x14ac:dyDescent="0.3">
      <c r="A77" s="11" t="s">
        <v>36</v>
      </c>
      <c r="B77" s="11" t="s">
        <v>324</v>
      </c>
      <c r="C77" s="11" t="s">
        <v>325</v>
      </c>
      <c r="D77" s="11">
        <v>38</v>
      </c>
      <c r="E77" s="11">
        <v>250</v>
      </c>
      <c r="F77" s="11" t="s">
        <v>200</v>
      </c>
      <c r="G77" s="12">
        <v>180</v>
      </c>
      <c r="H77" s="13" t="s">
        <v>192</v>
      </c>
    </row>
    <row r="78" spans="1:8" x14ac:dyDescent="0.3">
      <c r="A78" s="11" t="s">
        <v>36</v>
      </c>
      <c r="B78" s="11" t="s">
        <v>104</v>
      </c>
      <c r="C78" s="11" t="s">
        <v>126</v>
      </c>
      <c r="D78" s="11">
        <v>38</v>
      </c>
      <c r="E78" s="11">
        <v>250</v>
      </c>
      <c r="F78" s="11" t="s">
        <v>200</v>
      </c>
      <c r="G78" s="12">
        <v>180</v>
      </c>
      <c r="H78" s="13" t="s">
        <v>192</v>
      </c>
    </row>
    <row r="79" spans="1:8" x14ac:dyDescent="0.3">
      <c r="A79" s="11" t="s">
        <v>36</v>
      </c>
      <c r="B79" s="11" t="s">
        <v>262</v>
      </c>
      <c r="C79" s="11" t="s">
        <v>77</v>
      </c>
      <c r="D79" s="11">
        <v>30</v>
      </c>
      <c r="E79" s="11">
        <v>330</v>
      </c>
      <c r="F79" s="11" t="s">
        <v>200</v>
      </c>
      <c r="G79" s="12">
        <v>237.6</v>
      </c>
      <c r="H79" s="13" t="s">
        <v>192</v>
      </c>
    </row>
    <row r="80" spans="1:8" x14ac:dyDescent="0.3">
      <c r="A80" s="11" t="s">
        <v>36</v>
      </c>
      <c r="B80" s="11" t="s">
        <v>263</v>
      </c>
      <c r="C80" s="11" t="s">
        <v>264</v>
      </c>
      <c r="D80" s="11">
        <v>30</v>
      </c>
      <c r="E80" s="11">
        <v>330</v>
      </c>
      <c r="F80" s="11" t="s">
        <v>200</v>
      </c>
      <c r="G80" s="12">
        <v>237.6</v>
      </c>
      <c r="H80" s="13" t="s">
        <v>192</v>
      </c>
    </row>
    <row r="81" spans="1:8" x14ac:dyDescent="0.3">
      <c r="A81" s="11" t="s">
        <v>36</v>
      </c>
      <c r="B81" s="11" t="s">
        <v>265</v>
      </c>
      <c r="C81" s="11" t="s">
        <v>266</v>
      </c>
      <c r="D81" s="11">
        <v>30</v>
      </c>
      <c r="E81" s="11">
        <v>330</v>
      </c>
      <c r="F81" s="11" t="s">
        <v>200</v>
      </c>
      <c r="G81" s="12">
        <v>237.6</v>
      </c>
      <c r="H81" s="13" t="s">
        <v>192</v>
      </c>
    </row>
    <row r="82" spans="1:8" x14ac:dyDescent="0.3">
      <c r="A82" s="11" t="s">
        <v>36</v>
      </c>
      <c r="B82" s="11" t="s">
        <v>267</v>
      </c>
      <c r="C82" s="11" t="s">
        <v>268</v>
      </c>
      <c r="D82" s="11">
        <v>30</v>
      </c>
      <c r="E82" s="11">
        <v>330</v>
      </c>
      <c r="F82" s="11" t="s">
        <v>200</v>
      </c>
      <c r="G82" s="12">
        <v>237.6</v>
      </c>
      <c r="H82" s="13" t="s">
        <v>250</v>
      </c>
    </row>
    <row r="83" spans="1:8" x14ac:dyDescent="0.3">
      <c r="A83" s="11" t="s">
        <v>36</v>
      </c>
      <c r="B83" s="11" t="s">
        <v>270</v>
      </c>
      <c r="C83" s="11" t="s">
        <v>150</v>
      </c>
      <c r="D83" s="11">
        <v>30</v>
      </c>
      <c r="E83" s="11">
        <v>330</v>
      </c>
      <c r="F83" s="11" t="s">
        <v>200</v>
      </c>
      <c r="G83" s="12">
        <v>237.6</v>
      </c>
      <c r="H83" s="13" t="s">
        <v>192</v>
      </c>
    </row>
    <row r="84" spans="1:8" x14ac:dyDescent="0.3">
      <c r="A84" s="11" t="s">
        <v>36</v>
      </c>
      <c r="B84" s="11" t="s">
        <v>275</v>
      </c>
      <c r="C84" s="11" t="s">
        <v>276</v>
      </c>
      <c r="D84" s="11">
        <v>30</v>
      </c>
      <c r="E84" s="11">
        <v>330</v>
      </c>
      <c r="F84" s="11" t="s">
        <v>200</v>
      </c>
      <c r="G84" s="12">
        <v>237.6</v>
      </c>
      <c r="H84" s="13" t="s">
        <v>192</v>
      </c>
    </row>
    <row r="85" spans="1:8" x14ac:dyDescent="0.3">
      <c r="A85" s="11" t="s">
        <v>36</v>
      </c>
      <c r="B85" s="11" t="s">
        <v>277</v>
      </c>
      <c r="C85" s="11" t="s">
        <v>278</v>
      </c>
      <c r="D85" s="11">
        <v>30</v>
      </c>
      <c r="E85" s="11">
        <v>330</v>
      </c>
      <c r="F85" s="11" t="s">
        <v>200</v>
      </c>
      <c r="G85" s="12">
        <v>237.6</v>
      </c>
      <c r="H85" s="13" t="s">
        <v>192</v>
      </c>
    </row>
    <row r="86" spans="1:8" x14ac:dyDescent="0.3">
      <c r="A86" s="11" t="s">
        <v>36</v>
      </c>
      <c r="B86" s="11" t="s">
        <v>178</v>
      </c>
      <c r="C86" s="11" t="s">
        <v>179</v>
      </c>
      <c r="D86" s="11">
        <v>30</v>
      </c>
      <c r="E86" s="11">
        <v>330</v>
      </c>
      <c r="F86" s="11" t="s">
        <v>200</v>
      </c>
      <c r="G86" s="12">
        <v>237.6</v>
      </c>
      <c r="H86" s="13" t="s">
        <v>192</v>
      </c>
    </row>
    <row r="87" spans="1:8" x14ac:dyDescent="0.3">
      <c r="A87" s="11" t="s">
        <v>36</v>
      </c>
      <c r="B87" s="11" t="s">
        <v>279</v>
      </c>
      <c r="C87" s="11" t="s">
        <v>79</v>
      </c>
      <c r="D87" s="11">
        <v>30</v>
      </c>
      <c r="E87" s="11">
        <v>330</v>
      </c>
      <c r="F87" s="11" t="s">
        <v>200</v>
      </c>
      <c r="G87" s="12">
        <v>237.6</v>
      </c>
      <c r="H87" s="13" t="s">
        <v>192</v>
      </c>
    </row>
    <row r="88" spans="1:8" x14ac:dyDescent="0.3">
      <c r="A88" s="11" t="s">
        <v>36</v>
      </c>
      <c r="B88" s="11" t="s">
        <v>283</v>
      </c>
      <c r="C88" s="11" t="s">
        <v>284</v>
      </c>
      <c r="D88" s="11">
        <v>30</v>
      </c>
      <c r="E88" s="11">
        <v>330</v>
      </c>
      <c r="F88" s="11" t="s">
        <v>200</v>
      </c>
      <c r="G88" s="12">
        <v>237.6</v>
      </c>
      <c r="H88" s="13" t="s">
        <v>192</v>
      </c>
    </row>
    <row r="89" spans="1:8" x14ac:dyDescent="0.3">
      <c r="A89" s="11" t="s">
        <v>36</v>
      </c>
      <c r="B89" s="11" t="s">
        <v>285</v>
      </c>
      <c r="C89" s="11" t="s">
        <v>286</v>
      </c>
      <c r="D89" s="11">
        <v>30</v>
      </c>
      <c r="E89" s="11">
        <v>330</v>
      </c>
      <c r="F89" s="11" t="s">
        <v>200</v>
      </c>
      <c r="G89" s="12">
        <v>237.6</v>
      </c>
      <c r="H89" s="13" t="s">
        <v>192</v>
      </c>
    </row>
    <row r="90" spans="1:8" x14ac:dyDescent="0.3">
      <c r="A90" s="11" t="s">
        <v>36</v>
      </c>
      <c r="B90" s="11" t="s">
        <v>287</v>
      </c>
      <c r="C90" s="11" t="s">
        <v>288</v>
      </c>
      <c r="D90" s="11">
        <v>30</v>
      </c>
      <c r="E90" s="11">
        <v>330</v>
      </c>
      <c r="F90" s="11" t="s">
        <v>200</v>
      </c>
      <c r="G90" s="12">
        <v>237.6</v>
      </c>
      <c r="H90" s="13" t="s">
        <v>192</v>
      </c>
    </row>
    <row r="91" spans="1:8" x14ac:dyDescent="0.3">
      <c r="A91" s="11" t="s">
        <v>36</v>
      </c>
      <c r="B91" s="11" t="s">
        <v>289</v>
      </c>
      <c r="C91" s="11" t="s">
        <v>72</v>
      </c>
      <c r="D91" s="11">
        <v>30</v>
      </c>
      <c r="E91" s="11">
        <v>330</v>
      </c>
      <c r="F91" s="11" t="s">
        <v>200</v>
      </c>
      <c r="G91" s="12">
        <v>237.6</v>
      </c>
      <c r="H91" s="13" t="s">
        <v>271</v>
      </c>
    </row>
    <row r="92" spans="1:8" x14ac:dyDescent="0.3">
      <c r="A92" s="11" t="s">
        <v>36</v>
      </c>
      <c r="B92" s="11" t="s">
        <v>246</v>
      </c>
      <c r="C92" s="11" t="s">
        <v>247</v>
      </c>
      <c r="D92" s="11">
        <v>38</v>
      </c>
      <c r="E92" s="11">
        <v>225</v>
      </c>
      <c r="F92" s="11" t="s">
        <v>200</v>
      </c>
      <c r="G92" s="12">
        <v>162</v>
      </c>
      <c r="H92" s="13" t="s">
        <v>248</v>
      </c>
    </row>
    <row r="93" spans="1:8" x14ac:dyDescent="0.3">
      <c r="A93" s="11" t="s">
        <v>36</v>
      </c>
      <c r="B93" s="11" t="s">
        <v>292</v>
      </c>
      <c r="C93" s="11" t="s">
        <v>293</v>
      </c>
      <c r="D93" s="11">
        <v>30</v>
      </c>
      <c r="E93" s="11">
        <v>330</v>
      </c>
      <c r="F93" s="11" t="s">
        <v>200</v>
      </c>
      <c r="G93" s="12">
        <v>237.6</v>
      </c>
      <c r="H93" s="13" t="s">
        <v>192</v>
      </c>
    </row>
    <row r="94" spans="1:8" x14ac:dyDescent="0.3">
      <c r="A94" s="11" t="s">
        <v>36</v>
      </c>
      <c r="B94" s="11" t="s">
        <v>294</v>
      </c>
      <c r="C94" s="11" t="s">
        <v>295</v>
      </c>
      <c r="D94" s="11">
        <v>30</v>
      </c>
      <c r="E94" s="11">
        <v>330</v>
      </c>
      <c r="F94" s="11" t="s">
        <v>200</v>
      </c>
      <c r="G94" s="12">
        <v>237.6</v>
      </c>
      <c r="H94" s="13" t="s">
        <v>250</v>
      </c>
    </row>
    <row r="95" spans="1:8" x14ac:dyDescent="0.3">
      <c r="A95" s="11" t="s">
        <v>36</v>
      </c>
      <c r="B95" s="11" t="s">
        <v>326</v>
      </c>
      <c r="C95" s="11" t="s">
        <v>73</v>
      </c>
      <c r="D95" s="11">
        <v>30</v>
      </c>
      <c r="E95" s="11">
        <v>330</v>
      </c>
      <c r="F95" s="11" t="s">
        <v>200</v>
      </c>
      <c r="G95" s="12">
        <v>237.6</v>
      </c>
      <c r="H95" s="13" t="s">
        <v>248</v>
      </c>
    </row>
    <row r="96" spans="1:8" x14ac:dyDescent="0.3">
      <c r="A96" s="11" t="s">
        <v>36</v>
      </c>
      <c r="B96" s="11" t="s">
        <v>297</v>
      </c>
      <c r="C96" s="11" t="s">
        <v>298</v>
      </c>
      <c r="D96" s="11">
        <v>30</v>
      </c>
      <c r="E96" s="11">
        <v>330</v>
      </c>
      <c r="F96" s="11" t="s">
        <v>200</v>
      </c>
      <c r="G96" s="12">
        <v>237.6</v>
      </c>
      <c r="H96" s="13" t="s">
        <v>250</v>
      </c>
    </row>
    <row r="97" spans="1:8" x14ac:dyDescent="0.3">
      <c r="A97" s="11" t="s">
        <v>36</v>
      </c>
      <c r="B97" s="11" t="s">
        <v>301</v>
      </c>
      <c r="C97" s="11" t="s">
        <v>302</v>
      </c>
      <c r="D97" s="11">
        <v>30</v>
      </c>
      <c r="E97" s="11">
        <v>330</v>
      </c>
      <c r="F97" s="11" t="s">
        <v>200</v>
      </c>
      <c r="G97" s="12">
        <v>237.6</v>
      </c>
      <c r="H97" s="13" t="s">
        <v>250</v>
      </c>
    </row>
    <row r="98" spans="1:8" x14ac:dyDescent="0.3">
      <c r="A98" s="11" t="s">
        <v>36</v>
      </c>
      <c r="B98" s="11" t="s">
        <v>307</v>
      </c>
      <c r="C98" s="11" t="s">
        <v>308</v>
      </c>
      <c r="D98" s="11">
        <v>30</v>
      </c>
      <c r="E98" s="11">
        <v>330</v>
      </c>
      <c r="F98" s="11" t="s">
        <v>200</v>
      </c>
      <c r="G98" s="12">
        <v>237.6</v>
      </c>
      <c r="H98" s="13" t="s">
        <v>192</v>
      </c>
    </row>
    <row r="99" spans="1:8" x14ac:dyDescent="0.3">
      <c r="A99" s="11" t="s">
        <v>36</v>
      </c>
      <c r="B99" s="11" t="s">
        <v>309</v>
      </c>
      <c r="C99" s="11" t="s">
        <v>310</v>
      </c>
      <c r="D99" s="11">
        <v>30</v>
      </c>
      <c r="E99" s="11">
        <v>330</v>
      </c>
      <c r="F99" s="11" t="s">
        <v>200</v>
      </c>
      <c r="G99" s="12">
        <v>237.6</v>
      </c>
      <c r="H99" s="13" t="s">
        <v>192</v>
      </c>
    </row>
    <row r="100" spans="1:8" x14ac:dyDescent="0.3">
      <c r="A100" s="11" t="s">
        <v>36</v>
      </c>
      <c r="B100" s="11" t="s">
        <v>103</v>
      </c>
      <c r="C100" s="11" t="s">
        <v>123</v>
      </c>
      <c r="D100" s="11">
        <v>38</v>
      </c>
      <c r="E100" s="11">
        <v>250</v>
      </c>
      <c r="F100" s="11" t="s">
        <v>200</v>
      </c>
      <c r="G100" s="12">
        <v>180</v>
      </c>
      <c r="H100" s="13" t="s">
        <v>192</v>
      </c>
    </row>
    <row r="101" spans="1:8" x14ac:dyDescent="0.3">
      <c r="A101" s="11" t="s">
        <v>36</v>
      </c>
      <c r="B101" s="11" t="s">
        <v>311</v>
      </c>
      <c r="C101" s="11" t="s">
        <v>312</v>
      </c>
      <c r="D101" s="11">
        <v>30</v>
      </c>
      <c r="E101" s="11">
        <v>330</v>
      </c>
      <c r="F101" s="11" t="s">
        <v>200</v>
      </c>
      <c r="G101" s="12">
        <v>237.6</v>
      </c>
      <c r="H101" s="13" t="s">
        <v>192</v>
      </c>
    </row>
    <row r="102" spans="1:8" x14ac:dyDescent="0.3">
      <c r="A102" s="11" t="s">
        <v>36</v>
      </c>
      <c r="B102" s="11" t="s">
        <v>313</v>
      </c>
      <c r="C102" s="11" t="s">
        <v>314</v>
      </c>
      <c r="D102" s="11">
        <v>30</v>
      </c>
      <c r="E102" s="11">
        <v>330</v>
      </c>
      <c r="F102" s="11" t="s">
        <v>200</v>
      </c>
      <c r="G102" s="12">
        <v>237.6</v>
      </c>
      <c r="H102" s="13" t="s">
        <v>192</v>
      </c>
    </row>
    <row r="103" spans="1:8" x14ac:dyDescent="0.3">
      <c r="A103" s="11" t="s">
        <v>36</v>
      </c>
      <c r="B103" s="11" t="s">
        <v>105</v>
      </c>
      <c r="C103" s="11" t="s">
        <v>127</v>
      </c>
      <c r="D103" s="11">
        <v>38</v>
      </c>
      <c r="E103" s="11">
        <v>250</v>
      </c>
      <c r="F103" s="11" t="s">
        <v>200</v>
      </c>
      <c r="G103" s="12">
        <v>180</v>
      </c>
      <c r="H103" s="13" t="s">
        <v>192</v>
      </c>
    </row>
    <row r="104" spans="1:8" x14ac:dyDescent="0.3">
      <c r="A104" s="11" t="s">
        <v>36</v>
      </c>
      <c r="B104" s="11" t="s">
        <v>327</v>
      </c>
      <c r="C104" s="11" t="s">
        <v>328</v>
      </c>
      <c r="D104" s="11">
        <v>30</v>
      </c>
      <c r="E104" s="11">
        <v>330</v>
      </c>
      <c r="F104" s="11" t="s">
        <v>200</v>
      </c>
      <c r="G104" s="12">
        <v>237.6</v>
      </c>
      <c r="H104" s="13" t="s">
        <v>192</v>
      </c>
    </row>
    <row r="105" spans="1:8" x14ac:dyDescent="0.3">
      <c r="A105" s="11" t="s">
        <v>36</v>
      </c>
      <c r="B105" s="11" t="s">
        <v>315</v>
      </c>
      <c r="C105" s="11" t="s">
        <v>316</v>
      </c>
      <c r="D105" s="11">
        <v>30</v>
      </c>
      <c r="E105" s="11">
        <v>330</v>
      </c>
      <c r="F105" s="11" t="s">
        <v>200</v>
      </c>
      <c r="G105" s="12">
        <v>237.6</v>
      </c>
      <c r="H105" s="13" t="s">
        <v>192</v>
      </c>
    </row>
    <row r="106" spans="1:8" x14ac:dyDescent="0.3">
      <c r="A106" s="11" t="s">
        <v>36</v>
      </c>
      <c r="B106" s="11" t="s">
        <v>317</v>
      </c>
      <c r="C106" s="11" t="s">
        <v>318</v>
      </c>
      <c r="D106" s="11">
        <v>30</v>
      </c>
      <c r="E106" s="11">
        <v>330</v>
      </c>
      <c r="F106" s="11" t="s">
        <v>200</v>
      </c>
      <c r="G106" s="12">
        <v>237.6</v>
      </c>
      <c r="H106" s="13" t="s">
        <v>192</v>
      </c>
    </row>
    <row r="107" spans="1:8" x14ac:dyDescent="0.3">
      <c r="A107" s="11" t="s">
        <v>41</v>
      </c>
      <c r="B107" s="11" t="s">
        <v>329</v>
      </c>
      <c r="C107" s="11" t="s">
        <v>330</v>
      </c>
      <c r="D107" s="11">
        <v>6</v>
      </c>
      <c r="E107" s="11">
        <v>269</v>
      </c>
      <c r="F107" s="11" t="s">
        <v>191</v>
      </c>
      <c r="G107" s="12">
        <v>161.4</v>
      </c>
      <c r="H107" s="13" t="s">
        <v>192</v>
      </c>
    </row>
    <row r="108" spans="1:8" x14ac:dyDescent="0.3">
      <c r="A108" s="11" t="s">
        <v>41</v>
      </c>
      <c r="B108" s="11" t="s">
        <v>331</v>
      </c>
      <c r="C108" s="11" t="s">
        <v>332</v>
      </c>
      <c r="D108" s="11">
        <v>6</v>
      </c>
      <c r="E108" s="11">
        <v>330</v>
      </c>
      <c r="F108" s="11" t="s">
        <v>191</v>
      </c>
      <c r="G108" s="12">
        <v>198</v>
      </c>
      <c r="H108" s="13" t="s">
        <v>192</v>
      </c>
    </row>
    <row r="109" spans="1:8" x14ac:dyDescent="0.3">
      <c r="A109" s="11" t="s">
        <v>41</v>
      </c>
      <c r="B109" s="11" t="s">
        <v>333</v>
      </c>
      <c r="C109" s="11" t="s">
        <v>334</v>
      </c>
      <c r="D109" s="11">
        <v>24</v>
      </c>
      <c r="E109" s="11">
        <v>330</v>
      </c>
      <c r="F109" s="11" t="s">
        <v>191</v>
      </c>
      <c r="G109" s="12">
        <v>198</v>
      </c>
      <c r="H109" s="13" t="s">
        <v>192</v>
      </c>
    </row>
    <row r="110" spans="1:8" x14ac:dyDescent="0.3">
      <c r="A110" s="11" t="s">
        <v>41</v>
      </c>
      <c r="B110" s="11" t="s">
        <v>335</v>
      </c>
      <c r="C110" s="11" t="s">
        <v>151</v>
      </c>
      <c r="D110" s="11">
        <v>6</v>
      </c>
      <c r="E110" s="11">
        <v>330</v>
      </c>
      <c r="F110" s="11" t="s">
        <v>191</v>
      </c>
      <c r="G110" s="12">
        <v>198</v>
      </c>
      <c r="H110" s="13" t="s">
        <v>192</v>
      </c>
    </row>
    <row r="111" spans="1:8" x14ac:dyDescent="0.3">
      <c r="A111" s="11" t="s">
        <v>41</v>
      </c>
      <c r="B111" s="11" t="s">
        <v>336</v>
      </c>
      <c r="C111" s="11" t="s">
        <v>337</v>
      </c>
      <c r="D111" s="11">
        <v>6</v>
      </c>
      <c r="E111" s="11">
        <v>330</v>
      </c>
      <c r="F111" s="11" t="s">
        <v>191</v>
      </c>
      <c r="G111" s="12">
        <v>198</v>
      </c>
      <c r="H111" s="13" t="s">
        <v>192</v>
      </c>
    </row>
    <row r="112" spans="1:8" x14ac:dyDescent="0.3">
      <c r="A112" s="11" t="s">
        <v>41</v>
      </c>
      <c r="B112" s="11" t="s">
        <v>338</v>
      </c>
      <c r="C112" s="11" t="s">
        <v>81</v>
      </c>
      <c r="D112" s="11">
        <v>6</v>
      </c>
      <c r="E112" s="11">
        <v>330</v>
      </c>
      <c r="F112" s="11" t="s">
        <v>191</v>
      </c>
      <c r="G112" s="12">
        <v>198</v>
      </c>
      <c r="H112" s="13" t="s">
        <v>192</v>
      </c>
    </row>
    <row r="113" spans="1:8" x14ac:dyDescent="0.3">
      <c r="A113" s="11" t="s">
        <v>41</v>
      </c>
      <c r="B113" s="11" t="s">
        <v>339</v>
      </c>
      <c r="C113" s="11" t="s">
        <v>340</v>
      </c>
      <c r="D113" s="11">
        <v>6</v>
      </c>
      <c r="E113" s="11">
        <v>269</v>
      </c>
      <c r="F113" s="11" t="s">
        <v>191</v>
      </c>
      <c r="G113" s="12">
        <v>161.4</v>
      </c>
      <c r="H113" s="13" t="s">
        <v>192</v>
      </c>
    </row>
    <row r="114" spans="1:8" x14ac:dyDescent="0.3">
      <c r="A114" s="11" t="s">
        <v>41</v>
      </c>
      <c r="B114" s="11" t="s">
        <v>341</v>
      </c>
      <c r="C114" s="11" t="s">
        <v>167</v>
      </c>
      <c r="D114" s="11">
        <v>6</v>
      </c>
      <c r="E114" s="11">
        <v>330</v>
      </c>
      <c r="F114" s="11" t="s">
        <v>191</v>
      </c>
      <c r="G114" s="12">
        <v>198</v>
      </c>
      <c r="H114" s="13" t="s">
        <v>192</v>
      </c>
    </row>
    <row r="115" spans="1:8" x14ac:dyDescent="0.3">
      <c r="A115" s="11" t="s">
        <v>41</v>
      </c>
      <c r="B115" s="11" t="s">
        <v>342</v>
      </c>
      <c r="C115" s="11" t="s">
        <v>85</v>
      </c>
      <c r="D115" s="11">
        <v>24</v>
      </c>
      <c r="E115" s="11">
        <v>330</v>
      </c>
      <c r="F115" s="11" t="s">
        <v>191</v>
      </c>
      <c r="G115" s="12">
        <v>198</v>
      </c>
      <c r="H115" s="13" t="s">
        <v>192</v>
      </c>
    </row>
    <row r="116" spans="1:8" x14ac:dyDescent="0.3">
      <c r="A116" s="11" t="s">
        <v>41</v>
      </c>
      <c r="B116" s="11" t="s">
        <v>343</v>
      </c>
      <c r="C116" s="11" t="s">
        <v>344</v>
      </c>
      <c r="D116" s="11">
        <v>24</v>
      </c>
      <c r="E116" s="11">
        <v>330</v>
      </c>
      <c r="F116" s="11" t="s">
        <v>191</v>
      </c>
      <c r="G116" s="12">
        <v>198</v>
      </c>
      <c r="H116" s="13" t="s">
        <v>192</v>
      </c>
    </row>
    <row r="117" spans="1:8" x14ac:dyDescent="0.3">
      <c r="A117" s="11" t="s">
        <v>41</v>
      </c>
      <c r="B117" s="11" t="s">
        <v>189</v>
      </c>
      <c r="C117" s="11" t="s">
        <v>190</v>
      </c>
      <c r="D117" s="11">
        <v>12</v>
      </c>
      <c r="E117" s="11">
        <v>330</v>
      </c>
      <c r="F117" s="11" t="s">
        <v>191</v>
      </c>
      <c r="G117" s="12">
        <v>198</v>
      </c>
      <c r="H117" s="13" t="s">
        <v>192</v>
      </c>
    </row>
    <row r="118" spans="1:8" x14ac:dyDescent="0.3">
      <c r="A118" s="11" t="s">
        <v>41</v>
      </c>
      <c r="B118" s="11" t="s">
        <v>345</v>
      </c>
      <c r="C118" s="11" t="s">
        <v>346</v>
      </c>
      <c r="D118" s="11">
        <v>24</v>
      </c>
      <c r="E118" s="11">
        <v>330</v>
      </c>
      <c r="F118" s="11" t="s">
        <v>191</v>
      </c>
      <c r="G118" s="12">
        <v>198</v>
      </c>
      <c r="H118" s="13" t="s">
        <v>192</v>
      </c>
    </row>
    <row r="119" spans="1:8" x14ac:dyDescent="0.3">
      <c r="A119" s="11" t="s">
        <v>41</v>
      </c>
      <c r="B119" s="11" t="s">
        <v>193</v>
      </c>
      <c r="C119" s="11" t="s">
        <v>194</v>
      </c>
      <c r="D119" s="11">
        <v>6</v>
      </c>
      <c r="E119" s="11">
        <v>330</v>
      </c>
      <c r="F119" s="11" t="s">
        <v>191</v>
      </c>
      <c r="G119" s="12">
        <v>198</v>
      </c>
      <c r="H119" s="13" t="s">
        <v>192</v>
      </c>
    </row>
    <row r="120" spans="1:8" x14ac:dyDescent="0.3">
      <c r="A120" s="11" t="s">
        <v>41</v>
      </c>
      <c r="B120" s="11" t="s">
        <v>347</v>
      </c>
      <c r="C120" s="11" t="s">
        <v>348</v>
      </c>
      <c r="D120" s="11">
        <v>24</v>
      </c>
      <c r="E120" s="11">
        <v>330</v>
      </c>
      <c r="F120" s="11" t="s">
        <v>191</v>
      </c>
      <c r="G120" s="12">
        <v>198</v>
      </c>
      <c r="H120" s="13" t="s">
        <v>349</v>
      </c>
    </row>
    <row r="121" spans="1:8" x14ac:dyDescent="0.3">
      <c r="A121" s="11" t="s">
        <v>41</v>
      </c>
      <c r="B121" s="11" t="s">
        <v>350</v>
      </c>
      <c r="C121" s="11" t="s">
        <v>125</v>
      </c>
      <c r="D121" s="11">
        <v>6</v>
      </c>
      <c r="E121" s="11">
        <v>330</v>
      </c>
      <c r="F121" s="11" t="s">
        <v>191</v>
      </c>
      <c r="G121" s="12">
        <v>198</v>
      </c>
      <c r="H121" s="13" t="s">
        <v>192</v>
      </c>
    </row>
    <row r="122" spans="1:8" x14ac:dyDescent="0.3">
      <c r="A122" s="11" t="s">
        <v>41</v>
      </c>
      <c r="B122" s="11" t="s">
        <v>351</v>
      </c>
      <c r="C122" s="11" t="s">
        <v>352</v>
      </c>
      <c r="D122" s="11">
        <v>24</v>
      </c>
      <c r="E122" s="11">
        <v>330</v>
      </c>
      <c r="F122" s="11" t="s">
        <v>191</v>
      </c>
      <c r="G122" s="12">
        <v>198</v>
      </c>
      <c r="H122" s="13" t="s">
        <v>192</v>
      </c>
    </row>
    <row r="123" spans="1:8" x14ac:dyDescent="0.3">
      <c r="A123" s="11" t="s">
        <v>41</v>
      </c>
      <c r="B123" s="11" t="s">
        <v>107</v>
      </c>
      <c r="C123" s="11" t="s">
        <v>128</v>
      </c>
      <c r="D123" s="11">
        <v>24</v>
      </c>
      <c r="E123" s="11">
        <v>269</v>
      </c>
      <c r="F123" s="11" t="s">
        <v>191</v>
      </c>
      <c r="G123" s="12">
        <v>161.4</v>
      </c>
      <c r="H123" s="13" t="s">
        <v>192</v>
      </c>
    </row>
    <row r="124" spans="1:8" x14ac:dyDescent="0.3">
      <c r="A124" s="11" t="s">
        <v>41</v>
      </c>
      <c r="B124" s="11" t="s">
        <v>353</v>
      </c>
      <c r="C124" s="11" t="s">
        <v>354</v>
      </c>
      <c r="D124" s="11">
        <v>6</v>
      </c>
      <c r="E124" s="11">
        <v>330</v>
      </c>
      <c r="F124" s="11" t="s">
        <v>191</v>
      </c>
      <c r="G124" s="12">
        <v>198</v>
      </c>
      <c r="H124" s="13" t="s">
        <v>192</v>
      </c>
    </row>
    <row r="125" spans="1:8" x14ac:dyDescent="0.3">
      <c r="A125" s="11" t="s">
        <v>41</v>
      </c>
      <c r="B125" s="11" t="s">
        <v>44</v>
      </c>
      <c r="C125" s="11" t="s">
        <v>83</v>
      </c>
      <c r="D125" s="11">
        <v>6</v>
      </c>
      <c r="E125" s="11">
        <v>330</v>
      </c>
      <c r="F125" s="11" t="s">
        <v>191</v>
      </c>
      <c r="G125" s="12">
        <v>198</v>
      </c>
      <c r="H125" s="13" t="s">
        <v>192</v>
      </c>
    </row>
    <row r="126" spans="1:8" x14ac:dyDescent="0.3">
      <c r="A126" s="11" t="s">
        <v>41</v>
      </c>
      <c r="B126" s="11" t="s">
        <v>355</v>
      </c>
      <c r="C126" s="11" t="s">
        <v>356</v>
      </c>
      <c r="D126" s="11">
        <v>24</v>
      </c>
      <c r="E126" s="11">
        <v>330</v>
      </c>
      <c r="F126" s="11" t="s">
        <v>191</v>
      </c>
      <c r="G126" s="12">
        <v>198</v>
      </c>
      <c r="H126" s="13" t="s">
        <v>192</v>
      </c>
    </row>
    <row r="127" spans="1:8" x14ac:dyDescent="0.3">
      <c r="A127" s="11" t="s">
        <v>41</v>
      </c>
      <c r="B127" s="11" t="s">
        <v>357</v>
      </c>
      <c r="C127" s="11" t="s">
        <v>358</v>
      </c>
      <c r="D127" s="11">
        <v>24</v>
      </c>
      <c r="E127" s="11">
        <v>269</v>
      </c>
      <c r="F127" s="11" t="s">
        <v>191</v>
      </c>
      <c r="G127" s="12">
        <v>161.4</v>
      </c>
      <c r="H127" s="13" t="s">
        <v>359</v>
      </c>
    </row>
    <row r="128" spans="1:8" x14ac:dyDescent="0.3">
      <c r="A128" s="11" t="s">
        <v>41</v>
      </c>
      <c r="B128" s="11" t="s">
        <v>203</v>
      </c>
      <c r="C128" s="11" t="s">
        <v>204</v>
      </c>
      <c r="D128" s="11">
        <v>6</v>
      </c>
      <c r="E128" s="11">
        <v>330</v>
      </c>
      <c r="F128" s="11" t="s">
        <v>191</v>
      </c>
      <c r="G128" s="12">
        <v>198</v>
      </c>
      <c r="H128" s="13" t="s">
        <v>360</v>
      </c>
    </row>
    <row r="129" spans="1:8" x14ac:dyDescent="0.3">
      <c r="A129" s="11" t="s">
        <v>41</v>
      </c>
      <c r="B129" s="11" t="s">
        <v>361</v>
      </c>
      <c r="C129" s="11" t="s">
        <v>362</v>
      </c>
      <c r="D129" s="11">
        <v>24</v>
      </c>
      <c r="E129" s="11">
        <v>330</v>
      </c>
      <c r="F129" s="11" t="s">
        <v>191</v>
      </c>
      <c r="G129" s="12">
        <v>198</v>
      </c>
      <c r="H129" s="13" t="s">
        <v>192</v>
      </c>
    </row>
    <row r="130" spans="1:8" x14ac:dyDescent="0.3">
      <c r="A130" s="11" t="s">
        <v>41</v>
      </c>
      <c r="B130" s="11" t="s">
        <v>363</v>
      </c>
      <c r="C130" s="11" t="s">
        <v>364</v>
      </c>
      <c r="D130" s="11">
        <v>24</v>
      </c>
      <c r="E130" s="11">
        <v>330</v>
      </c>
      <c r="F130" s="11" t="s">
        <v>191</v>
      </c>
      <c r="G130" s="12">
        <v>198</v>
      </c>
      <c r="H130" s="13" t="s">
        <v>192</v>
      </c>
    </row>
    <row r="131" spans="1:8" x14ac:dyDescent="0.3">
      <c r="A131" s="11" t="s">
        <v>41</v>
      </c>
      <c r="B131" s="11" t="s">
        <v>205</v>
      </c>
      <c r="C131" s="11" t="s">
        <v>206</v>
      </c>
      <c r="D131" s="11">
        <v>6</v>
      </c>
      <c r="E131" s="11">
        <v>330</v>
      </c>
      <c r="F131" s="11" t="s">
        <v>191</v>
      </c>
      <c r="G131" s="12">
        <v>198</v>
      </c>
      <c r="H131" s="13" t="s">
        <v>360</v>
      </c>
    </row>
    <row r="132" spans="1:8" x14ac:dyDescent="0.3">
      <c r="A132" s="11" t="s">
        <v>41</v>
      </c>
      <c r="B132" s="11" t="s">
        <v>365</v>
      </c>
      <c r="C132" s="11" t="s">
        <v>366</v>
      </c>
      <c r="D132" s="11">
        <v>24</v>
      </c>
      <c r="E132" s="11">
        <v>269</v>
      </c>
      <c r="F132" s="11" t="s">
        <v>191</v>
      </c>
      <c r="G132" s="12">
        <v>161.4</v>
      </c>
      <c r="H132" s="13" t="s">
        <v>192</v>
      </c>
    </row>
    <row r="133" spans="1:8" x14ac:dyDescent="0.3">
      <c r="A133" s="11" t="s">
        <v>41</v>
      </c>
      <c r="B133" s="11" t="s">
        <v>367</v>
      </c>
      <c r="C133" s="11" t="s">
        <v>368</v>
      </c>
      <c r="D133" s="11">
        <v>24</v>
      </c>
      <c r="E133" s="11">
        <v>330</v>
      </c>
      <c r="F133" s="11" t="s">
        <v>191</v>
      </c>
      <c r="G133" s="12">
        <v>198</v>
      </c>
      <c r="H133" s="13" t="s">
        <v>349</v>
      </c>
    </row>
    <row r="134" spans="1:8" x14ac:dyDescent="0.3">
      <c r="A134" s="11" t="s">
        <v>41</v>
      </c>
      <c r="B134" s="11" t="s">
        <v>369</v>
      </c>
      <c r="C134" s="11" t="s">
        <v>370</v>
      </c>
      <c r="D134" s="11">
        <v>24</v>
      </c>
      <c r="E134" s="11">
        <v>330</v>
      </c>
      <c r="F134" s="11" t="s">
        <v>191</v>
      </c>
      <c r="G134" s="12">
        <v>198</v>
      </c>
      <c r="H134" s="13" t="s">
        <v>371</v>
      </c>
    </row>
    <row r="135" spans="1:8" x14ac:dyDescent="0.3">
      <c r="A135" s="11" t="s">
        <v>41</v>
      </c>
      <c r="B135" s="11" t="s">
        <v>207</v>
      </c>
      <c r="C135" s="11" t="s">
        <v>168</v>
      </c>
      <c r="D135" s="11">
        <v>6</v>
      </c>
      <c r="E135" s="11">
        <v>330</v>
      </c>
      <c r="F135" s="11" t="s">
        <v>191</v>
      </c>
      <c r="G135" s="12">
        <v>198</v>
      </c>
      <c r="H135" s="13" t="s">
        <v>192</v>
      </c>
    </row>
    <row r="136" spans="1:8" x14ac:dyDescent="0.3">
      <c r="A136" s="11" t="s">
        <v>41</v>
      </c>
      <c r="B136" s="11" t="s">
        <v>372</v>
      </c>
      <c r="C136" s="11" t="s">
        <v>373</v>
      </c>
      <c r="D136" s="11">
        <v>24</v>
      </c>
      <c r="E136" s="11">
        <v>330</v>
      </c>
      <c r="F136" s="11" t="s">
        <v>191</v>
      </c>
      <c r="G136" s="12">
        <v>198</v>
      </c>
      <c r="H136" s="13" t="s">
        <v>192</v>
      </c>
    </row>
    <row r="137" spans="1:8" x14ac:dyDescent="0.3">
      <c r="A137" s="11" t="s">
        <v>41</v>
      </c>
      <c r="B137" s="11" t="s">
        <v>208</v>
      </c>
      <c r="C137" s="11" t="s">
        <v>209</v>
      </c>
      <c r="D137" s="11">
        <v>6</v>
      </c>
      <c r="E137" s="11">
        <v>473</v>
      </c>
      <c r="F137" s="11" t="s">
        <v>191</v>
      </c>
      <c r="G137" s="12">
        <v>198.66</v>
      </c>
      <c r="H137" s="13" t="s">
        <v>360</v>
      </c>
    </row>
    <row r="138" spans="1:8" x14ac:dyDescent="0.3">
      <c r="A138" s="11" t="s">
        <v>41</v>
      </c>
      <c r="B138" s="11" t="s">
        <v>210</v>
      </c>
      <c r="C138" s="11" t="s">
        <v>211</v>
      </c>
      <c r="D138" s="11">
        <v>6</v>
      </c>
      <c r="E138" s="11">
        <v>473</v>
      </c>
      <c r="F138" s="11" t="s">
        <v>191</v>
      </c>
      <c r="G138" s="12">
        <v>198.66</v>
      </c>
      <c r="H138" s="13" t="s">
        <v>360</v>
      </c>
    </row>
    <row r="139" spans="1:8" x14ac:dyDescent="0.3">
      <c r="A139" s="11" t="s">
        <v>41</v>
      </c>
      <c r="B139" s="11" t="s">
        <v>374</v>
      </c>
      <c r="C139" s="11" t="s">
        <v>375</v>
      </c>
      <c r="D139" s="11">
        <v>18</v>
      </c>
      <c r="E139" s="11">
        <v>473</v>
      </c>
      <c r="F139" s="11" t="s">
        <v>191</v>
      </c>
      <c r="G139" s="12">
        <v>198.66</v>
      </c>
      <c r="H139" s="13" t="s">
        <v>349</v>
      </c>
    </row>
    <row r="140" spans="1:8" x14ac:dyDescent="0.3">
      <c r="A140" s="11" t="s">
        <v>41</v>
      </c>
      <c r="B140" s="11" t="s">
        <v>376</v>
      </c>
      <c r="C140" s="11" t="s">
        <v>377</v>
      </c>
      <c r="D140" s="11">
        <v>18</v>
      </c>
      <c r="E140" s="11">
        <v>473</v>
      </c>
      <c r="F140" s="11" t="s">
        <v>191</v>
      </c>
      <c r="G140" s="12">
        <v>198.66</v>
      </c>
      <c r="H140" s="13" t="s">
        <v>192</v>
      </c>
    </row>
    <row r="141" spans="1:8" x14ac:dyDescent="0.3">
      <c r="A141" s="11" t="s">
        <v>41</v>
      </c>
      <c r="B141" s="11" t="s">
        <v>378</v>
      </c>
      <c r="C141" s="11" t="s">
        <v>379</v>
      </c>
      <c r="D141" s="11">
        <v>24</v>
      </c>
      <c r="E141" s="11">
        <v>269</v>
      </c>
      <c r="F141" s="11" t="s">
        <v>191</v>
      </c>
      <c r="G141" s="12">
        <v>161.4</v>
      </c>
      <c r="H141" s="13" t="s">
        <v>192</v>
      </c>
    </row>
    <row r="142" spans="1:8" x14ac:dyDescent="0.3">
      <c r="A142" s="11" t="s">
        <v>41</v>
      </c>
      <c r="B142" s="11" t="s">
        <v>212</v>
      </c>
      <c r="C142" s="11" t="s">
        <v>122</v>
      </c>
      <c r="D142" s="11">
        <v>6</v>
      </c>
      <c r="E142" s="11">
        <v>269</v>
      </c>
      <c r="F142" s="11" t="s">
        <v>191</v>
      </c>
      <c r="G142" s="12">
        <v>161.4</v>
      </c>
      <c r="H142" s="13" t="s">
        <v>192</v>
      </c>
    </row>
    <row r="143" spans="1:8" x14ac:dyDescent="0.3">
      <c r="A143" s="11" t="s">
        <v>41</v>
      </c>
      <c r="B143" s="11" t="s">
        <v>380</v>
      </c>
      <c r="C143" s="11" t="s">
        <v>381</v>
      </c>
      <c r="D143" s="11">
        <v>24</v>
      </c>
      <c r="E143" s="11">
        <v>355</v>
      </c>
      <c r="F143" s="11" t="s">
        <v>191</v>
      </c>
      <c r="G143" s="12">
        <v>213</v>
      </c>
      <c r="H143" s="13" t="s">
        <v>192</v>
      </c>
    </row>
    <row r="144" spans="1:8" x14ac:dyDescent="0.3">
      <c r="A144" s="11" t="s">
        <v>41</v>
      </c>
      <c r="B144" s="11" t="s">
        <v>382</v>
      </c>
      <c r="C144" s="11" t="s">
        <v>383</v>
      </c>
      <c r="D144" s="11">
        <v>24</v>
      </c>
      <c r="E144" s="11">
        <v>355</v>
      </c>
      <c r="F144" s="11" t="s">
        <v>191</v>
      </c>
      <c r="G144" s="12">
        <v>213</v>
      </c>
      <c r="H144" s="13" t="s">
        <v>192</v>
      </c>
    </row>
    <row r="145" spans="1:8" x14ac:dyDescent="0.3">
      <c r="A145" s="11" t="s">
        <v>41</v>
      </c>
      <c r="B145" s="11" t="s">
        <v>219</v>
      </c>
      <c r="C145" s="11" t="s">
        <v>220</v>
      </c>
      <c r="D145" s="11">
        <v>6</v>
      </c>
      <c r="E145" s="11">
        <v>355</v>
      </c>
      <c r="F145" s="11" t="s">
        <v>191</v>
      </c>
      <c r="G145" s="12">
        <v>213</v>
      </c>
      <c r="H145" s="13" t="s">
        <v>192</v>
      </c>
    </row>
    <row r="146" spans="1:8" x14ac:dyDescent="0.3">
      <c r="A146" s="11" t="s">
        <v>41</v>
      </c>
      <c r="B146" s="11" t="s">
        <v>384</v>
      </c>
      <c r="C146" s="11" t="s">
        <v>385</v>
      </c>
      <c r="D146" s="11">
        <v>24</v>
      </c>
      <c r="E146" s="11">
        <v>355</v>
      </c>
      <c r="F146" s="11" t="s">
        <v>191</v>
      </c>
      <c r="G146" s="12">
        <v>213</v>
      </c>
      <c r="H146" s="13" t="s">
        <v>192</v>
      </c>
    </row>
    <row r="147" spans="1:8" x14ac:dyDescent="0.3">
      <c r="A147" s="11" t="s">
        <v>41</v>
      </c>
      <c r="B147" s="11" t="s">
        <v>386</v>
      </c>
      <c r="C147" s="11" t="s">
        <v>387</v>
      </c>
      <c r="D147" s="11">
        <v>24</v>
      </c>
      <c r="E147" s="11">
        <v>330</v>
      </c>
      <c r="F147" s="11" t="s">
        <v>191</v>
      </c>
      <c r="G147" s="12">
        <v>198</v>
      </c>
      <c r="H147" s="13" t="s">
        <v>192</v>
      </c>
    </row>
    <row r="148" spans="1:8" x14ac:dyDescent="0.3">
      <c r="A148" s="11" t="s">
        <v>41</v>
      </c>
      <c r="B148" s="11" t="s">
        <v>221</v>
      </c>
      <c r="C148" s="11" t="s">
        <v>222</v>
      </c>
      <c r="D148" s="11">
        <v>6</v>
      </c>
      <c r="E148" s="11">
        <v>355</v>
      </c>
      <c r="F148" s="11" t="s">
        <v>191</v>
      </c>
      <c r="G148" s="12">
        <v>213</v>
      </c>
      <c r="H148" s="13" t="s">
        <v>360</v>
      </c>
    </row>
    <row r="149" spans="1:8" x14ac:dyDescent="0.3">
      <c r="A149" s="11" t="s">
        <v>41</v>
      </c>
      <c r="B149" s="11" t="s">
        <v>388</v>
      </c>
      <c r="C149" s="11" t="s">
        <v>389</v>
      </c>
      <c r="D149" s="11">
        <v>24</v>
      </c>
      <c r="E149" s="11">
        <v>355</v>
      </c>
      <c r="F149" s="11" t="s">
        <v>191</v>
      </c>
      <c r="G149" s="12">
        <v>213</v>
      </c>
      <c r="H149" s="13" t="s">
        <v>192</v>
      </c>
    </row>
    <row r="150" spans="1:8" x14ac:dyDescent="0.3">
      <c r="A150" s="11" t="s">
        <v>41</v>
      </c>
      <c r="B150" s="11" t="s">
        <v>223</v>
      </c>
      <c r="C150" s="11" t="s">
        <v>224</v>
      </c>
      <c r="D150" s="11">
        <v>6</v>
      </c>
      <c r="E150" s="11">
        <v>355</v>
      </c>
      <c r="F150" s="11" t="s">
        <v>191</v>
      </c>
      <c r="G150" s="12">
        <v>213</v>
      </c>
      <c r="H150" s="13" t="s">
        <v>360</v>
      </c>
    </row>
    <row r="151" spans="1:8" x14ac:dyDescent="0.3">
      <c r="A151" s="11" t="s">
        <v>41</v>
      </c>
      <c r="B151" s="11" t="s">
        <v>390</v>
      </c>
      <c r="C151" s="11" t="s">
        <v>391</v>
      </c>
      <c r="D151" s="11">
        <v>24</v>
      </c>
      <c r="E151" s="11">
        <v>355</v>
      </c>
      <c r="F151" s="11" t="s">
        <v>191</v>
      </c>
      <c r="G151" s="12">
        <v>213</v>
      </c>
      <c r="H151" s="13" t="s">
        <v>192</v>
      </c>
    </row>
    <row r="152" spans="1:8" x14ac:dyDescent="0.3">
      <c r="A152" s="11" t="s">
        <v>41</v>
      </c>
      <c r="B152" s="11" t="s">
        <v>225</v>
      </c>
      <c r="C152" s="11" t="s">
        <v>226</v>
      </c>
      <c r="D152" s="11">
        <v>6</v>
      </c>
      <c r="E152" s="11">
        <v>355</v>
      </c>
      <c r="F152" s="11" t="s">
        <v>191</v>
      </c>
      <c r="G152" s="12">
        <v>213</v>
      </c>
      <c r="H152" s="13" t="s">
        <v>360</v>
      </c>
    </row>
    <row r="153" spans="1:8" x14ac:dyDescent="0.3">
      <c r="A153" s="11" t="s">
        <v>41</v>
      </c>
      <c r="B153" s="11" t="s">
        <v>392</v>
      </c>
      <c r="C153" s="11" t="s">
        <v>393</v>
      </c>
      <c r="D153" s="11">
        <v>24</v>
      </c>
      <c r="E153" s="11">
        <v>355</v>
      </c>
      <c r="F153" s="11" t="s">
        <v>191</v>
      </c>
      <c r="G153" s="12">
        <v>213</v>
      </c>
      <c r="H153" s="13" t="s">
        <v>192</v>
      </c>
    </row>
    <row r="154" spans="1:8" x14ac:dyDescent="0.3">
      <c r="A154" s="11" t="s">
        <v>41</v>
      </c>
      <c r="B154" s="11" t="s">
        <v>227</v>
      </c>
      <c r="C154" s="11" t="s">
        <v>228</v>
      </c>
      <c r="D154" s="11">
        <v>6</v>
      </c>
      <c r="E154" s="11">
        <v>269</v>
      </c>
      <c r="F154" s="11" t="s">
        <v>191</v>
      </c>
      <c r="G154" s="12">
        <v>161.4</v>
      </c>
      <c r="H154" s="13" t="s">
        <v>192</v>
      </c>
    </row>
    <row r="155" spans="1:8" x14ac:dyDescent="0.3">
      <c r="A155" s="11" t="s">
        <v>41</v>
      </c>
      <c r="B155" s="11" t="s">
        <v>394</v>
      </c>
      <c r="C155" s="11" t="s">
        <v>395</v>
      </c>
      <c r="D155" s="11">
        <v>24</v>
      </c>
      <c r="E155" s="11">
        <v>355</v>
      </c>
      <c r="F155" s="11" t="s">
        <v>191</v>
      </c>
      <c r="G155" s="12">
        <v>213</v>
      </c>
      <c r="H155" s="13" t="s">
        <v>192</v>
      </c>
    </row>
    <row r="156" spans="1:8" x14ac:dyDescent="0.3">
      <c r="A156" s="11" t="s">
        <v>41</v>
      </c>
      <c r="B156" s="11" t="s">
        <v>396</v>
      </c>
      <c r="C156" s="11" t="s">
        <v>397</v>
      </c>
      <c r="D156" s="11">
        <v>24</v>
      </c>
      <c r="E156" s="11">
        <v>330</v>
      </c>
      <c r="F156" s="11" t="s">
        <v>191</v>
      </c>
      <c r="G156" s="12">
        <v>198</v>
      </c>
      <c r="H156" s="13" t="s">
        <v>192</v>
      </c>
    </row>
    <row r="157" spans="1:8" x14ac:dyDescent="0.3">
      <c r="A157" s="11" t="s">
        <v>41</v>
      </c>
      <c r="B157" s="11" t="s">
        <v>229</v>
      </c>
      <c r="C157" s="11" t="s">
        <v>230</v>
      </c>
      <c r="D157" s="11">
        <v>6</v>
      </c>
      <c r="E157" s="11">
        <v>355</v>
      </c>
      <c r="F157" s="11" t="s">
        <v>191</v>
      </c>
      <c r="G157" s="12">
        <v>213</v>
      </c>
      <c r="H157" s="13" t="s">
        <v>360</v>
      </c>
    </row>
    <row r="158" spans="1:8" x14ac:dyDescent="0.3">
      <c r="A158" s="11" t="s">
        <v>41</v>
      </c>
      <c r="B158" s="11" t="s">
        <v>398</v>
      </c>
      <c r="C158" s="11" t="s">
        <v>397</v>
      </c>
      <c r="D158" s="11">
        <v>24</v>
      </c>
      <c r="E158" s="11">
        <v>330</v>
      </c>
      <c r="F158" s="11" t="s">
        <v>191</v>
      </c>
      <c r="G158" s="12">
        <v>198</v>
      </c>
      <c r="H158" s="13" t="s">
        <v>192</v>
      </c>
    </row>
    <row r="159" spans="1:8" x14ac:dyDescent="0.3">
      <c r="A159" s="11" t="s">
        <v>41</v>
      </c>
      <c r="B159" s="11" t="s">
        <v>231</v>
      </c>
      <c r="C159" s="11" t="s">
        <v>232</v>
      </c>
      <c r="D159" s="11">
        <v>6</v>
      </c>
      <c r="E159" s="11">
        <v>269</v>
      </c>
      <c r="F159" s="11" t="s">
        <v>191</v>
      </c>
      <c r="G159" s="12">
        <v>161.4</v>
      </c>
      <c r="H159" s="13" t="s">
        <v>360</v>
      </c>
    </row>
    <row r="160" spans="1:8" x14ac:dyDescent="0.3">
      <c r="A160" s="11" t="s">
        <v>41</v>
      </c>
      <c r="B160" s="11" t="s">
        <v>233</v>
      </c>
      <c r="C160" s="11" t="s">
        <v>234</v>
      </c>
      <c r="D160" s="11">
        <v>6</v>
      </c>
      <c r="E160" s="11">
        <v>330</v>
      </c>
      <c r="F160" s="11" t="s">
        <v>191</v>
      </c>
      <c r="G160" s="12">
        <v>198</v>
      </c>
      <c r="H160" s="13" t="s">
        <v>360</v>
      </c>
    </row>
    <row r="161" spans="1:8" x14ac:dyDescent="0.3">
      <c r="A161" s="11" t="s">
        <v>41</v>
      </c>
      <c r="B161" s="11" t="s">
        <v>399</v>
      </c>
      <c r="C161" s="11" t="s">
        <v>400</v>
      </c>
      <c r="D161" s="11">
        <v>24</v>
      </c>
      <c r="E161" s="11">
        <v>269</v>
      </c>
      <c r="F161" s="11" t="s">
        <v>191</v>
      </c>
      <c r="G161" s="12">
        <v>161.4</v>
      </c>
      <c r="H161" s="13" t="s">
        <v>192</v>
      </c>
    </row>
    <row r="162" spans="1:8" x14ac:dyDescent="0.3">
      <c r="A162" s="11" t="s">
        <v>41</v>
      </c>
      <c r="B162" s="11" t="s">
        <v>241</v>
      </c>
      <c r="C162" s="11" t="s">
        <v>124</v>
      </c>
      <c r="D162" s="11">
        <v>6</v>
      </c>
      <c r="E162" s="11">
        <v>269</v>
      </c>
      <c r="F162" s="11" t="s">
        <v>191</v>
      </c>
      <c r="G162" s="12">
        <v>161.4</v>
      </c>
      <c r="H162" s="13" t="s">
        <v>192</v>
      </c>
    </row>
    <row r="163" spans="1:8" x14ac:dyDescent="0.3">
      <c r="A163" s="11" t="s">
        <v>50</v>
      </c>
      <c r="B163" s="11" t="s">
        <v>246</v>
      </c>
      <c r="C163" s="11" t="s">
        <v>247</v>
      </c>
      <c r="D163" s="11">
        <v>38</v>
      </c>
      <c r="E163" s="11">
        <v>225</v>
      </c>
      <c r="F163" s="11" t="s">
        <v>200</v>
      </c>
      <c r="G163" s="12">
        <v>94.5</v>
      </c>
      <c r="H163" s="13" t="s">
        <v>248</v>
      </c>
    </row>
    <row r="164" spans="1:8" x14ac:dyDescent="0.3">
      <c r="A164" s="11" t="s">
        <v>50</v>
      </c>
      <c r="B164" s="11" t="s">
        <v>401</v>
      </c>
      <c r="C164" s="11" t="s">
        <v>402</v>
      </c>
      <c r="D164" s="11">
        <v>16</v>
      </c>
      <c r="E164" s="11">
        <v>750</v>
      </c>
      <c r="F164" s="11" t="s">
        <v>200</v>
      </c>
      <c r="G164" s="12">
        <v>150</v>
      </c>
      <c r="H164" s="13" t="s">
        <v>403</v>
      </c>
    </row>
    <row r="165" spans="1:8" x14ac:dyDescent="0.3">
      <c r="A165" s="11" t="s">
        <v>50</v>
      </c>
      <c r="B165" s="11" t="s">
        <v>404</v>
      </c>
      <c r="C165" s="11" t="s">
        <v>405</v>
      </c>
      <c r="D165" s="11">
        <v>16</v>
      </c>
      <c r="E165" s="11">
        <v>750</v>
      </c>
      <c r="F165" s="11" t="s">
        <v>200</v>
      </c>
      <c r="G165" s="12">
        <v>150</v>
      </c>
      <c r="H165" s="13" t="s">
        <v>192</v>
      </c>
    </row>
    <row r="166" spans="1:8" x14ac:dyDescent="0.3">
      <c r="A166" s="11" t="s">
        <v>50</v>
      </c>
      <c r="B166" s="11" t="s">
        <v>406</v>
      </c>
      <c r="C166" s="11" t="s">
        <v>407</v>
      </c>
      <c r="D166" s="11">
        <v>16</v>
      </c>
      <c r="E166" s="11">
        <v>750</v>
      </c>
      <c r="F166" s="11" t="s">
        <v>200</v>
      </c>
      <c r="G166" s="12">
        <v>150</v>
      </c>
      <c r="H166" s="13" t="s">
        <v>371</v>
      </c>
    </row>
    <row r="167" spans="1:8" x14ac:dyDescent="0.3">
      <c r="A167" s="11" t="s">
        <v>50</v>
      </c>
      <c r="B167" s="11" t="s">
        <v>408</v>
      </c>
      <c r="C167" s="11" t="s">
        <v>409</v>
      </c>
      <c r="D167" s="11">
        <v>12</v>
      </c>
      <c r="E167" s="11">
        <v>900</v>
      </c>
      <c r="F167" s="11" t="s">
        <v>200</v>
      </c>
      <c r="G167" s="12">
        <v>180</v>
      </c>
      <c r="H167" s="13" t="s">
        <v>253</v>
      </c>
    </row>
    <row r="168" spans="1:8" x14ac:dyDescent="0.3">
      <c r="A168" s="11" t="s">
        <v>50</v>
      </c>
      <c r="B168" s="11" t="s">
        <v>410</v>
      </c>
      <c r="C168" s="11" t="s">
        <v>129</v>
      </c>
      <c r="D168" s="11">
        <v>13</v>
      </c>
      <c r="E168" s="11">
        <v>1000</v>
      </c>
      <c r="F168" s="11" t="s">
        <v>200</v>
      </c>
      <c r="G168" s="12">
        <v>170</v>
      </c>
      <c r="H168" s="13" t="s">
        <v>359</v>
      </c>
    </row>
    <row r="169" spans="1:8" x14ac:dyDescent="0.3">
      <c r="A169" s="11" t="s">
        <v>50</v>
      </c>
      <c r="B169" s="11" t="s">
        <v>411</v>
      </c>
      <c r="C169" s="11" t="s">
        <v>166</v>
      </c>
      <c r="D169" s="11">
        <v>13</v>
      </c>
      <c r="E169" s="11">
        <v>1000</v>
      </c>
      <c r="F169" s="11" t="s">
        <v>200</v>
      </c>
      <c r="G169" s="12">
        <v>170</v>
      </c>
      <c r="H169" s="13" t="s">
        <v>192</v>
      </c>
    </row>
    <row r="170" spans="1:8" x14ac:dyDescent="0.3">
      <c r="A170" s="11" t="s">
        <v>50</v>
      </c>
      <c r="B170" s="11" t="s">
        <v>412</v>
      </c>
      <c r="C170" s="11" t="s">
        <v>70</v>
      </c>
      <c r="D170" s="11">
        <v>13</v>
      </c>
      <c r="E170" s="11">
        <v>1000</v>
      </c>
      <c r="F170" s="11" t="s">
        <v>200</v>
      </c>
      <c r="G170" s="12">
        <v>170</v>
      </c>
      <c r="H170" s="13" t="s">
        <v>192</v>
      </c>
    </row>
    <row r="171" spans="1:8" x14ac:dyDescent="0.3">
      <c r="A171" s="11" t="s">
        <v>53</v>
      </c>
      <c r="B171" s="11" t="s">
        <v>413</v>
      </c>
      <c r="C171" s="11" t="s">
        <v>414</v>
      </c>
      <c r="D171" s="11">
        <v>24</v>
      </c>
      <c r="E171" s="11">
        <v>200</v>
      </c>
      <c r="F171" s="11" t="s">
        <v>197</v>
      </c>
      <c r="G171" s="12">
        <v>104</v>
      </c>
      <c r="H171" s="13" t="s">
        <v>192</v>
      </c>
    </row>
    <row r="172" spans="1:8" x14ac:dyDescent="0.3">
      <c r="A172" s="11" t="s">
        <v>53</v>
      </c>
      <c r="B172" s="11" t="s">
        <v>114</v>
      </c>
      <c r="C172" s="11" t="s">
        <v>131</v>
      </c>
      <c r="D172" s="11">
        <v>15</v>
      </c>
      <c r="E172" s="11">
        <v>1000</v>
      </c>
      <c r="F172" s="11" t="s">
        <v>197</v>
      </c>
      <c r="G172" s="12">
        <v>280</v>
      </c>
      <c r="H172" s="13" t="s">
        <v>192</v>
      </c>
    </row>
    <row r="173" spans="1:8" x14ac:dyDescent="0.3">
      <c r="A173" s="11" t="s">
        <v>53</v>
      </c>
      <c r="B173" s="11" t="s">
        <v>115</v>
      </c>
      <c r="C173" s="11" t="s">
        <v>132</v>
      </c>
      <c r="D173" s="11">
        <v>6</v>
      </c>
      <c r="E173" s="11">
        <v>200</v>
      </c>
      <c r="F173" s="11" t="s">
        <v>197</v>
      </c>
      <c r="G173" s="12">
        <v>104</v>
      </c>
      <c r="H173" s="13" t="s">
        <v>192</v>
      </c>
    </row>
    <row r="174" spans="1:8" x14ac:dyDescent="0.3">
      <c r="A174" s="11" t="s">
        <v>53</v>
      </c>
      <c r="B174" s="11" t="s">
        <v>147</v>
      </c>
      <c r="C174" s="11" t="s">
        <v>152</v>
      </c>
      <c r="D174" s="11">
        <v>6</v>
      </c>
      <c r="E174" s="11">
        <v>1500</v>
      </c>
      <c r="F174" s="11" t="s">
        <v>197</v>
      </c>
      <c r="G174" s="12">
        <v>420</v>
      </c>
      <c r="H174" s="13" t="s">
        <v>192</v>
      </c>
    </row>
    <row r="175" spans="1:8" x14ac:dyDescent="0.3">
      <c r="A175" s="11" t="s">
        <v>53</v>
      </c>
      <c r="B175" s="11" t="s">
        <v>415</v>
      </c>
      <c r="C175" s="11" t="s">
        <v>134</v>
      </c>
      <c r="D175" s="11">
        <v>24</v>
      </c>
      <c r="E175" s="11">
        <v>330</v>
      </c>
      <c r="F175" s="11" t="s">
        <v>197</v>
      </c>
      <c r="G175" s="12">
        <v>171.6</v>
      </c>
      <c r="H175" s="13" t="s">
        <v>192</v>
      </c>
    </row>
    <row r="176" spans="1:8" x14ac:dyDescent="0.3">
      <c r="A176" s="11" t="s">
        <v>53</v>
      </c>
      <c r="B176" s="11" t="s">
        <v>195</v>
      </c>
      <c r="C176" s="11" t="s">
        <v>196</v>
      </c>
      <c r="D176" s="11">
        <v>6</v>
      </c>
      <c r="E176" s="11">
        <v>330</v>
      </c>
      <c r="F176" s="11" t="s">
        <v>197</v>
      </c>
      <c r="G176" s="12">
        <v>171.6</v>
      </c>
      <c r="H176" s="13" t="s">
        <v>192</v>
      </c>
    </row>
    <row r="177" spans="1:8" x14ac:dyDescent="0.3">
      <c r="A177" s="11" t="s">
        <v>53</v>
      </c>
      <c r="B177" s="11" t="s">
        <v>416</v>
      </c>
      <c r="C177" s="11" t="s">
        <v>133</v>
      </c>
      <c r="D177" s="11">
        <v>6</v>
      </c>
      <c r="E177" s="11">
        <v>1500</v>
      </c>
      <c r="F177" s="11" t="s">
        <v>197</v>
      </c>
      <c r="G177" s="12">
        <v>420</v>
      </c>
      <c r="H177" s="13" t="s">
        <v>192</v>
      </c>
    </row>
    <row r="178" spans="1:8" x14ac:dyDescent="0.3">
      <c r="A178" s="11" t="s">
        <v>53</v>
      </c>
      <c r="B178" s="11" t="s">
        <v>116</v>
      </c>
      <c r="C178" s="11" t="s">
        <v>130</v>
      </c>
      <c r="D178" s="11">
        <v>30</v>
      </c>
      <c r="E178" s="11">
        <v>200</v>
      </c>
      <c r="F178" s="11" t="s">
        <v>197</v>
      </c>
      <c r="G178" s="12">
        <v>104</v>
      </c>
      <c r="H178" s="13" t="s">
        <v>192</v>
      </c>
    </row>
    <row r="179" spans="1:8" x14ac:dyDescent="0.3">
      <c r="A179" s="11" t="s">
        <v>53</v>
      </c>
      <c r="B179" s="11" t="s">
        <v>417</v>
      </c>
      <c r="C179" s="11" t="s">
        <v>418</v>
      </c>
      <c r="D179" s="11">
        <v>6</v>
      </c>
      <c r="E179" s="11">
        <v>200</v>
      </c>
      <c r="F179" s="11" t="s">
        <v>197</v>
      </c>
      <c r="G179" s="12">
        <v>104</v>
      </c>
      <c r="H179" s="13" t="s">
        <v>192</v>
      </c>
    </row>
    <row r="180" spans="1:8" x14ac:dyDescent="0.3">
      <c r="A180" s="11" t="s">
        <v>53</v>
      </c>
      <c r="B180" s="11" t="s">
        <v>419</v>
      </c>
      <c r="C180" s="11" t="s">
        <v>90</v>
      </c>
      <c r="D180" s="11">
        <v>30</v>
      </c>
      <c r="E180" s="11">
        <v>200</v>
      </c>
      <c r="F180" s="11" t="s">
        <v>197</v>
      </c>
      <c r="G180" s="12">
        <v>104</v>
      </c>
      <c r="H180" s="13" t="s">
        <v>192</v>
      </c>
    </row>
    <row r="181" spans="1:8" x14ac:dyDescent="0.3">
      <c r="A181" s="11" t="s">
        <v>53</v>
      </c>
      <c r="B181" s="11" t="s">
        <v>420</v>
      </c>
      <c r="C181" s="11" t="s">
        <v>421</v>
      </c>
      <c r="D181" s="11">
        <v>24</v>
      </c>
      <c r="E181" s="11">
        <v>330</v>
      </c>
      <c r="F181" s="11" t="s">
        <v>197</v>
      </c>
      <c r="G181" s="12">
        <v>171.6</v>
      </c>
      <c r="H181" s="13" t="s">
        <v>192</v>
      </c>
    </row>
    <row r="182" spans="1:8" x14ac:dyDescent="0.3">
      <c r="A182" s="11" t="s">
        <v>53</v>
      </c>
      <c r="B182" s="11" t="s">
        <v>422</v>
      </c>
      <c r="C182" s="11" t="s">
        <v>423</v>
      </c>
      <c r="D182" s="11">
        <v>12</v>
      </c>
      <c r="E182" s="11">
        <v>1000</v>
      </c>
      <c r="F182" s="11" t="s">
        <v>197</v>
      </c>
      <c r="G182" s="12">
        <v>280</v>
      </c>
      <c r="H182" s="13" t="s">
        <v>192</v>
      </c>
    </row>
    <row r="183" spans="1:8" x14ac:dyDescent="0.3">
      <c r="A183" s="11" t="s">
        <v>53</v>
      </c>
      <c r="B183" s="11" t="s">
        <v>424</v>
      </c>
      <c r="C183" s="11" t="s">
        <v>425</v>
      </c>
      <c r="D183" s="11">
        <v>30</v>
      </c>
      <c r="E183" s="11">
        <v>200</v>
      </c>
      <c r="F183" s="11" t="s">
        <v>197</v>
      </c>
      <c r="G183" s="12">
        <v>104</v>
      </c>
      <c r="H183" s="13" t="s">
        <v>192</v>
      </c>
    </row>
    <row r="184" spans="1:8" x14ac:dyDescent="0.3">
      <c r="A184" s="11" t="s">
        <v>53</v>
      </c>
      <c r="B184" s="11" t="s">
        <v>426</v>
      </c>
      <c r="C184" s="11" t="s">
        <v>427</v>
      </c>
      <c r="D184" s="11">
        <v>30</v>
      </c>
      <c r="E184" s="11">
        <v>200</v>
      </c>
      <c r="F184" s="11" t="s">
        <v>197</v>
      </c>
      <c r="G184" s="12">
        <v>104</v>
      </c>
      <c r="H184" s="13" t="s">
        <v>192</v>
      </c>
    </row>
    <row r="185" spans="1:8" x14ac:dyDescent="0.3">
      <c r="A185" s="11" t="s">
        <v>53</v>
      </c>
      <c r="B185" s="11" t="s">
        <v>428</v>
      </c>
      <c r="C185" s="11" t="s">
        <v>87</v>
      </c>
      <c r="D185" s="11">
        <v>15</v>
      </c>
      <c r="E185" s="11">
        <v>1000</v>
      </c>
      <c r="F185" s="11" t="s">
        <v>197</v>
      </c>
      <c r="G185" s="12">
        <v>280</v>
      </c>
      <c r="H185" s="13" t="s">
        <v>192</v>
      </c>
    </row>
    <row r="186" spans="1:8" x14ac:dyDescent="0.3">
      <c r="A186" s="11" t="s">
        <v>53</v>
      </c>
      <c r="B186" s="11" t="s">
        <v>429</v>
      </c>
      <c r="C186" s="11" t="s">
        <v>430</v>
      </c>
      <c r="D186" s="11">
        <v>15</v>
      </c>
      <c r="E186" s="11">
        <v>900</v>
      </c>
      <c r="F186" s="11" t="s">
        <v>197</v>
      </c>
      <c r="G186" s="12">
        <v>252</v>
      </c>
      <c r="H186" s="13" t="s">
        <v>192</v>
      </c>
    </row>
    <row r="187" spans="1:8" x14ac:dyDescent="0.3">
      <c r="A187" s="11" t="s">
        <v>53</v>
      </c>
      <c r="B187" s="11" t="s">
        <v>431</v>
      </c>
      <c r="C187" s="11" t="s">
        <v>432</v>
      </c>
      <c r="D187" s="11">
        <v>15</v>
      </c>
      <c r="E187" s="11">
        <v>1175</v>
      </c>
      <c r="F187" s="11" t="s">
        <v>197</v>
      </c>
      <c r="G187" s="12">
        <v>329</v>
      </c>
      <c r="H187" s="13" t="s">
        <v>192</v>
      </c>
    </row>
    <row r="188" spans="1:8" x14ac:dyDescent="0.3">
      <c r="A188" s="11" t="s">
        <v>53</v>
      </c>
      <c r="B188" s="11" t="s">
        <v>433</v>
      </c>
      <c r="C188" s="11" t="s">
        <v>434</v>
      </c>
      <c r="D188" s="11">
        <v>6</v>
      </c>
      <c r="E188" s="11">
        <v>1400</v>
      </c>
      <c r="F188" s="11" t="s">
        <v>197</v>
      </c>
      <c r="G188" s="12">
        <v>392</v>
      </c>
      <c r="H188" s="13" t="s">
        <v>192</v>
      </c>
    </row>
  </sheetData>
  <autoFilter ref="A1:H1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.21875" customWidth="1"/>
    <col min="2" max="2" width="20.88671875" customWidth="1"/>
    <col min="3" max="3" width="39.44140625" customWidth="1"/>
    <col min="4" max="4" width="18.6640625" customWidth="1"/>
    <col min="5" max="5" width="39.44140625" customWidth="1"/>
    <col min="6" max="6" width="45.44140625" customWidth="1"/>
    <col min="7" max="7" width="16.5546875" customWidth="1"/>
    <col min="8" max="8" width="13.5546875" customWidth="1"/>
    <col min="9" max="9" width="11.6640625" customWidth="1"/>
  </cols>
  <sheetData>
    <row r="1" spans="1:9" x14ac:dyDescent="0.3">
      <c r="A1" s="10" t="s">
        <v>180</v>
      </c>
      <c r="B1" s="10" t="s">
        <v>435</v>
      </c>
      <c r="C1" s="10" t="s">
        <v>436</v>
      </c>
      <c r="D1" s="10" t="s">
        <v>437</v>
      </c>
      <c r="E1" s="10" t="s">
        <v>438</v>
      </c>
      <c r="F1" s="10" t="s">
        <v>439</v>
      </c>
      <c r="G1" s="10" t="s">
        <v>440</v>
      </c>
      <c r="H1" s="10" t="s">
        <v>441</v>
      </c>
      <c r="I1" s="10" t="s">
        <v>442</v>
      </c>
    </row>
    <row r="2" spans="1:9" x14ac:dyDescent="0.3">
      <c r="A2" s="11" t="s">
        <v>29</v>
      </c>
      <c r="B2" s="11" t="s">
        <v>30</v>
      </c>
      <c r="C2" s="11" t="s">
        <v>74</v>
      </c>
      <c r="D2" s="11" t="s">
        <v>289</v>
      </c>
      <c r="E2" s="11" t="s">
        <v>72</v>
      </c>
      <c r="F2" s="11" t="s">
        <v>443</v>
      </c>
      <c r="G2" s="11" t="s">
        <v>444</v>
      </c>
      <c r="H2" s="14" t="s">
        <v>445</v>
      </c>
      <c r="I2" s="11">
        <v>34</v>
      </c>
    </row>
    <row r="3" spans="1:9" x14ac:dyDescent="0.3">
      <c r="A3" s="11" t="s">
        <v>36</v>
      </c>
      <c r="B3" s="11" t="s">
        <v>262</v>
      </c>
      <c r="C3" s="11" t="s">
        <v>77</v>
      </c>
      <c r="D3" s="11" t="s">
        <v>326</v>
      </c>
      <c r="E3" s="11" t="s">
        <v>73</v>
      </c>
      <c r="F3" s="11" t="s">
        <v>443</v>
      </c>
      <c r="G3" s="11" t="s">
        <v>444</v>
      </c>
      <c r="H3" s="14" t="s">
        <v>446</v>
      </c>
      <c r="I3" s="11">
        <v>34</v>
      </c>
    </row>
    <row r="4" spans="1:9" x14ac:dyDescent="0.3">
      <c r="A4" s="11" t="s">
        <v>41</v>
      </c>
      <c r="B4" s="11" t="s">
        <v>342</v>
      </c>
      <c r="C4" s="11" t="s">
        <v>85</v>
      </c>
      <c r="D4" s="11" t="s">
        <v>44</v>
      </c>
      <c r="E4" s="11" t="s">
        <v>83</v>
      </c>
      <c r="F4" s="11" t="s">
        <v>447</v>
      </c>
      <c r="G4" s="11" t="s">
        <v>448</v>
      </c>
      <c r="H4" s="14" t="s">
        <v>449</v>
      </c>
      <c r="I4" s="11">
        <v>34</v>
      </c>
    </row>
    <row r="5" spans="1:9" x14ac:dyDescent="0.3">
      <c r="A5" s="11" t="s">
        <v>53</v>
      </c>
      <c r="B5" s="11" t="s">
        <v>419</v>
      </c>
      <c r="C5" s="11" t="s">
        <v>90</v>
      </c>
      <c r="D5" s="11" t="s">
        <v>428</v>
      </c>
      <c r="E5" s="11" t="s">
        <v>87</v>
      </c>
      <c r="F5" s="11" t="s">
        <v>447</v>
      </c>
      <c r="G5" s="11" t="s">
        <v>448</v>
      </c>
      <c r="H5" s="14" t="s">
        <v>445</v>
      </c>
      <c r="I5" s="11">
        <v>34</v>
      </c>
    </row>
    <row r="6" spans="1:9" x14ac:dyDescent="0.3">
      <c r="A6" s="11" t="s">
        <v>53</v>
      </c>
      <c r="B6" s="11" t="s">
        <v>428</v>
      </c>
      <c r="C6" s="11" t="s">
        <v>87</v>
      </c>
      <c r="D6" s="11" t="s">
        <v>419</v>
      </c>
      <c r="E6" s="11" t="s">
        <v>90</v>
      </c>
      <c r="F6" s="11" t="s">
        <v>447</v>
      </c>
      <c r="G6" s="11" t="s">
        <v>448</v>
      </c>
      <c r="H6" s="14" t="s">
        <v>445</v>
      </c>
      <c r="I6" s="11">
        <v>34</v>
      </c>
    </row>
    <row r="7" spans="1:9" x14ac:dyDescent="0.3">
      <c r="A7" s="11" t="s">
        <v>29</v>
      </c>
      <c r="B7" s="11" t="s">
        <v>274</v>
      </c>
      <c r="C7" s="11" t="s">
        <v>121</v>
      </c>
      <c r="D7" s="11" t="s">
        <v>279</v>
      </c>
      <c r="E7" s="11" t="s">
        <v>79</v>
      </c>
      <c r="F7" s="11" t="s">
        <v>443</v>
      </c>
      <c r="G7" s="11" t="s">
        <v>444</v>
      </c>
      <c r="H7" s="14" t="s">
        <v>445</v>
      </c>
      <c r="I7" s="11">
        <v>35</v>
      </c>
    </row>
    <row r="8" spans="1:9" x14ac:dyDescent="0.3">
      <c r="A8" s="11" t="s">
        <v>29</v>
      </c>
      <c r="B8" s="11" t="s">
        <v>279</v>
      </c>
      <c r="C8" s="11" t="s">
        <v>79</v>
      </c>
      <c r="D8" s="11" t="s">
        <v>262</v>
      </c>
      <c r="E8" s="11" t="s">
        <v>77</v>
      </c>
      <c r="F8" s="11" t="s">
        <v>443</v>
      </c>
      <c r="G8" s="11" t="s">
        <v>444</v>
      </c>
      <c r="H8" s="14" t="s">
        <v>449</v>
      </c>
      <c r="I8" s="11">
        <v>35</v>
      </c>
    </row>
    <row r="9" spans="1:9" x14ac:dyDescent="0.3">
      <c r="A9" s="11" t="s">
        <v>36</v>
      </c>
      <c r="B9" s="11" t="s">
        <v>326</v>
      </c>
      <c r="C9" s="11" t="s">
        <v>73</v>
      </c>
      <c r="D9" s="11" t="s">
        <v>103</v>
      </c>
      <c r="E9" s="11" t="s">
        <v>123</v>
      </c>
      <c r="F9" s="11" t="s">
        <v>447</v>
      </c>
      <c r="G9" s="11" t="s">
        <v>448</v>
      </c>
      <c r="H9" s="14" t="s">
        <v>450</v>
      </c>
      <c r="I9" s="11">
        <v>35</v>
      </c>
    </row>
    <row r="10" spans="1:9" x14ac:dyDescent="0.3">
      <c r="A10" s="11" t="s">
        <v>36</v>
      </c>
      <c r="B10" s="11" t="s">
        <v>104</v>
      </c>
      <c r="C10" s="11" t="s">
        <v>126</v>
      </c>
      <c r="D10" s="11" t="s">
        <v>105</v>
      </c>
      <c r="E10" s="11" t="s">
        <v>127</v>
      </c>
      <c r="F10" s="11" t="s">
        <v>443</v>
      </c>
      <c r="G10" s="11" t="s">
        <v>444</v>
      </c>
      <c r="H10" s="14" t="s">
        <v>445</v>
      </c>
      <c r="I10" s="11">
        <v>35</v>
      </c>
    </row>
    <row r="11" spans="1:9" x14ac:dyDescent="0.3">
      <c r="A11" s="11" t="s">
        <v>36</v>
      </c>
      <c r="B11" s="11" t="s">
        <v>105</v>
      </c>
      <c r="C11" s="11" t="s">
        <v>127</v>
      </c>
      <c r="D11" s="11" t="s">
        <v>289</v>
      </c>
      <c r="E11" s="11" t="s">
        <v>72</v>
      </c>
      <c r="F11" s="11" t="s">
        <v>447</v>
      </c>
      <c r="G11" s="11" t="s">
        <v>448</v>
      </c>
      <c r="H11" s="14" t="s">
        <v>450</v>
      </c>
      <c r="I11" s="11">
        <v>35</v>
      </c>
    </row>
    <row r="12" spans="1:9" x14ac:dyDescent="0.3">
      <c r="A12" s="11" t="s">
        <v>41</v>
      </c>
      <c r="B12" s="11" t="s">
        <v>107</v>
      </c>
      <c r="C12" s="11" t="s">
        <v>128</v>
      </c>
      <c r="D12" s="11" t="s">
        <v>212</v>
      </c>
      <c r="E12" s="11" t="s">
        <v>122</v>
      </c>
      <c r="F12" s="11" t="s">
        <v>443</v>
      </c>
      <c r="G12" s="11" t="s">
        <v>444</v>
      </c>
      <c r="H12" s="14" t="s">
        <v>449</v>
      </c>
      <c r="I12" s="11">
        <v>35</v>
      </c>
    </row>
    <row r="13" spans="1:9" x14ac:dyDescent="0.3">
      <c r="A13" s="11" t="s">
        <v>41</v>
      </c>
      <c r="B13" s="11" t="s">
        <v>212</v>
      </c>
      <c r="C13" s="11" t="s">
        <v>122</v>
      </c>
      <c r="D13" s="11" t="s">
        <v>350</v>
      </c>
      <c r="E13" s="11" t="s">
        <v>125</v>
      </c>
      <c r="F13" s="11" t="s">
        <v>447</v>
      </c>
      <c r="G13" s="11" t="s">
        <v>448</v>
      </c>
      <c r="H13" s="14" t="s">
        <v>450</v>
      </c>
      <c r="I13" s="11">
        <v>35</v>
      </c>
    </row>
    <row r="14" spans="1:9" x14ac:dyDescent="0.3">
      <c r="A14" s="11" t="s">
        <v>53</v>
      </c>
      <c r="B14" s="11" t="s">
        <v>416</v>
      </c>
      <c r="C14" s="11" t="s">
        <v>133</v>
      </c>
      <c r="D14" s="11" t="s">
        <v>428</v>
      </c>
      <c r="E14" s="11" t="s">
        <v>87</v>
      </c>
      <c r="F14" s="11" t="s">
        <v>447</v>
      </c>
      <c r="G14" s="11" t="s">
        <v>448</v>
      </c>
      <c r="H14" s="14" t="s">
        <v>445</v>
      </c>
      <c r="I14" s="11">
        <v>35</v>
      </c>
    </row>
    <row r="15" spans="1:9" x14ac:dyDescent="0.3">
      <c r="A15" s="11" t="s">
        <v>53</v>
      </c>
      <c r="B15" s="11" t="s">
        <v>428</v>
      </c>
      <c r="C15" s="11" t="s">
        <v>87</v>
      </c>
      <c r="D15" s="11" t="s">
        <v>114</v>
      </c>
      <c r="E15" s="11" t="s">
        <v>131</v>
      </c>
      <c r="F15" s="11" t="s">
        <v>443</v>
      </c>
      <c r="G15" s="11" t="s">
        <v>444</v>
      </c>
      <c r="H15" s="14" t="s">
        <v>449</v>
      </c>
      <c r="I15" s="11">
        <v>35</v>
      </c>
    </row>
    <row r="16" spans="1:9" x14ac:dyDescent="0.3">
      <c r="A16" s="11" t="s">
        <v>53</v>
      </c>
      <c r="B16" s="11" t="s">
        <v>115</v>
      </c>
      <c r="C16" s="11" t="s">
        <v>132</v>
      </c>
      <c r="D16" s="11" t="s">
        <v>116</v>
      </c>
      <c r="E16" s="11" t="s">
        <v>130</v>
      </c>
      <c r="F16" s="11" t="s">
        <v>443</v>
      </c>
      <c r="G16" s="11" t="s">
        <v>444</v>
      </c>
      <c r="H16" s="14" t="s">
        <v>449</v>
      </c>
      <c r="I16" s="11">
        <v>35</v>
      </c>
    </row>
    <row r="17" spans="1:9" x14ac:dyDescent="0.3">
      <c r="A17" s="11" t="s">
        <v>53</v>
      </c>
      <c r="B17" s="11" t="s">
        <v>116</v>
      </c>
      <c r="C17" s="11" t="s">
        <v>130</v>
      </c>
      <c r="D17" s="11" t="s">
        <v>419</v>
      </c>
      <c r="E17" s="11" t="s">
        <v>90</v>
      </c>
      <c r="F17" s="11" t="s">
        <v>451</v>
      </c>
      <c r="G17" s="11" t="s">
        <v>452</v>
      </c>
      <c r="H17" s="14" t="s">
        <v>449</v>
      </c>
      <c r="I17" s="11">
        <v>35</v>
      </c>
    </row>
    <row r="18" spans="1:9" x14ac:dyDescent="0.3">
      <c r="A18" s="11" t="s">
        <v>29</v>
      </c>
      <c r="B18" s="11" t="s">
        <v>282</v>
      </c>
      <c r="C18" s="11" t="s">
        <v>149</v>
      </c>
      <c r="D18" s="11" t="s">
        <v>254</v>
      </c>
      <c r="E18" s="11" t="s">
        <v>148</v>
      </c>
      <c r="F18" s="11" t="s">
        <v>447</v>
      </c>
      <c r="G18" s="11" t="s">
        <v>448</v>
      </c>
      <c r="H18" s="14" t="s">
        <v>449</v>
      </c>
      <c r="I18" s="11">
        <v>36</v>
      </c>
    </row>
    <row r="19" spans="1:9" x14ac:dyDescent="0.3">
      <c r="A19" s="11" t="s">
        <v>29</v>
      </c>
      <c r="B19" s="11" t="s">
        <v>254</v>
      </c>
      <c r="C19" s="11" t="s">
        <v>148</v>
      </c>
      <c r="D19" s="11" t="s">
        <v>270</v>
      </c>
      <c r="E19" s="11" t="s">
        <v>150</v>
      </c>
      <c r="F19" s="11" t="s">
        <v>447</v>
      </c>
      <c r="G19" s="11" t="s">
        <v>448</v>
      </c>
      <c r="H19" s="14" t="s">
        <v>449</v>
      </c>
      <c r="I19" s="11">
        <v>36</v>
      </c>
    </row>
    <row r="20" spans="1:9" x14ac:dyDescent="0.3">
      <c r="A20" s="11" t="s">
        <v>29</v>
      </c>
      <c r="B20" s="11" t="s">
        <v>270</v>
      </c>
      <c r="C20" s="11" t="s">
        <v>150</v>
      </c>
      <c r="D20" s="11" t="s">
        <v>262</v>
      </c>
      <c r="E20" s="11" t="s">
        <v>77</v>
      </c>
      <c r="F20" s="11" t="s">
        <v>443</v>
      </c>
      <c r="G20" s="11" t="s">
        <v>444</v>
      </c>
      <c r="H20" s="14" t="s">
        <v>453</v>
      </c>
      <c r="I20" s="11">
        <v>36</v>
      </c>
    </row>
    <row r="21" spans="1:9" x14ac:dyDescent="0.3">
      <c r="A21" s="11" t="s">
        <v>36</v>
      </c>
      <c r="B21" s="11" t="s">
        <v>30</v>
      </c>
      <c r="C21" s="11" t="s">
        <v>74</v>
      </c>
      <c r="D21" s="11" t="s">
        <v>103</v>
      </c>
      <c r="E21" s="11" t="s">
        <v>123</v>
      </c>
      <c r="F21" s="11" t="s">
        <v>447</v>
      </c>
      <c r="G21" s="11" t="s">
        <v>448</v>
      </c>
      <c r="H21" s="14" t="s">
        <v>450</v>
      </c>
      <c r="I21" s="11">
        <v>36</v>
      </c>
    </row>
    <row r="22" spans="1:9" x14ac:dyDescent="0.3">
      <c r="A22" s="11" t="s">
        <v>41</v>
      </c>
      <c r="B22" s="11" t="s">
        <v>241</v>
      </c>
      <c r="C22" s="11" t="s">
        <v>124</v>
      </c>
      <c r="D22" s="11" t="s">
        <v>335</v>
      </c>
      <c r="E22" s="11" t="s">
        <v>151</v>
      </c>
      <c r="F22" s="11" t="s">
        <v>447</v>
      </c>
      <c r="G22" s="11" t="s">
        <v>448</v>
      </c>
      <c r="H22" s="14" t="s">
        <v>454</v>
      </c>
      <c r="I22" s="11">
        <v>36</v>
      </c>
    </row>
    <row r="23" spans="1:9" x14ac:dyDescent="0.3">
      <c r="A23" s="11" t="s">
        <v>53</v>
      </c>
      <c r="B23" s="11" t="s">
        <v>428</v>
      </c>
      <c r="C23" s="11" t="s">
        <v>87</v>
      </c>
      <c r="D23" s="11" t="s">
        <v>114</v>
      </c>
      <c r="E23" s="11" t="s">
        <v>131</v>
      </c>
      <c r="F23" s="11" t="s">
        <v>443</v>
      </c>
      <c r="G23" s="11" t="s">
        <v>444</v>
      </c>
      <c r="H23" s="14" t="s">
        <v>449</v>
      </c>
      <c r="I23" s="11">
        <v>36</v>
      </c>
    </row>
    <row r="24" spans="1:9" x14ac:dyDescent="0.3">
      <c r="A24" s="11" t="s">
        <v>53</v>
      </c>
      <c r="B24" s="11" t="s">
        <v>114</v>
      </c>
      <c r="C24" s="11" t="s">
        <v>131</v>
      </c>
      <c r="D24" s="11" t="s">
        <v>147</v>
      </c>
      <c r="E24" s="11" t="s">
        <v>152</v>
      </c>
      <c r="F24" s="11" t="s">
        <v>447</v>
      </c>
      <c r="G24" s="11" t="s">
        <v>448</v>
      </c>
      <c r="H24" s="14" t="s">
        <v>445</v>
      </c>
      <c r="I24" s="11">
        <v>36</v>
      </c>
    </row>
    <row r="25" spans="1:9" x14ac:dyDescent="0.3">
      <c r="A25" s="11" t="s">
        <v>53</v>
      </c>
      <c r="B25" s="11" t="s">
        <v>147</v>
      </c>
      <c r="C25" s="11" t="s">
        <v>152</v>
      </c>
      <c r="D25" s="11" t="s">
        <v>415</v>
      </c>
      <c r="E25" s="11" t="s">
        <v>134</v>
      </c>
      <c r="F25" s="11" t="s">
        <v>447</v>
      </c>
      <c r="G25" s="11" t="s">
        <v>448</v>
      </c>
      <c r="H25" s="14" t="s">
        <v>445</v>
      </c>
      <c r="I25" s="11">
        <v>36</v>
      </c>
    </row>
    <row r="26" spans="1:9" x14ac:dyDescent="0.3">
      <c r="A26" s="11" t="s">
        <v>29</v>
      </c>
      <c r="B26" s="11" t="s">
        <v>262</v>
      </c>
      <c r="C26" s="11" t="s">
        <v>77</v>
      </c>
      <c r="D26" s="11" t="s">
        <v>279</v>
      </c>
      <c r="E26" s="11" t="s">
        <v>79</v>
      </c>
      <c r="F26" s="11" t="s">
        <v>443</v>
      </c>
      <c r="G26" s="11" t="s">
        <v>444</v>
      </c>
      <c r="H26" s="14" t="s">
        <v>449</v>
      </c>
      <c r="I26" s="11">
        <v>37</v>
      </c>
    </row>
    <row r="27" spans="1:9" x14ac:dyDescent="0.3">
      <c r="A27" s="11" t="s">
        <v>29</v>
      </c>
      <c r="B27" s="11" t="s">
        <v>30</v>
      </c>
      <c r="C27" s="11" t="s">
        <v>74</v>
      </c>
      <c r="D27" s="11" t="s">
        <v>289</v>
      </c>
      <c r="E27" s="11" t="s">
        <v>72</v>
      </c>
      <c r="F27" s="11" t="s">
        <v>443</v>
      </c>
      <c r="G27" s="11" t="s">
        <v>444</v>
      </c>
      <c r="H27" s="14" t="s">
        <v>445</v>
      </c>
      <c r="I27" s="11">
        <v>37</v>
      </c>
    </row>
    <row r="28" spans="1:9" x14ac:dyDescent="0.3">
      <c r="A28" s="11" t="s">
        <v>36</v>
      </c>
      <c r="B28" s="11" t="s">
        <v>103</v>
      </c>
      <c r="C28" s="11" t="s">
        <v>123</v>
      </c>
      <c r="D28" s="11" t="s">
        <v>105</v>
      </c>
      <c r="E28" s="11" t="s">
        <v>127</v>
      </c>
      <c r="F28" s="11" t="s">
        <v>443</v>
      </c>
      <c r="G28" s="11" t="s">
        <v>444</v>
      </c>
      <c r="H28" s="14" t="s">
        <v>445</v>
      </c>
      <c r="I28" s="11">
        <v>37</v>
      </c>
    </row>
    <row r="29" spans="1:9" x14ac:dyDescent="0.3">
      <c r="A29" s="11" t="s">
        <v>36</v>
      </c>
      <c r="B29" s="11" t="s">
        <v>105</v>
      </c>
      <c r="C29" s="11" t="s">
        <v>127</v>
      </c>
      <c r="D29" s="11" t="s">
        <v>262</v>
      </c>
      <c r="E29" s="11" t="s">
        <v>77</v>
      </c>
      <c r="F29" s="11" t="s">
        <v>447</v>
      </c>
      <c r="G29" s="11" t="s">
        <v>448</v>
      </c>
      <c r="H29" s="14" t="s">
        <v>453</v>
      </c>
      <c r="I29" s="11">
        <v>37</v>
      </c>
    </row>
    <row r="30" spans="1:9" x14ac:dyDescent="0.3">
      <c r="A30" s="11" t="s">
        <v>36</v>
      </c>
      <c r="B30" s="11" t="s">
        <v>262</v>
      </c>
      <c r="C30" s="11" t="s">
        <v>77</v>
      </c>
      <c r="D30" s="11" t="s">
        <v>326</v>
      </c>
      <c r="E30" s="11" t="s">
        <v>73</v>
      </c>
      <c r="F30" s="11" t="s">
        <v>443</v>
      </c>
      <c r="G30" s="11" t="s">
        <v>444</v>
      </c>
      <c r="H30" s="14" t="s">
        <v>446</v>
      </c>
      <c r="I30" s="11">
        <v>37</v>
      </c>
    </row>
    <row r="31" spans="1:9" x14ac:dyDescent="0.3">
      <c r="A31" s="11" t="s">
        <v>41</v>
      </c>
      <c r="B31" s="11" t="s">
        <v>207</v>
      </c>
      <c r="C31" s="11" t="s">
        <v>168</v>
      </c>
      <c r="D31" s="11" t="s">
        <v>341</v>
      </c>
      <c r="E31" s="11" t="s">
        <v>167</v>
      </c>
      <c r="F31" s="11" t="s">
        <v>443</v>
      </c>
      <c r="G31" s="11" t="s">
        <v>444</v>
      </c>
      <c r="H31" s="14" t="s">
        <v>449</v>
      </c>
      <c r="I31" s="11">
        <v>37</v>
      </c>
    </row>
    <row r="32" spans="1:9" x14ac:dyDescent="0.3">
      <c r="A32" s="11" t="s">
        <v>41</v>
      </c>
      <c r="B32" s="11" t="s">
        <v>342</v>
      </c>
      <c r="C32" s="11" t="s">
        <v>85</v>
      </c>
      <c r="D32" s="11" t="s">
        <v>338</v>
      </c>
      <c r="E32" s="11" t="s">
        <v>81</v>
      </c>
      <c r="F32" s="11" t="s">
        <v>447</v>
      </c>
      <c r="G32" s="11" t="s">
        <v>448</v>
      </c>
      <c r="H32" s="14" t="s">
        <v>449</v>
      </c>
      <c r="I32" s="11">
        <v>37</v>
      </c>
    </row>
    <row r="33" spans="1:9" x14ac:dyDescent="0.3">
      <c r="A33" s="11" t="s">
        <v>41</v>
      </c>
      <c r="B33" s="11" t="s">
        <v>338</v>
      </c>
      <c r="C33" s="11" t="s">
        <v>81</v>
      </c>
      <c r="D33" s="11" t="s">
        <v>107</v>
      </c>
      <c r="E33" s="11" t="s">
        <v>128</v>
      </c>
      <c r="F33" s="11" t="s">
        <v>447</v>
      </c>
      <c r="G33" s="11" t="s">
        <v>448</v>
      </c>
      <c r="H33" s="14" t="s">
        <v>450</v>
      </c>
      <c r="I33" s="11">
        <v>37</v>
      </c>
    </row>
    <row r="34" spans="1:9" x14ac:dyDescent="0.3">
      <c r="A34" s="11" t="s">
        <v>53</v>
      </c>
      <c r="B34" s="11" t="s">
        <v>416</v>
      </c>
      <c r="C34" s="11" t="s">
        <v>133</v>
      </c>
      <c r="D34" s="11" t="s">
        <v>428</v>
      </c>
      <c r="E34" s="11" t="s">
        <v>87</v>
      </c>
      <c r="F34" s="11" t="s">
        <v>447</v>
      </c>
      <c r="G34" s="11" t="s">
        <v>448</v>
      </c>
      <c r="H34" s="14" t="s">
        <v>445</v>
      </c>
      <c r="I34" s="11">
        <v>37</v>
      </c>
    </row>
    <row r="35" spans="1:9" x14ac:dyDescent="0.3">
      <c r="A35" s="11" t="s">
        <v>53</v>
      </c>
      <c r="B35" s="11" t="s">
        <v>428</v>
      </c>
      <c r="C35" s="11" t="s">
        <v>87</v>
      </c>
      <c r="D35" s="11" t="s">
        <v>114</v>
      </c>
      <c r="E35" s="11" t="s">
        <v>131</v>
      </c>
      <c r="F35" s="11" t="s">
        <v>443</v>
      </c>
      <c r="G35" s="11" t="s">
        <v>444</v>
      </c>
      <c r="H35" s="14" t="s">
        <v>449</v>
      </c>
      <c r="I35" s="11">
        <v>37</v>
      </c>
    </row>
    <row r="36" spans="1:9" x14ac:dyDescent="0.3">
      <c r="A36" s="11" t="s">
        <v>53</v>
      </c>
      <c r="B36" s="11" t="s">
        <v>115</v>
      </c>
      <c r="C36" s="11" t="s">
        <v>132</v>
      </c>
      <c r="D36" s="11" t="s">
        <v>419</v>
      </c>
      <c r="E36" s="11" t="s">
        <v>90</v>
      </c>
      <c r="F36" s="11" t="s">
        <v>443</v>
      </c>
      <c r="G36" s="11" t="s">
        <v>444</v>
      </c>
      <c r="H36" s="14" t="s">
        <v>449</v>
      </c>
      <c r="I36" s="11">
        <v>37</v>
      </c>
    </row>
    <row r="37" spans="1:9" x14ac:dyDescent="0.3">
      <c r="A37" s="11" t="s">
        <v>29</v>
      </c>
      <c r="B37" s="11" t="s">
        <v>289</v>
      </c>
      <c r="C37" s="11" t="s">
        <v>72</v>
      </c>
      <c r="D37" s="11" t="s">
        <v>178</v>
      </c>
      <c r="E37" s="11" t="s">
        <v>179</v>
      </c>
      <c r="F37" s="11" t="s">
        <v>443</v>
      </c>
      <c r="G37" s="11" t="s">
        <v>444</v>
      </c>
      <c r="H37" s="14" t="s">
        <v>445</v>
      </c>
      <c r="I37" s="11">
        <v>38</v>
      </c>
    </row>
    <row r="38" spans="1:9" x14ac:dyDescent="0.3">
      <c r="A38" s="11" t="s">
        <v>29</v>
      </c>
      <c r="B38" s="11" t="s">
        <v>178</v>
      </c>
      <c r="C38" s="11" t="s">
        <v>179</v>
      </c>
      <c r="D38" s="11" t="s">
        <v>279</v>
      </c>
      <c r="E38" s="11" t="s">
        <v>79</v>
      </c>
      <c r="F38" s="11" t="s">
        <v>447</v>
      </c>
      <c r="G38" s="11" t="s">
        <v>448</v>
      </c>
      <c r="H38" s="14" t="s">
        <v>449</v>
      </c>
      <c r="I38" s="11">
        <v>38</v>
      </c>
    </row>
    <row r="39" spans="1:9" x14ac:dyDescent="0.3">
      <c r="A39" s="11" t="s">
        <v>29</v>
      </c>
      <c r="B39" s="11" t="s">
        <v>30</v>
      </c>
      <c r="C39" s="11" t="s">
        <v>74</v>
      </c>
      <c r="D39" s="11" t="s">
        <v>262</v>
      </c>
      <c r="E39" s="11" t="s">
        <v>77</v>
      </c>
      <c r="F39" s="11" t="s">
        <v>443</v>
      </c>
      <c r="G39" s="11" t="s">
        <v>444</v>
      </c>
      <c r="H39" s="14" t="s">
        <v>445</v>
      </c>
      <c r="I39" s="11">
        <v>38</v>
      </c>
    </row>
    <row r="40" spans="1:9" x14ac:dyDescent="0.3">
      <c r="A40" s="11" t="s">
        <v>36</v>
      </c>
      <c r="B40" s="11" t="s">
        <v>326</v>
      </c>
      <c r="C40" s="11" t="s">
        <v>73</v>
      </c>
      <c r="D40" s="11" t="s">
        <v>104</v>
      </c>
      <c r="E40" s="11" t="s">
        <v>126</v>
      </c>
      <c r="F40" s="11" t="s">
        <v>447</v>
      </c>
      <c r="G40" s="11" t="s">
        <v>448</v>
      </c>
      <c r="H40" s="14" t="s">
        <v>450</v>
      </c>
      <c r="I40" s="11">
        <v>38</v>
      </c>
    </row>
    <row r="41" spans="1:9" x14ac:dyDescent="0.3">
      <c r="A41" s="11" t="s">
        <v>36</v>
      </c>
      <c r="B41" s="11" t="s">
        <v>103</v>
      </c>
      <c r="C41" s="11" t="s">
        <v>123</v>
      </c>
      <c r="D41" s="11" t="s">
        <v>105</v>
      </c>
      <c r="E41" s="11" t="s">
        <v>127</v>
      </c>
      <c r="F41" s="11" t="s">
        <v>443</v>
      </c>
      <c r="G41" s="11" t="s">
        <v>444</v>
      </c>
      <c r="H41" s="14" t="s">
        <v>445</v>
      </c>
      <c r="I41" s="11">
        <v>38</v>
      </c>
    </row>
    <row r="42" spans="1:9" x14ac:dyDescent="0.3">
      <c r="A42" s="11" t="s">
        <v>36</v>
      </c>
      <c r="B42" s="11" t="s">
        <v>105</v>
      </c>
      <c r="C42" s="11" t="s">
        <v>127</v>
      </c>
      <c r="D42" s="11" t="s">
        <v>289</v>
      </c>
      <c r="E42" s="11" t="s">
        <v>72</v>
      </c>
      <c r="F42" s="11" t="s">
        <v>447</v>
      </c>
      <c r="G42" s="11" t="s">
        <v>448</v>
      </c>
      <c r="H42" s="14" t="s">
        <v>450</v>
      </c>
      <c r="I42" s="11">
        <v>38</v>
      </c>
    </row>
    <row r="43" spans="1:9" x14ac:dyDescent="0.3">
      <c r="A43" s="11" t="s">
        <v>41</v>
      </c>
      <c r="B43" s="11" t="s">
        <v>107</v>
      </c>
      <c r="C43" s="11" t="s">
        <v>128</v>
      </c>
      <c r="D43" s="11" t="s">
        <v>241</v>
      </c>
      <c r="E43" s="11" t="s">
        <v>124</v>
      </c>
      <c r="F43" s="11" t="s">
        <v>443</v>
      </c>
      <c r="G43" s="11" t="s">
        <v>444</v>
      </c>
      <c r="H43" s="14" t="s">
        <v>449</v>
      </c>
      <c r="I43" s="11">
        <v>38</v>
      </c>
    </row>
    <row r="44" spans="1:9" x14ac:dyDescent="0.3">
      <c r="A44" s="11" t="s">
        <v>53</v>
      </c>
      <c r="B44" s="11" t="s">
        <v>416</v>
      </c>
      <c r="C44" s="11" t="s">
        <v>133</v>
      </c>
      <c r="D44" s="11" t="s">
        <v>147</v>
      </c>
      <c r="E44" s="11" t="s">
        <v>152</v>
      </c>
      <c r="F44" s="11" t="s">
        <v>443</v>
      </c>
      <c r="G44" s="11" t="s">
        <v>444</v>
      </c>
      <c r="H44" s="14" t="s">
        <v>449</v>
      </c>
      <c r="I44" s="11">
        <v>38</v>
      </c>
    </row>
    <row r="45" spans="1:9" x14ac:dyDescent="0.3">
      <c r="A45" s="11" t="s">
        <v>53</v>
      </c>
      <c r="B45" s="11" t="s">
        <v>147</v>
      </c>
      <c r="C45" s="11" t="s">
        <v>152</v>
      </c>
      <c r="D45" s="11" t="s">
        <v>114</v>
      </c>
      <c r="E45" s="11" t="s">
        <v>131</v>
      </c>
      <c r="F45" s="11" t="s">
        <v>447</v>
      </c>
      <c r="G45" s="11" t="s">
        <v>448</v>
      </c>
      <c r="H45" s="14" t="s">
        <v>445</v>
      </c>
      <c r="I45" s="11">
        <v>38</v>
      </c>
    </row>
    <row r="46" spans="1:9" x14ac:dyDescent="0.3">
      <c r="A46" s="11" t="s">
        <v>53</v>
      </c>
      <c r="B46" s="11" t="s">
        <v>114</v>
      </c>
      <c r="C46" s="11" t="s">
        <v>131</v>
      </c>
      <c r="D46" s="11" t="s">
        <v>428</v>
      </c>
      <c r="E46" s="11" t="s">
        <v>87</v>
      </c>
      <c r="F46" s="11" t="s">
        <v>443</v>
      </c>
      <c r="G46" s="11" t="s">
        <v>444</v>
      </c>
      <c r="H46" s="14" t="s">
        <v>449</v>
      </c>
      <c r="I46" s="11">
        <v>38</v>
      </c>
    </row>
    <row r="47" spans="1:9" x14ac:dyDescent="0.3">
      <c r="A47" s="11" t="s">
        <v>53</v>
      </c>
      <c r="B47" s="11" t="s">
        <v>428</v>
      </c>
      <c r="C47" s="11" t="s">
        <v>87</v>
      </c>
      <c r="D47" s="11" t="s">
        <v>415</v>
      </c>
      <c r="E47" s="11" t="s">
        <v>134</v>
      </c>
      <c r="F47" s="11" t="s">
        <v>447</v>
      </c>
      <c r="G47" s="11" t="s">
        <v>448</v>
      </c>
      <c r="H47" s="14" t="s">
        <v>445</v>
      </c>
      <c r="I47" s="11">
        <v>38</v>
      </c>
    </row>
  </sheetData>
  <autoFilter ref="A1:I1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.21875" customWidth="1"/>
    <col min="2" max="4" width="78.21875" customWidth="1"/>
    <col min="5" max="5" width="22.77734375" customWidth="1"/>
    <col min="6" max="6" width="13.5546875" customWidth="1"/>
  </cols>
  <sheetData>
    <row r="1" spans="1:6" x14ac:dyDescent="0.3">
      <c r="A1" s="10" t="s">
        <v>180</v>
      </c>
      <c r="B1" s="10" t="s">
        <v>455</v>
      </c>
      <c r="C1" s="10" t="s">
        <v>456</v>
      </c>
      <c r="D1" s="10" t="s">
        <v>457</v>
      </c>
      <c r="E1" s="10" t="s">
        <v>458</v>
      </c>
      <c r="F1" s="10" t="s">
        <v>441</v>
      </c>
    </row>
    <row r="2" spans="1:6" x14ac:dyDescent="0.3">
      <c r="A2" s="11" t="s">
        <v>23</v>
      </c>
      <c r="B2" s="11" t="s">
        <v>40</v>
      </c>
      <c r="C2" s="11" t="s">
        <v>40</v>
      </c>
      <c r="D2" s="11" t="s">
        <v>40</v>
      </c>
      <c r="E2" s="11" t="s">
        <v>459</v>
      </c>
      <c r="F2" s="14" t="s">
        <v>450</v>
      </c>
    </row>
    <row r="3" spans="1:6" x14ac:dyDescent="0.3">
      <c r="A3" s="11" t="s">
        <v>23</v>
      </c>
      <c r="B3" s="11" t="s">
        <v>40</v>
      </c>
      <c r="C3" s="11" t="s">
        <v>40</v>
      </c>
      <c r="D3" s="11" t="s">
        <v>40</v>
      </c>
      <c r="E3" s="11" t="s">
        <v>459</v>
      </c>
      <c r="F3" s="14" t="s">
        <v>460</v>
      </c>
    </row>
    <row r="4" spans="1:6" x14ac:dyDescent="0.3">
      <c r="A4" s="11" t="s">
        <v>29</v>
      </c>
      <c r="B4" s="11" t="s">
        <v>102</v>
      </c>
      <c r="C4" s="11" t="s">
        <v>102</v>
      </c>
      <c r="D4" s="11" t="s">
        <v>102</v>
      </c>
      <c r="E4" s="11" t="s">
        <v>459</v>
      </c>
      <c r="F4" s="14" t="s">
        <v>461</v>
      </c>
    </row>
    <row r="5" spans="1:6" x14ac:dyDescent="0.3">
      <c r="A5" s="11" t="s">
        <v>29</v>
      </c>
      <c r="B5" s="11" t="s">
        <v>102</v>
      </c>
      <c r="C5" s="11" t="s">
        <v>102</v>
      </c>
      <c r="D5" s="11" t="s">
        <v>102</v>
      </c>
      <c r="E5" s="11" t="s">
        <v>459</v>
      </c>
      <c r="F5" s="14" t="s">
        <v>462</v>
      </c>
    </row>
    <row r="6" spans="1:6" x14ac:dyDescent="0.3">
      <c r="A6" s="11" t="s">
        <v>29</v>
      </c>
      <c r="B6" s="11" t="s">
        <v>40</v>
      </c>
      <c r="C6" s="11" t="s">
        <v>40</v>
      </c>
      <c r="D6" s="11" t="s">
        <v>40</v>
      </c>
      <c r="E6" s="11" t="s">
        <v>459</v>
      </c>
      <c r="F6" s="14" t="s">
        <v>454</v>
      </c>
    </row>
    <row r="7" spans="1:6" x14ac:dyDescent="0.3">
      <c r="A7" s="11" t="s">
        <v>29</v>
      </c>
      <c r="B7" s="11" t="s">
        <v>40</v>
      </c>
      <c r="C7" s="11" t="s">
        <v>40</v>
      </c>
      <c r="D7" s="11" t="s">
        <v>40</v>
      </c>
      <c r="E7" s="11" t="s">
        <v>459</v>
      </c>
      <c r="F7" s="14" t="s">
        <v>450</v>
      </c>
    </row>
    <row r="8" spans="1:6" x14ac:dyDescent="0.3">
      <c r="A8" s="11" t="s">
        <v>29</v>
      </c>
      <c r="B8" s="11" t="s">
        <v>40</v>
      </c>
      <c r="C8" s="11" t="s">
        <v>40</v>
      </c>
      <c r="D8" s="11" t="s">
        <v>40</v>
      </c>
      <c r="E8" s="11" t="s">
        <v>459</v>
      </c>
      <c r="F8" s="14" t="s">
        <v>460</v>
      </c>
    </row>
    <row r="9" spans="1:6" x14ac:dyDescent="0.3">
      <c r="A9" s="11" t="s">
        <v>36</v>
      </c>
      <c r="B9" s="11" t="s">
        <v>40</v>
      </c>
      <c r="C9" s="11" t="s">
        <v>40</v>
      </c>
      <c r="D9" s="11" t="s">
        <v>40</v>
      </c>
      <c r="E9" s="11" t="s">
        <v>459</v>
      </c>
      <c r="F9" s="14" t="s">
        <v>450</v>
      </c>
    </row>
    <row r="10" spans="1:6" x14ac:dyDescent="0.3">
      <c r="A10" s="11" t="s">
        <v>36</v>
      </c>
      <c r="B10" s="11" t="s">
        <v>40</v>
      </c>
      <c r="C10" s="11" t="s">
        <v>40</v>
      </c>
      <c r="D10" s="11" t="s">
        <v>40</v>
      </c>
      <c r="E10" s="11" t="s">
        <v>459</v>
      </c>
      <c r="F10" s="14" t="s">
        <v>460</v>
      </c>
    </row>
    <row r="11" spans="1:6" x14ac:dyDescent="0.3">
      <c r="A11" s="11" t="s">
        <v>41</v>
      </c>
      <c r="B11" s="11" t="s">
        <v>40</v>
      </c>
      <c r="C11" s="11" t="s">
        <v>40</v>
      </c>
      <c r="D11" s="11" t="s">
        <v>40</v>
      </c>
      <c r="E11" s="11" t="s">
        <v>459</v>
      </c>
      <c r="F11" s="14" t="s">
        <v>450</v>
      </c>
    </row>
    <row r="12" spans="1:6" x14ac:dyDescent="0.3">
      <c r="A12" s="11" t="s">
        <v>41</v>
      </c>
      <c r="B12" s="11" t="s">
        <v>40</v>
      </c>
      <c r="C12" s="11" t="s">
        <v>40</v>
      </c>
      <c r="D12" s="11" t="s">
        <v>40</v>
      </c>
      <c r="E12" s="11" t="s">
        <v>459</v>
      </c>
      <c r="F12" s="14" t="s">
        <v>463</v>
      </c>
    </row>
    <row r="13" spans="1:6" x14ac:dyDescent="0.3">
      <c r="A13" s="11" t="s">
        <v>41</v>
      </c>
      <c r="B13" s="11" t="s">
        <v>40</v>
      </c>
      <c r="C13" s="11" t="s">
        <v>40</v>
      </c>
      <c r="D13" s="11" t="s">
        <v>40</v>
      </c>
      <c r="E13" s="11" t="s">
        <v>459</v>
      </c>
      <c r="F13" s="14" t="s">
        <v>460</v>
      </c>
    </row>
    <row r="14" spans="1:6" x14ac:dyDescent="0.3">
      <c r="A14" s="11" t="s">
        <v>41</v>
      </c>
      <c r="B14" s="11" t="s">
        <v>46</v>
      </c>
      <c r="C14" s="11" t="s">
        <v>46</v>
      </c>
      <c r="D14" s="11" t="s">
        <v>46</v>
      </c>
      <c r="E14" s="11" t="s">
        <v>459</v>
      </c>
      <c r="F14" s="14" t="s">
        <v>449</v>
      </c>
    </row>
    <row r="15" spans="1:6" x14ac:dyDescent="0.3">
      <c r="A15" s="11" t="s">
        <v>41</v>
      </c>
      <c r="B15" s="11" t="s">
        <v>49</v>
      </c>
      <c r="C15" s="11" t="s">
        <v>49</v>
      </c>
      <c r="D15" s="11" t="s">
        <v>49</v>
      </c>
      <c r="E15" s="11" t="s">
        <v>464</v>
      </c>
      <c r="F15" s="14" t="s">
        <v>465</v>
      </c>
    </row>
    <row r="16" spans="1:6" x14ac:dyDescent="0.3">
      <c r="A16" s="11" t="s">
        <v>41</v>
      </c>
      <c r="B16" s="11" t="s">
        <v>49</v>
      </c>
      <c r="C16" s="11" t="s">
        <v>49</v>
      </c>
      <c r="D16" s="11" t="s">
        <v>49</v>
      </c>
      <c r="E16" s="11" t="s">
        <v>464</v>
      </c>
      <c r="F16" s="14" t="s">
        <v>466</v>
      </c>
    </row>
    <row r="17" spans="1:6" x14ac:dyDescent="0.3">
      <c r="A17" s="11" t="s">
        <v>41</v>
      </c>
      <c r="B17" s="11" t="s">
        <v>49</v>
      </c>
      <c r="C17" s="11" t="s">
        <v>49</v>
      </c>
      <c r="D17" s="11" t="s">
        <v>49</v>
      </c>
      <c r="E17" s="11" t="s">
        <v>464</v>
      </c>
      <c r="F17" s="14" t="s">
        <v>467</v>
      </c>
    </row>
    <row r="18" spans="1:6" x14ac:dyDescent="0.3">
      <c r="A18" s="11" t="s">
        <v>50</v>
      </c>
      <c r="B18" s="11" t="s">
        <v>46</v>
      </c>
      <c r="C18" s="11" t="s">
        <v>46</v>
      </c>
      <c r="D18" s="11" t="s">
        <v>46</v>
      </c>
      <c r="E18" s="11" t="s">
        <v>459</v>
      </c>
      <c r="F18" s="14" t="s">
        <v>449</v>
      </c>
    </row>
    <row r="19" spans="1:6" x14ac:dyDescent="0.3">
      <c r="A19" s="11" t="s">
        <v>50</v>
      </c>
      <c r="B19" s="11" t="s">
        <v>49</v>
      </c>
      <c r="C19" s="11" t="s">
        <v>49</v>
      </c>
      <c r="D19" s="11" t="s">
        <v>49</v>
      </c>
      <c r="E19" s="11" t="s">
        <v>464</v>
      </c>
      <c r="F19" s="14" t="s">
        <v>468</v>
      </c>
    </row>
    <row r="20" spans="1:6" x14ac:dyDescent="0.3">
      <c r="A20" s="11" t="s">
        <v>50</v>
      </c>
      <c r="B20" s="11" t="s">
        <v>49</v>
      </c>
      <c r="C20" s="11" t="s">
        <v>49</v>
      </c>
      <c r="D20" s="11" t="s">
        <v>49</v>
      </c>
      <c r="E20" s="11" t="s">
        <v>464</v>
      </c>
      <c r="F20" s="14" t="s">
        <v>463</v>
      </c>
    </row>
    <row r="21" spans="1:6" x14ac:dyDescent="0.3">
      <c r="A21" s="11" t="s">
        <v>50</v>
      </c>
      <c r="B21" s="11" t="s">
        <v>49</v>
      </c>
      <c r="C21" s="11" t="s">
        <v>49</v>
      </c>
      <c r="D21" s="11" t="s">
        <v>49</v>
      </c>
      <c r="E21" s="11" t="s">
        <v>464</v>
      </c>
      <c r="F21" s="14" t="s">
        <v>469</v>
      </c>
    </row>
    <row r="22" spans="1:6" x14ac:dyDescent="0.3">
      <c r="A22" s="11" t="s">
        <v>53</v>
      </c>
      <c r="B22" s="11" t="s">
        <v>118</v>
      </c>
      <c r="C22" s="11" t="s">
        <v>118</v>
      </c>
      <c r="D22" s="11" t="s">
        <v>118</v>
      </c>
      <c r="E22" s="11" t="s">
        <v>459</v>
      </c>
      <c r="F22" s="14" t="s">
        <v>470</v>
      </c>
    </row>
    <row r="23" spans="1:6" x14ac:dyDescent="0.3">
      <c r="A23" s="11" t="s">
        <v>53</v>
      </c>
      <c r="B23" s="11" t="s">
        <v>46</v>
      </c>
      <c r="C23" s="11" t="s">
        <v>46</v>
      </c>
      <c r="D23" s="11" t="s">
        <v>46</v>
      </c>
      <c r="E23" s="11" t="s">
        <v>459</v>
      </c>
      <c r="F23" s="14" t="s">
        <v>449</v>
      </c>
    </row>
    <row r="24" spans="1:6" x14ac:dyDescent="0.3">
      <c r="A24" s="11" t="s">
        <v>53</v>
      </c>
      <c r="B24" s="11" t="s">
        <v>49</v>
      </c>
      <c r="C24" s="11" t="s">
        <v>49</v>
      </c>
      <c r="D24" s="11" t="s">
        <v>49</v>
      </c>
      <c r="E24" s="11" t="s">
        <v>464</v>
      </c>
      <c r="F24" s="14" t="s">
        <v>471</v>
      </c>
    </row>
    <row r="25" spans="1:6" x14ac:dyDescent="0.3">
      <c r="A25" s="11" t="s">
        <v>53</v>
      </c>
      <c r="B25" s="11" t="s">
        <v>49</v>
      </c>
      <c r="C25" s="11" t="s">
        <v>49</v>
      </c>
      <c r="D25" s="11" t="s">
        <v>49</v>
      </c>
      <c r="E25" s="11" t="s">
        <v>464</v>
      </c>
      <c r="F25" s="14" t="s">
        <v>472</v>
      </c>
    </row>
    <row r="26" spans="1:6" x14ac:dyDescent="0.3">
      <c r="A26" s="11" t="s">
        <v>53</v>
      </c>
      <c r="B26" s="11" t="s">
        <v>49</v>
      </c>
      <c r="C26" s="11" t="s">
        <v>49</v>
      </c>
      <c r="D26" s="11" t="s">
        <v>49</v>
      </c>
      <c r="E26" s="11" t="s">
        <v>464</v>
      </c>
      <c r="F26" s="14" t="s">
        <v>473</v>
      </c>
    </row>
  </sheetData>
  <autoFilter ref="A1:F1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 País</vt:lpstr>
      <vt:lpstr>Semana 34</vt:lpstr>
      <vt:lpstr>Semana 35</vt:lpstr>
      <vt:lpstr>Semana 36</vt:lpstr>
      <vt:lpstr>Semana 37</vt:lpstr>
      <vt:lpstr>Semana 38</vt:lpstr>
      <vt:lpstr>Velocidad Eficiencia</vt:lpstr>
      <vt:lpstr>CAFOS</vt:lpstr>
      <vt:lpstr>Tiempos Paradas</vt:lpstr>
    </vt:vector>
  </TitlesOfParts>
  <Company>OptiPlant Consultores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Reporte_Envase</dc:title>
  <dc:creator>OptiPlant Consultores</dc:creator>
  <dc:description>Reporte_Envase</dc:description>
  <cp:lastModifiedBy>INOVA 2025</cp:lastModifiedBy>
  <dcterms:modified xsi:type="dcterms:W3CDTF">2026-10-06T14:48:45Z</dcterms:modified>
</cp:coreProperties>
</file>