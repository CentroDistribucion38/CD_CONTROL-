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DADES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MAESTRO" sheetId="3" state="visible" r:id="rId3"/>
    <sheet xmlns:r="http://schemas.openxmlformats.org/officeDocument/2006/relationships" name="TIPOS" sheetId="4" state="visible" r:id="rId4"/>
  </sheets>
  <definedNames>
    <definedName name="_xlnm._FilterDatabase" localSheetId="0" hidden="1">'NOVEDADES'!$A$5:$L$305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i val="1"/>
      <color rgb="005F6B79"/>
    </font>
    <font>
      <i val="1"/>
      <color rgb="00C00000"/>
    </font>
    <font>
      <b val="1"/>
      <color rgb="0012263A"/>
      <sz val="14"/>
    </font>
    <font>
      <b val="1"/>
      <color rgb="0012263A"/>
    </font>
    <font>
      <b val="1"/>
      <sz val="12"/>
    </font>
    <font>
      <i val="1"/>
      <color rgb="005F6B79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263A"/>
      </patternFill>
    </fill>
    <fill>
      <patternFill patternType="solid">
        <fgColor rgb="00FFF4CC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3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ont>
        <b val="1"/>
        <color rgb="000F7A4A"/>
      </font>
      <fill>
        <patternFill patternType="solid">
          <fgColor rgb="00D7F0E1"/>
        </patternFill>
      </fill>
    </dxf>
    <dxf>
      <font>
        <b val="1"/>
        <color rgb="00A50D25"/>
      </font>
      <fill>
        <patternFill patternType="solid">
          <fgColor rgb="00FDE2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9" customWidth="1" min="4" max="4"/>
    <col width="9" customWidth="1" min="5" max="5"/>
    <col width="11" customWidth="1" min="6" max="6"/>
    <col width="34" customWidth="1" min="7" max="7"/>
    <col width="9" customWidth="1" min="8" max="8"/>
    <col width="13" customWidth="1" min="9" max="9"/>
    <col width="12" customWidth="1" min="10" max="10"/>
    <col width="11" customWidth="1" min="11" max="11"/>
    <col width="30" customWidth="1" min="12" max="12"/>
  </cols>
  <sheetData>
    <row r="1">
      <c r="A1" s="1" t="inlineStr">
        <is>
          <t>NOVEDADES · ANÁLISIS DE DIFERENCIA · BODEGA 38</t>
        </is>
      </c>
    </row>
    <row r="2">
      <c r="A2" s="2" t="inlineStr">
        <is>
          <t>FECHA</t>
        </is>
      </c>
      <c r="B2" s="3">
        <f>TODAY()</f>
        <v/>
      </c>
      <c r="C2" s="4" t="inlineStr">
        <is>
          <t>← viene con hoy. Cámbiala solo si cargas otro día.</t>
        </is>
      </c>
    </row>
    <row r="3" ht="28" customHeight="1">
      <c r="A3" s="5" t="inlineStr">
        <is>
          <t>Llena solo lo amarillo: el tipo, el código y la cantidad (en estibas, cajas o unidades: la que tengas). N° de entrega solo en PEND NOVEDADES CD. La ZEXI de las 6 va aquí también (tipo ZEXI 6 AM, en UNIDADES SUELTAS). Lo gris sale solo; VALIDACIÓN debe decir OK.</t>
        </is>
      </c>
    </row>
    <row r="5" ht="30" customHeight="1">
      <c r="A5" s="6" t="inlineStr">
        <is>
          <t>TIPO DE NOVEDAD</t>
        </is>
      </c>
      <c r="B5" s="6" t="inlineStr">
        <is>
          <t>N° ENTREGA / DOCUMENTO</t>
        </is>
      </c>
      <c r="C5" s="6" t="inlineStr">
        <is>
          <t>CÓDIGO</t>
        </is>
      </c>
      <c r="D5" s="6" t="inlineStr">
        <is>
          <t>ESTIBAS</t>
        </is>
      </c>
      <c r="E5" s="6" t="inlineStr">
        <is>
          <t>CAJAS</t>
        </is>
      </c>
      <c r="F5" s="6" t="inlineStr">
        <is>
          <t>UNIDADES SUELTAS</t>
        </is>
      </c>
      <c r="G5" s="6" t="inlineStr">
        <is>
          <t>DESCRIPCIÓN</t>
        </is>
      </c>
      <c r="H5" s="6" t="inlineStr">
        <is>
          <t>SUMA EN</t>
        </is>
      </c>
      <c r="I5" s="6" t="inlineStr">
        <is>
          <t>TOTAL UNIDADES</t>
        </is>
      </c>
      <c r="J5" s="6" t="inlineStr">
        <is>
          <t>CAJA PLÁSTICA</t>
        </is>
      </c>
      <c r="K5" s="6" t="inlineStr">
        <is>
          <t>CAJAS PLÁSTICAS</t>
        </is>
      </c>
      <c r="L5" s="6" t="inlineStr">
        <is>
          <t>VALIDACIÓN</t>
        </is>
      </c>
    </row>
    <row r="6">
      <c r="A6" s="7" t="n"/>
      <c r="B6" s="7" t="n"/>
      <c r="C6" s="7" t="n"/>
      <c r="D6" s="8" t="n"/>
      <c r="E6" s="8" t="n"/>
      <c r="F6" s="8" t="n"/>
      <c r="G6" s="9">
        <f>IF(C6="","",IFERROR(VLOOKUP(C6,MAESTRO!$A:$B,2,FALSE),"—"))</f>
        <v/>
      </c>
      <c r="H6" s="9">
        <f>IF(A6="","",IFERROR(VLOOKUP(A6,TIPOS!$A:$B,2,FALSE),""))</f>
        <v/>
      </c>
      <c r="I6" s="10">
        <f>IF(C6="","",IFERROR((N(D6)*N(VLOOKUP(C6,MAESTRO!$A:$D,4,FALSE))+N(E6))*VLOOKUP(C6,MAESTRO!$A:$C,3,FALSE)+N(F6),""))</f>
        <v/>
      </c>
      <c r="J6" s="9">
        <f>IF(OR(C6="",IFERROR(VLOOKUP(A6,TIPOS!$A:$E,5,FALSE),"No")&lt;&gt;"Sí"),"",IFERROR(IF(VLOOKUP(C6,MAESTRO!$A:$E,5,FALSE)=0,"",VLOOKUP(C6,MAESTRO!$A:$E,5,FALSE)),""))</f>
        <v/>
      </c>
      <c r="K6" s="10">
        <f>IF(OR(J6="",N(I6)=0,IFERROR(VLOOKUP(A6,TIPOS!$A:$E,5,FALSE),"No")&lt;&gt;"Sí"),"",INT(I6/VLOOKUP(C6,MAESTRO!$A:$C,3,FALSE)))</f>
        <v/>
      </c>
      <c r="L6" s="9">
        <f>IF(AND(A6="",C6=""),"",IF(A6="","Falta el tipo",IF(C6="","Falta el código",IF(ISNA(MATCH(C6,MAESTRO!$A:$A,0)),"El código no está en el maestro",IF(AND(N(D6)&gt;0,N(VLOOKUP(C6,MAESTRO!$A:$D,4,FALSE))=0),"Ese código no tiene cajas por estiba: escribe cajas",IF(AND(IFERROR(VLOOKUP(A6,TIPOS!$A:$C,3,FALSE),"")="Sí",B6=""),"Falta el N° de entrega",IF(N(I6)&lt;=0,"Falta la cantidad","OK")))))))</f>
        <v/>
      </c>
    </row>
    <row r="7">
      <c r="A7" s="7" t="n"/>
      <c r="B7" s="7" t="n"/>
      <c r="C7" s="7" t="n"/>
      <c r="D7" s="8" t="n"/>
      <c r="E7" s="8" t="n"/>
      <c r="F7" s="8" t="n"/>
      <c r="G7" s="9">
        <f>IF(C7="","",IFERROR(VLOOKUP(C7,MAESTRO!$A:$B,2,FALSE),"—"))</f>
        <v/>
      </c>
      <c r="H7" s="9">
        <f>IF(A7="","",IFERROR(VLOOKUP(A7,TIPOS!$A:$B,2,FALSE),""))</f>
        <v/>
      </c>
      <c r="I7" s="10">
        <f>IF(C7="","",IFERROR((N(D7)*N(VLOOKUP(C7,MAESTRO!$A:$D,4,FALSE))+N(E7))*VLOOKUP(C7,MAESTRO!$A:$C,3,FALSE)+N(F7),""))</f>
        <v/>
      </c>
      <c r="J7" s="9">
        <f>IF(OR(C7="",IFERROR(VLOOKUP(A7,TIPOS!$A:$E,5,FALSE),"No")&lt;&gt;"Sí"),"",IFERROR(IF(VLOOKUP(C7,MAESTRO!$A:$E,5,FALSE)=0,"",VLOOKUP(C7,MAESTRO!$A:$E,5,FALSE)),""))</f>
        <v/>
      </c>
      <c r="K7" s="10">
        <f>IF(OR(J7="",N(I7)=0,IFERROR(VLOOKUP(A7,TIPOS!$A:$E,5,FALSE),"No")&lt;&gt;"Sí"),"",INT(I7/VLOOKUP(C7,MAESTRO!$A:$C,3,FALSE)))</f>
        <v/>
      </c>
      <c r="L7" s="9">
        <f>IF(AND(A7="",C7=""),"",IF(A7="","Falta el tipo",IF(C7="","Falta el código",IF(ISNA(MATCH(C7,MAESTRO!$A:$A,0)),"El código no está en el maestro",IF(AND(N(D7)&gt;0,N(VLOOKUP(C7,MAESTRO!$A:$D,4,FALSE))=0),"Ese código no tiene cajas por estiba: escribe cajas",IF(AND(IFERROR(VLOOKUP(A7,TIPOS!$A:$C,3,FALSE),"")="Sí",B7=""),"Falta el N° de entrega",IF(N(I7)&lt;=0,"Falta la cantidad","OK")))))))</f>
        <v/>
      </c>
    </row>
    <row r="8">
      <c r="A8" s="7" t="n"/>
      <c r="B8" s="7" t="n"/>
      <c r="C8" s="7" t="n"/>
      <c r="D8" s="8" t="n"/>
      <c r="E8" s="8" t="n"/>
      <c r="F8" s="8" t="n"/>
      <c r="G8" s="9">
        <f>IF(C8="","",IFERROR(VLOOKUP(C8,MAESTRO!$A:$B,2,FALSE),"—"))</f>
        <v/>
      </c>
      <c r="H8" s="9">
        <f>IF(A8="","",IFERROR(VLOOKUP(A8,TIPOS!$A:$B,2,FALSE),""))</f>
        <v/>
      </c>
      <c r="I8" s="10">
        <f>IF(C8="","",IFERROR((N(D8)*N(VLOOKUP(C8,MAESTRO!$A:$D,4,FALSE))+N(E8))*VLOOKUP(C8,MAESTRO!$A:$C,3,FALSE)+N(F8),""))</f>
        <v/>
      </c>
      <c r="J8" s="9">
        <f>IF(OR(C8="",IFERROR(VLOOKUP(A8,TIPOS!$A:$E,5,FALSE),"No")&lt;&gt;"Sí"),"",IFERROR(IF(VLOOKUP(C8,MAESTRO!$A:$E,5,FALSE)=0,"",VLOOKUP(C8,MAESTRO!$A:$E,5,FALSE)),""))</f>
        <v/>
      </c>
      <c r="K8" s="10">
        <f>IF(OR(J8="",N(I8)=0,IFERROR(VLOOKUP(A8,TIPOS!$A:$E,5,FALSE),"No")&lt;&gt;"Sí"),"",INT(I8/VLOOKUP(C8,MAESTRO!$A:$C,3,FALSE)))</f>
        <v/>
      </c>
      <c r="L8" s="9">
        <f>IF(AND(A8="",C8=""),"",IF(A8="","Falta el tipo",IF(C8="","Falta el código",IF(ISNA(MATCH(C8,MAESTRO!$A:$A,0)),"El código no está en el maestro",IF(AND(N(D8)&gt;0,N(VLOOKUP(C8,MAESTRO!$A:$D,4,FALSE))=0),"Ese código no tiene cajas por estiba: escribe cajas",IF(AND(IFERROR(VLOOKUP(A8,TIPOS!$A:$C,3,FALSE),"")="Sí",B8=""),"Falta el N° de entrega",IF(N(I8)&lt;=0,"Falta la cantidad","OK")))))))</f>
        <v/>
      </c>
    </row>
    <row r="9">
      <c r="A9" s="7" t="n"/>
      <c r="B9" s="7" t="n"/>
      <c r="C9" s="7" t="n"/>
      <c r="D9" s="8" t="n"/>
      <c r="E9" s="8" t="n"/>
      <c r="F9" s="8" t="n"/>
      <c r="G9" s="9">
        <f>IF(C9="","",IFERROR(VLOOKUP(C9,MAESTRO!$A:$B,2,FALSE),"—"))</f>
        <v/>
      </c>
      <c r="H9" s="9">
        <f>IF(A9="","",IFERROR(VLOOKUP(A9,TIPOS!$A:$B,2,FALSE),""))</f>
        <v/>
      </c>
      <c r="I9" s="10">
        <f>IF(C9="","",IFERROR((N(D9)*N(VLOOKUP(C9,MAESTRO!$A:$D,4,FALSE))+N(E9))*VLOOKUP(C9,MAESTRO!$A:$C,3,FALSE)+N(F9),""))</f>
        <v/>
      </c>
      <c r="J9" s="9">
        <f>IF(OR(C9="",IFERROR(VLOOKUP(A9,TIPOS!$A:$E,5,FALSE),"No")&lt;&gt;"Sí"),"",IFERROR(IF(VLOOKUP(C9,MAESTRO!$A:$E,5,FALSE)=0,"",VLOOKUP(C9,MAESTRO!$A:$E,5,FALSE)),""))</f>
        <v/>
      </c>
      <c r="K9" s="10">
        <f>IF(OR(J9="",N(I9)=0,IFERROR(VLOOKUP(A9,TIPOS!$A:$E,5,FALSE),"No")&lt;&gt;"Sí"),"",INT(I9/VLOOKUP(C9,MAESTRO!$A:$C,3,FALSE)))</f>
        <v/>
      </c>
      <c r="L9" s="9">
        <f>IF(AND(A9="",C9=""),"",IF(A9="","Falta el tipo",IF(C9="","Falta el código",IF(ISNA(MATCH(C9,MAESTRO!$A:$A,0)),"El código no está en el maestro",IF(AND(N(D9)&gt;0,N(VLOOKUP(C9,MAESTRO!$A:$D,4,FALSE))=0),"Ese código no tiene cajas por estiba: escribe cajas",IF(AND(IFERROR(VLOOKUP(A9,TIPOS!$A:$C,3,FALSE),"")="Sí",B9=""),"Falta el N° de entrega",IF(N(I9)&lt;=0,"Falta la cantidad","OK")))))))</f>
        <v/>
      </c>
    </row>
    <row r="10">
      <c r="A10" s="7" t="n"/>
      <c r="B10" s="7" t="n"/>
      <c r="C10" s="7" t="n"/>
      <c r="D10" s="8" t="n"/>
      <c r="E10" s="8" t="n"/>
      <c r="F10" s="8" t="n"/>
      <c r="G10" s="9">
        <f>IF(C10="","",IFERROR(VLOOKUP(C10,MAESTRO!$A:$B,2,FALSE),"—"))</f>
        <v/>
      </c>
      <c r="H10" s="9">
        <f>IF(A10="","",IFERROR(VLOOKUP(A10,TIPOS!$A:$B,2,FALSE),""))</f>
        <v/>
      </c>
      <c r="I10" s="10">
        <f>IF(C10="","",IFERROR((N(D10)*N(VLOOKUP(C10,MAESTRO!$A:$D,4,FALSE))+N(E10))*VLOOKUP(C10,MAESTRO!$A:$C,3,FALSE)+N(F10),""))</f>
        <v/>
      </c>
      <c r="J10" s="9">
        <f>IF(OR(C10="",IFERROR(VLOOKUP(A10,TIPOS!$A:$E,5,FALSE),"No")&lt;&gt;"Sí"),"",IFERROR(IF(VLOOKUP(C10,MAESTRO!$A:$E,5,FALSE)=0,"",VLOOKUP(C10,MAESTRO!$A:$E,5,FALSE)),""))</f>
        <v/>
      </c>
      <c r="K10" s="10">
        <f>IF(OR(J10="",N(I10)=0,IFERROR(VLOOKUP(A10,TIPOS!$A:$E,5,FALSE),"No")&lt;&gt;"Sí"),"",INT(I10/VLOOKUP(C10,MAESTRO!$A:$C,3,FALSE)))</f>
        <v/>
      </c>
      <c r="L10" s="9">
        <f>IF(AND(A10="",C10=""),"",IF(A10="","Falta el tipo",IF(C10="","Falta el código",IF(ISNA(MATCH(C10,MAESTRO!$A:$A,0)),"El código no está en el maestro",IF(AND(N(D10)&gt;0,N(VLOOKUP(C10,MAESTRO!$A:$D,4,FALSE))=0),"Ese código no tiene cajas por estiba: escribe cajas",IF(AND(IFERROR(VLOOKUP(A10,TIPOS!$A:$C,3,FALSE),"")="Sí",B10=""),"Falta el N° de entrega",IF(N(I10)&lt;=0,"Falta la cantidad","OK")))))))</f>
        <v/>
      </c>
    </row>
    <row r="11">
      <c r="A11" s="7" t="n"/>
      <c r="B11" s="7" t="n"/>
      <c r="C11" s="7" t="n"/>
      <c r="D11" s="8" t="n"/>
      <c r="E11" s="8" t="n"/>
      <c r="F11" s="8" t="n"/>
      <c r="G11" s="9">
        <f>IF(C11="","",IFERROR(VLOOKUP(C11,MAESTRO!$A:$B,2,FALSE),"—"))</f>
        <v/>
      </c>
      <c r="H11" s="9">
        <f>IF(A11="","",IFERROR(VLOOKUP(A11,TIPOS!$A:$B,2,FALSE),""))</f>
        <v/>
      </c>
      <c r="I11" s="10">
        <f>IF(C11="","",IFERROR((N(D11)*N(VLOOKUP(C11,MAESTRO!$A:$D,4,FALSE))+N(E11))*VLOOKUP(C11,MAESTRO!$A:$C,3,FALSE)+N(F11),""))</f>
        <v/>
      </c>
      <c r="J11" s="9">
        <f>IF(OR(C11="",IFERROR(VLOOKUP(A11,TIPOS!$A:$E,5,FALSE),"No")&lt;&gt;"Sí"),"",IFERROR(IF(VLOOKUP(C11,MAESTRO!$A:$E,5,FALSE)=0,"",VLOOKUP(C11,MAESTRO!$A:$E,5,FALSE)),""))</f>
        <v/>
      </c>
      <c r="K11" s="10">
        <f>IF(OR(J11="",N(I11)=0,IFERROR(VLOOKUP(A11,TIPOS!$A:$E,5,FALSE),"No")&lt;&gt;"Sí"),"",INT(I11/VLOOKUP(C11,MAESTRO!$A:$C,3,FALSE)))</f>
        <v/>
      </c>
      <c r="L11" s="9">
        <f>IF(AND(A11="",C11=""),"",IF(A11="","Falta el tipo",IF(C11="","Falta el código",IF(ISNA(MATCH(C11,MAESTRO!$A:$A,0)),"El código no está en el maestro",IF(AND(N(D11)&gt;0,N(VLOOKUP(C11,MAESTRO!$A:$D,4,FALSE))=0),"Ese código no tiene cajas por estiba: escribe cajas",IF(AND(IFERROR(VLOOKUP(A11,TIPOS!$A:$C,3,FALSE),"")="Sí",B11=""),"Falta el N° de entrega",IF(N(I11)&lt;=0,"Falta la cantidad","OK")))))))</f>
        <v/>
      </c>
    </row>
    <row r="12">
      <c r="A12" s="7" t="n"/>
      <c r="B12" s="7" t="n"/>
      <c r="C12" s="7" t="n"/>
      <c r="D12" s="8" t="n"/>
      <c r="E12" s="8" t="n"/>
      <c r="F12" s="8" t="n"/>
      <c r="G12" s="9">
        <f>IF(C12="","",IFERROR(VLOOKUP(C12,MAESTRO!$A:$B,2,FALSE),"—"))</f>
        <v/>
      </c>
      <c r="H12" s="9">
        <f>IF(A12="","",IFERROR(VLOOKUP(A12,TIPOS!$A:$B,2,FALSE),""))</f>
        <v/>
      </c>
      <c r="I12" s="10">
        <f>IF(C12="","",IFERROR((N(D12)*N(VLOOKUP(C12,MAESTRO!$A:$D,4,FALSE))+N(E12))*VLOOKUP(C12,MAESTRO!$A:$C,3,FALSE)+N(F12),""))</f>
        <v/>
      </c>
      <c r="J12" s="9">
        <f>IF(OR(C12="",IFERROR(VLOOKUP(A12,TIPOS!$A:$E,5,FALSE),"No")&lt;&gt;"Sí"),"",IFERROR(IF(VLOOKUP(C12,MAESTRO!$A:$E,5,FALSE)=0,"",VLOOKUP(C12,MAESTRO!$A:$E,5,FALSE)),""))</f>
        <v/>
      </c>
      <c r="K12" s="10">
        <f>IF(OR(J12="",N(I12)=0,IFERROR(VLOOKUP(A12,TIPOS!$A:$E,5,FALSE),"No")&lt;&gt;"Sí"),"",INT(I12/VLOOKUP(C12,MAESTRO!$A:$C,3,FALSE)))</f>
        <v/>
      </c>
      <c r="L12" s="9">
        <f>IF(AND(A12="",C12=""),"",IF(A12="","Falta el tipo",IF(C12="","Falta el código",IF(ISNA(MATCH(C12,MAESTRO!$A:$A,0)),"El código no está en el maestro",IF(AND(N(D12)&gt;0,N(VLOOKUP(C12,MAESTRO!$A:$D,4,FALSE))=0),"Ese código no tiene cajas por estiba: escribe cajas",IF(AND(IFERROR(VLOOKUP(A12,TIPOS!$A:$C,3,FALSE),"")="Sí",B12=""),"Falta el N° de entrega",IF(N(I12)&lt;=0,"Falta la cantidad","OK")))))))</f>
        <v/>
      </c>
    </row>
    <row r="13">
      <c r="A13" s="7" t="n"/>
      <c r="B13" s="7" t="n"/>
      <c r="C13" s="7" t="n"/>
      <c r="D13" s="8" t="n"/>
      <c r="E13" s="8" t="n"/>
      <c r="F13" s="8" t="n"/>
      <c r="G13" s="9">
        <f>IF(C13="","",IFERROR(VLOOKUP(C13,MAESTRO!$A:$B,2,FALSE),"—"))</f>
        <v/>
      </c>
      <c r="H13" s="9">
        <f>IF(A13="","",IFERROR(VLOOKUP(A13,TIPOS!$A:$B,2,FALSE),""))</f>
        <v/>
      </c>
      <c r="I13" s="10">
        <f>IF(C13="","",IFERROR((N(D13)*N(VLOOKUP(C13,MAESTRO!$A:$D,4,FALSE))+N(E13))*VLOOKUP(C13,MAESTRO!$A:$C,3,FALSE)+N(F13),""))</f>
        <v/>
      </c>
      <c r="J13" s="9">
        <f>IF(OR(C13="",IFERROR(VLOOKUP(A13,TIPOS!$A:$E,5,FALSE),"No")&lt;&gt;"Sí"),"",IFERROR(IF(VLOOKUP(C13,MAESTRO!$A:$E,5,FALSE)=0,"",VLOOKUP(C13,MAESTRO!$A:$E,5,FALSE)),""))</f>
        <v/>
      </c>
      <c r="K13" s="10">
        <f>IF(OR(J13="",N(I13)=0,IFERROR(VLOOKUP(A13,TIPOS!$A:$E,5,FALSE),"No")&lt;&gt;"Sí"),"",INT(I13/VLOOKUP(C13,MAESTRO!$A:$C,3,FALSE)))</f>
        <v/>
      </c>
      <c r="L13" s="9">
        <f>IF(AND(A13="",C13=""),"",IF(A13="","Falta el tipo",IF(C13="","Falta el código",IF(ISNA(MATCH(C13,MAESTRO!$A:$A,0)),"El código no está en el maestro",IF(AND(N(D13)&gt;0,N(VLOOKUP(C13,MAESTRO!$A:$D,4,FALSE))=0),"Ese código no tiene cajas por estiba: escribe cajas",IF(AND(IFERROR(VLOOKUP(A13,TIPOS!$A:$C,3,FALSE),"")="Sí",B13=""),"Falta el N° de entrega",IF(N(I13)&lt;=0,"Falta la cantidad","OK")))))))</f>
        <v/>
      </c>
    </row>
    <row r="14">
      <c r="A14" s="7" t="n"/>
      <c r="B14" s="7" t="n"/>
      <c r="C14" s="7" t="n"/>
      <c r="D14" s="8" t="n"/>
      <c r="E14" s="8" t="n"/>
      <c r="F14" s="8" t="n"/>
      <c r="G14" s="9">
        <f>IF(C14="","",IFERROR(VLOOKUP(C14,MAESTRO!$A:$B,2,FALSE),"—"))</f>
        <v/>
      </c>
      <c r="H14" s="9">
        <f>IF(A14="","",IFERROR(VLOOKUP(A14,TIPOS!$A:$B,2,FALSE),""))</f>
        <v/>
      </c>
      <c r="I14" s="10">
        <f>IF(C14="","",IFERROR((N(D14)*N(VLOOKUP(C14,MAESTRO!$A:$D,4,FALSE))+N(E14))*VLOOKUP(C14,MAESTRO!$A:$C,3,FALSE)+N(F14),""))</f>
        <v/>
      </c>
      <c r="J14" s="9">
        <f>IF(OR(C14="",IFERROR(VLOOKUP(A14,TIPOS!$A:$E,5,FALSE),"No")&lt;&gt;"Sí"),"",IFERROR(IF(VLOOKUP(C14,MAESTRO!$A:$E,5,FALSE)=0,"",VLOOKUP(C14,MAESTRO!$A:$E,5,FALSE)),""))</f>
        <v/>
      </c>
      <c r="K14" s="10">
        <f>IF(OR(J14="",N(I14)=0,IFERROR(VLOOKUP(A14,TIPOS!$A:$E,5,FALSE),"No")&lt;&gt;"Sí"),"",INT(I14/VLOOKUP(C14,MAESTRO!$A:$C,3,FALSE)))</f>
        <v/>
      </c>
      <c r="L14" s="9">
        <f>IF(AND(A14="",C14=""),"",IF(A14="","Falta el tipo",IF(C14="","Falta el código",IF(ISNA(MATCH(C14,MAESTRO!$A:$A,0)),"El código no está en el maestro",IF(AND(N(D14)&gt;0,N(VLOOKUP(C14,MAESTRO!$A:$D,4,FALSE))=0),"Ese código no tiene cajas por estiba: escribe cajas",IF(AND(IFERROR(VLOOKUP(A14,TIPOS!$A:$C,3,FALSE),"")="Sí",B14=""),"Falta el N° de entrega",IF(N(I14)&lt;=0,"Falta la cantidad","OK")))))))</f>
        <v/>
      </c>
    </row>
    <row r="15">
      <c r="A15" s="7" t="n"/>
      <c r="B15" s="7" t="n"/>
      <c r="C15" s="7" t="n"/>
      <c r="D15" s="8" t="n"/>
      <c r="E15" s="8" t="n"/>
      <c r="F15" s="8" t="n"/>
      <c r="G15" s="9">
        <f>IF(C15="","",IFERROR(VLOOKUP(C15,MAESTRO!$A:$B,2,FALSE),"—"))</f>
        <v/>
      </c>
      <c r="H15" s="9">
        <f>IF(A15="","",IFERROR(VLOOKUP(A15,TIPOS!$A:$B,2,FALSE),""))</f>
        <v/>
      </c>
      <c r="I15" s="10">
        <f>IF(C15="","",IFERROR((N(D15)*N(VLOOKUP(C15,MAESTRO!$A:$D,4,FALSE))+N(E15))*VLOOKUP(C15,MAESTRO!$A:$C,3,FALSE)+N(F15),""))</f>
        <v/>
      </c>
      <c r="J15" s="9">
        <f>IF(OR(C15="",IFERROR(VLOOKUP(A15,TIPOS!$A:$E,5,FALSE),"No")&lt;&gt;"Sí"),"",IFERROR(IF(VLOOKUP(C15,MAESTRO!$A:$E,5,FALSE)=0,"",VLOOKUP(C15,MAESTRO!$A:$E,5,FALSE)),""))</f>
        <v/>
      </c>
      <c r="K15" s="10">
        <f>IF(OR(J15="",N(I15)=0,IFERROR(VLOOKUP(A15,TIPOS!$A:$E,5,FALSE),"No")&lt;&gt;"Sí"),"",INT(I15/VLOOKUP(C15,MAESTRO!$A:$C,3,FALSE)))</f>
        <v/>
      </c>
      <c r="L15" s="9">
        <f>IF(AND(A15="",C15=""),"",IF(A15="","Falta el tipo",IF(C15="","Falta el código",IF(ISNA(MATCH(C15,MAESTRO!$A:$A,0)),"El código no está en el maestro",IF(AND(N(D15)&gt;0,N(VLOOKUP(C15,MAESTRO!$A:$D,4,FALSE))=0),"Ese código no tiene cajas por estiba: escribe cajas",IF(AND(IFERROR(VLOOKUP(A15,TIPOS!$A:$C,3,FALSE),"")="Sí",B15=""),"Falta el N° de entrega",IF(N(I15)&lt;=0,"Falta la cantidad","OK")))))))</f>
        <v/>
      </c>
    </row>
    <row r="16">
      <c r="A16" s="7" t="n"/>
      <c r="B16" s="7" t="n"/>
      <c r="C16" s="7" t="n"/>
      <c r="D16" s="8" t="n"/>
      <c r="E16" s="8" t="n"/>
      <c r="F16" s="8" t="n"/>
      <c r="G16" s="9">
        <f>IF(C16="","",IFERROR(VLOOKUP(C16,MAESTRO!$A:$B,2,FALSE),"—"))</f>
        <v/>
      </c>
      <c r="H16" s="9">
        <f>IF(A16="","",IFERROR(VLOOKUP(A16,TIPOS!$A:$B,2,FALSE),""))</f>
        <v/>
      </c>
      <c r="I16" s="10">
        <f>IF(C16="","",IFERROR((N(D16)*N(VLOOKUP(C16,MAESTRO!$A:$D,4,FALSE))+N(E16))*VLOOKUP(C16,MAESTRO!$A:$C,3,FALSE)+N(F16),""))</f>
        <v/>
      </c>
      <c r="J16" s="9">
        <f>IF(OR(C16="",IFERROR(VLOOKUP(A16,TIPOS!$A:$E,5,FALSE),"No")&lt;&gt;"Sí"),"",IFERROR(IF(VLOOKUP(C16,MAESTRO!$A:$E,5,FALSE)=0,"",VLOOKUP(C16,MAESTRO!$A:$E,5,FALSE)),""))</f>
        <v/>
      </c>
      <c r="K16" s="10">
        <f>IF(OR(J16="",N(I16)=0,IFERROR(VLOOKUP(A16,TIPOS!$A:$E,5,FALSE),"No")&lt;&gt;"Sí"),"",INT(I16/VLOOKUP(C16,MAESTRO!$A:$C,3,FALSE)))</f>
        <v/>
      </c>
      <c r="L16" s="9">
        <f>IF(AND(A16="",C16=""),"",IF(A16="","Falta el tipo",IF(C16="","Falta el código",IF(ISNA(MATCH(C16,MAESTRO!$A:$A,0)),"El código no está en el maestro",IF(AND(N(D16)&gt;0,N(VLOOKUP(C16,MAESTRO!$A:$D,4,FALSE))=0),"Ese código no tiene cajas por estiba: escribe cajas",IF(AND(IFERROR(VLOOKUP(A16,TIPOS!$A:$C,3,FALSE),"")="Sí",B16=""),"Falta el N° de entrega",IF(N(I16)&lt;=0,"Falta la cantidad","OK")))))))</f>
        <v/>
      </c>
    </row>
    <row r="17">
      <c r="A17" s="7" t="n"/>
      <c r="B17" s="7" t="n"/>
      <c r="C17" s="7" t="n"/>
      <c r="D17" s="8" t="n"/>
      <c r="E17" s="8" t="n"/>
      <c r="F17" s="8" t="n"/>
      <c r="G17" s="9">
        <f>IF(C17="","",IFERROR(VLOOKUP(C17,MAESTRO!$A:$B,2,FALSE),"—"))</f>
        <v/>
      </c>
      <c r="H17" s="9">
        <f>IF(A17="","",IFERROR(VLOOKUP(A17,TIPOS!$A:$B,2,FALSE),""))</f>
        <v/>
      </c>
      <c r="I17" s="10">
        <f>IF(C17="","",IFERROR((N(D17)*N(VLOOKUP(C17,MAESTRO!$A:$D,4,FALSE))+N(E17))*VLOOKUP(C17,MAESTRO!$A:$C,3,FALSE)+N(F17),""))</f>
        <v/>
      </c>
      <c r="J17" s="9">
        <f>IF(OR(C17="",IFERROR(VLOOKUP(A17,TIPOS!$A:$E,5,FALSE),"No")&lt;&gt;"Sí"),"",IFERROR(IF(VLOOKUP(C17,MAESTRO!$A:$E,5,FALSE)=0,"",VLOOKUP(C17,MAESTRO!$A:$E,5,FALSE)),""))</f>
        <v/>
      </c>
      <c r="K17" s="10">
        <f>IF(OR(J17="",N(I17)=0,IFERROR(VLOOKUP(A17,TIPOS!$A:$E,5,FALSE),"No")&lt;&gt;"Sí"),"",INT(I17/VLOOKUP(C17,MAESTRO!$A:$C,3,FALSE)))</f>
        <v/>
      </c>
      <c r="L17" s="9">
        <f>IF(AND(A17="",C17=""),"",IF(A17="","Falta el tipo",IF(C17="","Falta el código",IF(ISNA(MATCH(C17,MAESTRO!$A:$A,0)),"El código no está en el maestro",IF(AND(N(D17)&gt;0,N(VLOOKUP(C17,MAESTRO!$A:$D,4,FALSE))=0),"Ese código no tiene cajas por estiba: escribe cajas",IF(AND(IFERROR(VLOOKUP(A17,TIPOS!$A:$C,3,FALSE),"")="Sí",B17=""),"Falta el N° de entrega",IF(N(I17)&lt;=0,"Falta la cantidad","OK")))))))</f>
        <v/>
      </c>
    </row>
    <row r="18">
      <c r="A18" s="7" t="n"/>
      <c r="B18" s="7" t="n"/>
      <c r="C18" s="7" t="n"/>
      <c r="D18" s="8" t="n"/>
      <c r="E18" s="8" t="n"/>
      <c r="F18" s="8" t="n"/>
      <c r="G18" s="9">
        <f>IF(C18="","",IFERROR(VLOOKUP(C18,MAESTRO!$A:$B,2,FALSE),"—"))</f>
        <v/>
      </c>
      <c r="H18" s="9">
        <f>IF(A18="","",IFERROR(VLOOKUP(A18,TIPOS!$A:$B,2,FALSE),""))</f>
        <v/>
      </c>
      <c r="I18" s="10">
        <f>IF(C18="","",IFERROR((N(D18)*N(VLOOKUP(C18,MAESTRO!$A:$D,4,FALSE))+N(E18))*VLOOKUP(C18,MAESTRO!$A:$C,3,FALSE)+N(F18),""))</f>
        <v/>
      </c>
      <c r="J18" s="9">
        <f>IF(OR(C18="",IFERROR(VLOOKUP(A18,TIPOS!$A:$E,5,FALSE),"No")&lt;&gt;"Sí"),"",IFERROR(IF(VLOOKUP(C18,MAESTRO!$A:$E,5,FALSE)=0,"",VLOOKUP(C18,MAESTRO!$A:$E,5,FALSE)),""))</f>
        <v/>
      </c>
      <c r="K18" s="10">
        <f>IF(OR(J18="",N(I18)=0,IFERROR(VLOOKUP(A18,TIPOS!$A:$E,5,FALSE),"No")&lt;&gt;"Sí"),"",INT(I18/VLOOKUP(C18,MAESTRO!$A:$C,3,FALSE)))</f>
        <v/>
      </c>
      <c r="L18" s="9">
        <f>IF(AND(A18="",C18=""),"",IF(A18="","Falta el tipo",IF(C18="","Falta el código",IF(ISNA(MATCH(C18,MAESTRO!$A:$A,0)),"El código no está en el maestro",IF(AND(N(D18)&gt;0,N(VLOOKUP(C18,MAESTRO!$A:$D,4,FALSE))=0),"Ese código no tiene cajas por estiba: escribe cajas",IF(AND(IFERROR(VLOOKUP(A18,TIPOS!$A:$C,3,FALSE),"")="Sí",B18=""),"Falta el N° de entrega",IF(N(I18)&lt;=0,"Falta la cantidad","OK")))))))</f>
        <v/>
      </c>
    </row>
    <row r="19">
      <c r="A19" s="7" t="n"/>
      <c r="B19" s="7" t="n"/>
      <c r="C19" s="7" t="n"/>
      <c r="D19" s="8" t="n"/>
      <c r="E19" s="8" t="n"/>
      <c r="F19" s="8" t="n"/>
      <c r="G19" s="9">
        <f>IF(C19="","",IFERROR(VLOOKUP(C19,MAESTRO!$A:$B,2,FALSE),"—"))</f>
        <v/>
      </c>
      <c r="H19" s="9">
        <f>IF(A19="","",IFERROR(VLOOKUP(A19,TIPOS!$A:$B,2,FALSE),""))</f>
        <v/>
      </c>
      <c r="I19" s="10">
        <f>IF(C19="","",IFERROR((N(D19)*N(VLOOKUP(C19,MAESTRO!$A:$D,4,FALSE))+N(E19))*VLOOKUP(C19,MAESTRO!$A:$C,3,FALSE)+N(F19),""))</f>
        <v/>
      </c>
      <c r="J19" s="9">
        <f>IF(OR(C19="",IFERROR(VLOOKUP(A19,TIPOS!$A:$E,5,FALSE),"No")&lt;&gt;"Sí"),"",IFERROR(IF(VLOOKUP(C19,MAESTRO!$A:$E,5,FALSE)=0,"",VLOOKUP(C19,MAESTRO!$A:$E,5,FALSE)),""))</f>
        <v/>
      </c>
      <c r="K19" s="10">
        <f>IF(OR(J19="",N(I19)=0,IFERROR(VLOOKUP(A19,TIPOS!$A:$E,5,FALSE),"No")&lt;&gt;"Sí"),"",INT(I19/VLOOKUP(C19,MAESTRO!$A:$C,3,FALSE)))</f>
        <v/>
      </c>
      <c r="L19" s="9">
        <f>IF(AND(A19="",C19=""),"",IF(A19="","Falta el tipo",IF(C19="","Falta el código",IF(ISNA(MATCH(C19,MAESTRO!$A:$A,0)),"El código no está en el maestro",IF(AND(N(D19)&gt;0,N(VLOOKUP(C19,MAESTRO!$A:$D,4,FALSE))=0),"Ese código no tiene cajas por estiba: escribe cajas",IF(AND(IFERROR(VLOOKUP(A19,TIPOS!$A:$C,3,FALSE),"")="Sí",B19=""),"Falta el N° de entrega",IF(N(I19)&lt;=0,"Falta la cantidad","OK")))))))</f>
        <v/>
      </c>
    </row>
    <row r="20">
      <c r="A20" s="7" t="n"/>
      <c r="B20" s="7" t="n"/>
      <c r="C20" s="7" t="n"/>
      <c r="D20" s="8" t="n"/>
      <c r="E20" s="8" t="n"/>
      <c r="F20" s="8" t="n"/>
      <c r="G20" s="9">
        <f>IF(C20="","",IFERROR(VLOOKUP(C20,MAESTRO!$A:$B,2,FALSE),"—"))</f>
        <v/>
      </c>
      <c r="H20" s="9">
        <f>IF(A20="","",IFERROR(VLOOKUP(A20,TIPOS!$A:$B,2,FALSE),""))</f>
        <v/>
      </c>
      <c r="I20" s="10">
        <f>IF(C20="","",IFERROR((N(D20)*N(VLOOKUP(C20,MAESTRO!$A:$D,4,FALSE))+N(E20))*VLOOKUP(C20,MAESTRO!$A:$C,3,FALSE)+N(F20),""))</f>
        <v/>
      </c>
      <c r="J20" s="9">
        <f>IF(OR(C20="",IFERROR(VLOOKUP(A20,TIPOS!$A:$E,5,FALSE),"No")&lt;&gt;"Sí"),"",IFERROR(IF(VLOOKUP(C20,MAESTRO!$A:$E,5,FALSE)=0,"",VLOOKUP(C20,MAESTRO!$A:$E,5,FALSE)),""))</f>
        <v/>
      </c>
      <c r="K20" s="10">
        <f>IF(OR(J20="",N(I20)=0,IFERROR(VLOOKUP(A20,TIPOS!$A:$E,5,FALSE),"No")&lt;&gt;"Sí"),"",INT(I20/VLOOKUP(C20,MAESTRO!$A:$C,3,FALSE)))</f>
        <v/>
      </c>
      <c r="L20" s="9">
        <f>IF(AND(A20="",C20=""),"",IF(A20="","Falta el tipo",IF(C20="","Falta el código",IF(ISNA(MATCH(C20,MAESTRO!$A:$A,0)),"El código no está en el maestro",IF(AND(N(D20)&gt;0,N(VLOOKUP(C20,MAESTRO!$A:$D,4,FALSE))=0),"Ese código no tiene cajas por estiba: escribe cajas",IF(AND(IFERROR(VLOOKUP(A20,TIPOS!$A:$C,3,FALSE),"")="Sí",B20=""),"Falta el N° de entrega",IF(N(I20)&lt;=0,"Falta la cantidad","OK")))))))</f>
        <v/>
      </c>
    </row>
    <row r="21">
      <c r="A21" s="7" t="n"/>
      <c r="B21" s="7" t="n"/>
      <c r="C21" s="7" t="n"/>
      <c r="D21" s="8" t="n"/>
      <c r="E21" s="8" t="n"/>
      <c r="F21" s="8" t="n"/>
      <c r="G21" s="9">
        <f>IF(C21="","",IFERROR(VLOOKUP(C21,MAESTRO!$A:$B,2,FALSE),"—"))</f>
        <v/>
      </c>
      <c r="H21" s="9">
        <f>IF(A21="","",IFERROR(VLOOKUP(A21,TIPOS!$A:$B,2,FALSE),""))</f>
        <v/>
      </c>
      <c r="I21" s="10">
        <f>IF(C21="","",IFERROR((N(D21)*N(VLOOKUP(C21,MAESTRO!$A:$D,4,FALSE))+N(E21))*VLOOKUP(C21,MAESTRO!$A:$C,3,FALSE)+N(F21),""))</f>
        <v/>
      </c>
      <c r="J21" s="9">
        <f>IF(OR(C21="",IFERROR(VLOOKUP(A21,TIPOS!$A:$E,5,FALSE),"No")&lt;&gt;"Sí"),"",IFERROR(IF(VLOOKUP(C21,MAESTRO!$A:$E,5,FALSE)=0,"",VLOOKUP(C21,MAESTRO!$A:$E,5,FALSE)),""))</f>
        <v/>
      </c>
      <c r="K21" s="10">
        <f>IF(OR(J21="",N(I21)=0,IFERROR(VLOOKUP(A21,TIPOS!$A:$E,5,FALSE),"No")&lt;&gt;"Sí"),"",INT(I21/VLOOKUP(C21,MAESTRO!$A:$C,3,FALSE)))</f>
        <v/>
      </c>
      <c r="L21" s="9">
        <f>IF(AND(A21="",C21=""),"",IF(A21="","Falta el tipo",IF(C21="","Falta el código",IF(ISNA(MATCH(C21,MAESTRO!$A:$A,0)),"El código no está en el maestro",IF(AND(N(D21)&gt;0,N(VLOOKUP(C21,MAESTRO!$A:$D,4,FALSE))=0),"Ese código no tiene cajas por estiba: escribe cajas",IF(AND(IFERROR(VLOOKUP(A21,TIPOS!$A:$C,3,FALSE),"")="Sí",B21=""),"Falta el N° de entrega",IF(N(I21)&lt;=0,"Falta la cantidad","OK")))))))</f>
        <v/>
      </c>
    </row>
    <row r="22">
      <c r="A22" s="7" t="n"/>
      <c r="B22" s="7" t="n"/>
      <c r="C22" s="7" t="n"/>
      <c r="D22" s="8" t="n"/>
      <c r="E22" s="8" t="n"/>
      <c r="F22" s="8" t="n"/>
      <c r="G22" s="9">
        <f>IF(C22="","",IFERROR(VLOOKUP(C22,MAESTRO!$A:$B,2,FALSE),"—"))</f>
        <v/>
      </c>
      <c r="H22" s="9">
        <f>IF(A22="","",IFERROR(VLOOKUP(A22,TIPOS!$A:$B,2,FALSE),""))</f>
        <v/>
      </c>
      <c r="I22" s="10">
        <f>IF(C22="","",IFERROR((N(D22)*N(VLOOKUP(C22,MAESTRO!$A:$D,4,FALSE))+N(E22))*VLOOKUP(C22,MAESTRO!$A:$C,3,FALSE)+N(F22),""))</f>
        <v/>
      </c>
      <c r="J22" s="9">
        <f>IF(OR(C22="",IFERROR(VLOOKUP(A22,TIPOS!$A:$E,5,FALSE),"No")&lt;&gt;"Sí"),"",IFERROR(IF(VLOOKUP(C22,MAESTRO!$A:$E,5,FALSE)=0,"",VLOOKUP(C22,MAESTRO!$A:$E,5,FALSE)),""))</f>
        <v/>
      </c>
      <c r="K22" s="10">
        <f>IF(OR(J22="",N(I22)=0,IFERROR(VLOOKUP(A22,TIPOS!$A:$E,5,FALSE),"No")&lt;&gt;"Sí"),"",INT(I22/VLOOKUP(C22,MAESTRO!$A:$C,3,FALSE)))</f>
        <v/>
      </c>
      <c r="L22" s="9">
        <f>IF(AND(A22="",C22=""),"",IF(A22="","Falta el tipo",IF(C22="","Falta el código",IF(ISNA(MATCH(C22,MAESTRO!$A:$A,0)),"El código no está en el maestro",IF(AND(N(D22)&gt;0,N(VLOOKUP(C22,MAESTRO!$A:$D,4,FALSE))=0),"Ese código no tiene cajas por estiba: escribe cajas",IF(AND(IFERROR(VLOOKUP(A22,TIPOS!$A:$C,3,FALSE),"")="Sí",B22=""),"Falta el N° de entrega",IF(N(I22)&lt;=0,"Falta la cantidad","OK")))))))</f>
        <v/>
      </c>
    </row>
    <row r="23">
      <c r="A23" s="7" t="n"/>
      <c r="B23" s="7" t="n"/>
      <c r="C23" s="7" t="n"/>
      <c r="D23" s="8" t="n"/>
      <c r="E23" s="8" t="n"/>
      <c r="F23" s="8" t="n"/>
      <c r="G23" s="9">
        <f>IF(C23="","",IFERROR(VLOOKUP(C23,MAESTRO!$A:$B,2,FALSE),"—"))</f>
        <v/>
      </c>
      <c r="H23" s="9">
        <f>IF(A23="","",IFERROR(VLOOKUP(A23,TIPOS!$A:$B,2,FALSE),""))</f>
        <v/>
      </c>
      <c r="I23" s="10">
        <f>IF(C23="","",IFERROR((N(D23)*N(VLOOKUP(C23,MAESTRO!$A:$D,4,FALSE))+N(E23))*VLOOKUP(C23,MAESTRO!$A:$C,3,FALSE)+N(F23),""))</f>
        <v/>
      </c>
      <c r="J23" s="9">
        <f>IF(OR(C23="",IFERROR(VLOOKUP(A23,TIPOS!$A:$E,5,FALSE),"No")&lt;&gt;"Sí"),"",IFERROR(IF(VLOOKUP(C23,MAESTRO!$A:$E,5,FALSE)=0,"",VLOOKUP(C23,MAESTRO!$A:$E,5,FALSE)),""))</f>
        <v/>
      </c>
      <c r="K23" s="10">
        <f>IF(OR(J23="",N(I23)=0,IFERROR(VLOOKUP(A23,TIPOS!$A:$E,5,FALSE),"No")&lt;&gt;"Sí"),"",INT(I23/VLOOKUP(C23,MAESTRO!$A:$C,3,FALSE)))</f>
        <v/>
      </c>
      <c r="L23" s="9">
        <f>IF(AND(A23="",C23=""),"",IF(A23="","Falta el tipo",IF(C23="","Falta el código",IF(ISNA(MATCH(C23,MAESTRO!$A:$A,0)),"El código no está en el maestro",IF(AND(N(D23)&gt;0,N(VLOOKUP(C23,MAESTRO!$A:$D,4,FALSE))=0),"Ese código no tiene cajas por estiba: escribe cajas",IF(AND(IFERROR(VLOOKUP(A23,TIPOS!$A:$C,3,FALSE),"")="Sí",B23=""),"Falta el N° de entrega",IF(N(I23)&lt;=0,"Falta la cantidad","OK")))))))</f>
        <v/>
      </c>
    </row>
    <row r="24">
      <c r="A24" s="7" t="n"/>
      <c r="B24" s="7" t="n"/>
      <c r="C24" s="7" t="n"/>
      <c r="D24" s="8" t="n"/>
      <c r="E24" s="8" t="n"/>
      <c r="F24" s="8" t="n"/>
      <c r="G24" s="9">
        <f>IF(C24="","",IFERROR(VLOOKUP(C24,MAESTRO!$A:$B,2,FALSE),"—"))</f>
        <v/>
      </c>
      <c r="H24" s="9">
        <f>IF(A24="","",IFERROR(VLOOKUP(A24,TIPOS!$A:$B,2,FALSE),""))</f>
        <v/>
      </c>
      <c r="I24" s="10">
        <f>IF(C24="","",IFERROR((N(D24)*N(VLOOKUP(C24,MAESTRO!$A:$D,4,FALSE))+N(E24))*VLOOKUP(C24,MAESTRO!$A:$C,3,FALSE)+N(F24),""))</f>
        <v/>
      </c>
      <c r="J24" s="9">
        <f>IF(OR(C24="",IFERROR(VLOOKUP(A24,TIPOS!$A:$E,5,FALSE),"No")&lt;&gt;"Sí"),"",IFERROR(IF(VLOOKUP(C24,MAESTRO!$A:$E,5,FALSE)=0,"",VLOOKUP(C24,MAESTRO!$A:$E,5,FALSE)),""))</f>
        <v/>
      </c>
      <c r="K24" s="10">
        <f>IF(OR(J24="",N(I24)=0,IFERROR(VLOOKUP(A24,TIPOS!$A:$E,5,FALSE),"No")&lt;&gt;"Sí"),"",INT(I24/VLOOKUP(C24,MAESTRO!$A:$C,3,FALSE)))</f>
        <v/>
      </c>
      <c r="L24" s="9">
        <f>IF(AND(A24="",C24=""),"",IF(A24="","Falta el tipo",IF(C24="","Falta el código",IF(ISNA(MATCH(C24,MAESTRO!$A:$A,0)),"El código no está en el maestro",IF(AND(N(D24)&gt;0,N(VLOOKUP(C24,MAESTRO!$A:$D,4,FALSE))=0),"Ese código no tiene cajas por estiba: escribe cajas",IF(AND(IFERROR(VLOOKUP(A24,TIPOS!$A:$C,3,FALSE),"")="Sí",B24=""),"Falta el N° de entrega",IF(N(I24)&lt;=0,"Falta la cantidad","OK")))))))</f>
        <v/>
      </c>
    </row>
    <row r="25">
      <c r="A25" s="7" t="n"/>
      <c r="B25" s="7" t="n"/>
      <c r="C25" s="7" t="n"/>
      <c r="D25" s="8" t="n"/>
      <c r="E25" s="8" t="n"/>
      <c r="F25" s="8" t="n"/>
      <c r="G25" s="9">
        <f>IF(C25="","",IFERROR(VLOOKUP(C25,MAESTRO!$A:$B,2,FALSE),"—"))</f>
        <v/>
      </c>
      <c r="H25" s="9">
        <f>IF(A25="","",IFERROR(VLOOKUP(A25,TIPOS!$A:$B,2,FALSE),""))</f>
        <v/>
      </c>
      <c r="I25" s="10">
        <f>IF(C25="","",IFERROR((N(D25)*N(VLOOKUP(C25,MAESTRO!$A:$D,4,FALSE))+N(E25))*VLOOKUP(C25,MAESTRO!$A:$C,3,FALSE)+N(F25),""))</f>
        <v/>
      </c>
      <c r="J25" s="9">
        <f>IF(OR(C25="",IFERROR(VLOOKUP(A25,TIPOS!$A:$E,5,FALSE),"No")&lt;&gt;"Sí"),"",IFERROR(IF(VLOOKUP(C25,MAESTRO!$A:$E,5,FALSE)=0,"",VLOOKUP(C25,MAESTRO!$A:$E,5,FALSE)),""))</f>
        <v/>
      </c>
      <c r="K25" s="10">
        <f>IF(OR(J25="",N(I25)=0,IFERROR(VLOOKUP(A25,TIPOS!$A:$E,5,FALSE),"No")&lt;&gt;"Sí"),"",INT(I25/VLOOKUP(C25,MAESTRO!$A:$C,3,FALSE)))</f>
        <v/>
      </c>
      <c r="L25" s="9">
        <f>IF(AND(A25="",C25=""),"",IF(A25="","Falta el tipo",IF(C25="","Falta el código",IF(ISNA(MATCH(C25,MAESTRO!$A:$A,0)),"El código no está en el maestro",IF(AND(N(D25)&gt;0,N(VLOOKUP(C25,MAESTRO!$A:$D,4,FALSE))=0),"Ese código no tiene cajas por estiba: escribe cajas",IF(AND(IFERROR(VLOOKUP(A25,TIPOS!$A:$C,3,FALSE),"")="Sí",B25=""),"Falta el N° de entrega",IF(N(I25)&lt;=0,"Falta la cantidad","OK")))))))</f>
        <v/>
      </c>
    </row>
    <row r="26">
      <c r="A26" s="7" t="n"/>
      <c r="B26" s="7" t="n"/>
      <c r="C26" s="7" t="n"/>
      <c r="D26" s="8" t="n"/>
      <c r="E26" s="8" t="n"/>
      <c r="F26" s="8" t="n"/>
      <c r="G26" s="9">
        <f>IF(C26="","",IFERROR(VLOOKUP(C26,MAESTRO!$A:$B,2,FALSE),"—"))</f>
        <v/>
      </c>
      <c r="H26" s="9">
        <f>IF(A26="","",IFERROR(VLOOKUP(A26,TIPOS!$A:$B,2,FALSE),""))</f>
        <v/>
      </c>
      <c r="I26" s="10">
        <f>IF(C26="","",IFERROR((N(D26)*N(VLOOKUP(C26,MAESTRO!$A:$D,4,FALSE))+N(E26))*VLOOKUP(C26,MAESTRO!$A:$C,3,FALSE)+N(F26),""))</f>
        <v/>
      </c>
      <c r="J26" s="9">
        <f>IF(OR(C26="",IFERROR(VLOOKUP(A26,TIPOS!$A:$E,5,FALSE),"No")&lt;&gt;"Sí"),"",IFERROR(IF(VLOOKUP(C26,MAESTRO!$A:$E,5,FALSE)=0,"",VLOOKUP(C26,MAESTRO!$A:$E,5,FALSE)),""))</f>
        <v/>
      </c>
      <c r="K26" s="10">
        <f>IF(OR(J26="",N(I26)=0,IFERROR(VLOOKUP(A26,TIPOS!$A:$E,5,FALSE),"No")&lt;&gt;"Sí"),"",INT(I26/VLOOKUP(C26,MAESTRO!$A:$C,3,FALSE)))</f>
        <v/>
      </c>
      <c r="L26" s="9">
        <f>IF(AND(A26="",C26=""),"",IF(A26="","Falta el tipo",IF(C26="","Falta el código",IF(ISNA(MATCH(C26,MAESTRO!$A:$A,0)),"El código no está en el maestro",IF(AND(N(D26)&gt;0,N(VLOOKUP(C26,MAESTRO!$A:$D,4,FALSE))=0),"Ese código no tiene cajas por estiba: escribe cajas",IF(AND(IFERROR(VLOOKUP(A26,TIPOS!$A:$C,3,FALSE),"")="Sí",B26=""),"Falta el N° de entrega",IF(N(I26)&lt;=0,"Falta la cantidad","OK")))))))</f>
        <v/>
      </c>
    </row>
    <row r="27">
      <c r="A27" s="7" t="n"/>
      <c r="B27" s="7" t="n"/>
      <c r="C27" s="7" t="n"/>
      <c r="D27" s="8" t="n"/>
      <c r="E27" s="8" t="n"/>
      <c r="F27" s="8" t="n"/>
      <c r="G27" s="9">
        <f>IF(C27="","",IFERROR(VLOOKUP(C27,MAESTRO!$A:$B,2,FALSE),"—"))</f>
        <v/>
      </c>
      <c r="H27" s="9">
        <f>IF(A27="","",IFERROR(VLOOKUP(A27,TIPOS!$A:$B,2,FALSE),""))</f>
        <v/>
      </c>
      <c r="I27" s="10">
        <f>IF(C27="","",IFERROR((N(D27)*N(VLOOKUP(C27,MAESTRO!$A:$D,4,FALSE))+N(E27))*VLOOKUP(C27,MAESTRO!$A:$C,3,FALSE)+N(F27),""))</f>
        <v/>
      </c>
      <c r="J27" s="9">
        <f>IF(OR(C27="",IFERROR(VLOOKUP(A27,TIPOS!$A:$E,5,FALSE),"No")&lt;&gt;"Sí"),"",IFERROR(IF(VLOOKUP(C27,MAESTRO!$A:$E,5,FALSE)=0,"",VLOOKUP(C27,MAESTRO!$A:$E,5,FALSE)),""))</f>
        <v/>
      </c>
      <c r="K27" s="10">
        <f>IF(OR(J27="",N(I27)=0,IFERROR(VLOOKUP(A27,TIPOS!$A:$E,5,FALSE),"No")&lt;&gt;"Sí"),"",INT(I27/VLOOKUP(C27,MAESTRO!$A:$C,3,FALSE)))</f>
        <v/>
      </c>
      <c r="L27" s="9">
        <f>IF(AND(A27="",C27=""),"",IF(A27="","Falta el tipo",IF(C27="","Falta el código",IF(ISNA(MATCH(C27,MAESTRO!$A:$A,0)),"El código no está en el maestro",IF(AND(N(D27)&gt;0,N(VLOOKUP(C27,MAESTRO!$A:$D,4,FALSE))=0),"Ese código no tiene cajas por estiba: escribe cajas",IF(AND(IFERROR(VLOOKUP(A27,TIPOS!$A:$C,3,FALSE),"")="Sí",B27=""),"Falta el N° de entrega",IF(N(I27)&lt;=0,"Falta la cantidad","OK")))))))</f>
        <v/>
      </c>
    </row>
    <row r="28">
      <c r="A28" s="7" t="n"/>
      <c r="B28" s="7" t="n"/>
      <c r="C28" s="7" t="n"/>
      <c r="D28" s="8" t="n"/>
      <c r="E28" s="8" t="n"/>
      <c r="F28" s="8" t="n"/>
      <c r="G28" s="9">
        <f>IF(C28="","",IFERROR(VLOOKUP(C28,MAESTRO!$A:$B,2,FALSE),"—"))</f>
        <v/>
      </c>
      <c r="H28" s="9">
        <f>IF(A28="","",IFERROR(VLOOKUP(A28,TIPOS!$A:$B,2,FALSE),""))</f>
        <v/>
      </c>
      <c r="I28" s="10">
        <f>IF(C28="","",IFERROR((N(D28)*N(VLOOKUP(C28,MAESTRO!$A:$D,4,FALSE))+N(E28))*VLOOKUP(C28,MAESTRO!$A:$C,3,FALSE)+N(F28),""))</f>
        <v/>
      </c>
      <c r="J28" s="9">
        <f>IF(OR(C28="",IFERROR(VLOOKUP(A28,TIPOS!$A:$E,5,FALSE),"No")&lt;&gt;"Sí"),"",IFERROR(IF(VLOOKUP(C28,MAESTRO!$A:$E,5,FALSE)=0,"",VLOOKUP(C28,MAESTRO!$A:$E,5,FALSE)),""))</f>
        <v/>
      </c>
      <c r="K28" s="10">
        <f>IF(OR(J28="",N(I28)=0,IFERROR(VLOOKUP(A28,TIPOS!$A:$E,5,FALSE),"No")&lt;&gt;"Sí"),"",INT(I28/VLOOKUP(C28,MAESTRO!$A:$C,3,FALSE)))</f>
        <v/>
      </c>
      <c r="L28" s="9">
        <f>IF(AND(A28="",C28=""),"",IF(A28="","Falta el tipo",IF(C28="","Falta el código",IF(ISNA(MATCH(C28,MAESTRO!$A:$A,0)),"El código no está en el maestro",IF(AND(N(D28)&gt;0,N(VLOOKUP(C28,MAESTRO!$A:$D,4,FALSE))=0),"Ese código no tiene cajas por estiba: escribe cajas",IF(AND(IFERROR(VLOOKUP(A28,TIPOS!$A:$C,3,FALSE),"")="Sí",B28=""),"Falta el N° de entrega",IF(N(I28)&lt;=0,"Falta la cantidad","OK")))))))</f>
        <v/>
      </c>
    </row>
    <row r="29">
      <c r="A29" s="7" t="n"/>
      <c r="B29" s="7" t="n"/>
      <c r="C29" s="7" t="n"/>
      <c r="D29" s="8" t="n"/>
      <c r="E29" s="8" t="n"/>
      <c r="F29" s="8" t="n"/>
      <c r="G29" s="9">
        <f>IF(C29="","",IFERROR(VLOOKUP(C29,MAESTRO!$A:$B,2,FALSE),"—"))</f>
        <v/>
      </c>
      <c r="H29" s="9">
        <f>IF(A29="","",IFERROR(VLOOKUP(A29,TIPOS!$A:$B,2,FALSE),""))</f>
        <v/>
      </c>
      <c r="I29" s="10">
        <f>IF(C29="","",IFERROR((N(D29)*N(VLOOKUP(C29,MAESTRO!$A:$D,4,FALSE))+N(E29))*VLOOKUP(C29,MAESTRO!$A:$C,3,FALSE)+N(F29),""))</f>
        <v/>
      </c>
      <c r="J29" s="9">
        <f>IF(OR(C29="",IFERROR(VLOOKUP(A29,TIPOS!$A:$E,5,FALSE),"No")&lt;&gt;"Sí"),"",IFERROR(IF(VLOOKUP(C29,MAESTRO!$A:$E,5,FALSE)=0,"",VLOOKUP(C29,MAESTRO!$A:$E,5,FALSE)),""))</f>
        <v/>
      </c>
      <c r="K29" s="10">
        <f>IF(OR(J29="",N(I29)=0,IFERROR(VLOOKUP(A29,TIPOS!$A:$E,5,FALSE),"No")&lt;&gt;"Sí"),"",INT(I29/VLOOKUP(C29,MAESTRO!$A:$C,3,FALSE)))</f>
        <v/>
      </c>
      <c r="L29" s="9">
        <f>IF(AND(A29="",C29=""),"",IF(A29="","Falta el tipo",IF(C29="","Falta el código",IF(ISNA(MATCH(C29,MAESTRO!$A:$A,0)),"El código no está en el maestro",IF(AND(N(D29)&gt;0,N(VLOOKUP(C29,MAESTRO!$A:$D,4,FALSE))=0),"Ese código no tiene cajas por estiba: escribe cajas",IF(AND(IFERROR(VLOOKUP(A29,TIPOS!$A:$C,3,FALSE),"")="Sí",B29=""),"Falta el N° de entrega",IF(N(I29)&lt;=0,"Falta la cantidad","OK")))))))</f>
        <v/>
      </c>
    </row>
    <row r="30">
      <c r="A30" s="7" t="n"/>
      <c r="B30" s="7" t="n"/>
      <c r="C30" s="7" t="n"/>
      <c r="D30" s="8" t="n"/>
      <c r="E30" s="8" t="n"/>
      <c r="F30" s="8" t="n"/>
      <c r="G30" s="9">
        <f>IF(C30="","",IFERROR(VLOOKUP(C30,MAESTRO!$A:$B,2,FALSE),"—"))</f>
        <v/>
      </c>
      <c r="H30" s="9">
        <f>IF(A30="","",IFERROR(VLOOKUP(A30,TIPOS!$A:$B,2,FALSE),""))</f>
        <v/>
      </c>
      <c r="I30" s="10">
        <f>IF(C30="","",IFERROR((N(D30)*N(VLOOKUP(C30,MAESTRO!$A:$D,4,FALSE))+N(E30))*VLOOKUP(C30,MAESTRO!$A:$C,3,FALSE)+N(F30),""))</f>
        <v/>
      </c>
      <c r="J30" s="9">
        <f>IF(OR(C30="",IFERROR(VLOOKUP(A30,TIPOS!$A:$E,5,FALSE),"No")&lt;&gt;"Sí"),"",IFERROR(IF(VLOOKUP(C30,MAESTRO!$A:$E,5,FALSE)=0,"",VLOOKUP(C30,MAESTRO!$A:$E,5,FALSE)),""))</f>
        <v/>
      </c>
      <c r="K30" s="10">
        <f>IF(OR(J30="",N(I30)=0,IFERROR(VLOOKUP(A30,TIPOS!$A:$E,5,FALSE),"No")&lt;&gt;"Sí"),"",INT(I30/VLOOKUP(C30,MAESTRO!$A:$C,3,FALSE)))</f>
        <v/>
      </c>
      <c r="L30" s="9">
        <f>IF(AND(A30="",C30=""),"",IF(A30="","Falta el tipo",IF(C30="","Falta el código",IF(ISNA(MATCH(C30,MAESTRO!$A:$A,0)),"El código no está en el maestro",IF(AND(N(D30)&gt;0,N(VLOOKUP(C30,MAESTRO!$A:$D,4,FALSE))=0),"Ese código no tiene cajas por estiba: escribe cajas",IF(AND(IFERROR(VLOOKUP(A30,TIPOS!$A:$C,3,FALSE),"")="Sí",B30=""),"Falta el N° de entrega",IF(N(I30)&lt;=0,"Falta la cantidad","OK")))))))</f>
        <v/>
      </c>
    </row>
    <row r="31">
      <c r="A31" s="7" t="n"/>
      <c r="B31" s="7" t="n"/>
      <c r="C31" s="7" t="n"/>
      <c r="D31" s="8" t="n"/>
      <c r="E31" s="8" t="n"/>
      <c r="F31" s="8" t="n"/>
      <c r="G31" s="9">
        <f>IF(C31="","",IFERROR(VLOOKUP(C31,MAESTRO!$A:$B,2,FALSE),"—"))</f>
        <v/>
      </c>
      <c r="H31" s="9">
        <f>IF(A31="","",IFERROR(VLOOKUP(A31,TIPOS!$A:$B,2,FALSE),""))</f>
        <v/>
      </c>
      <c r="I31" s="10">
        <f>IF(C31="","",IFERROR((N(D31)*N(VLOOKUP(C31,MAESTRO!$A:$D,4,FALSE))+N(E31))*VLOOKUP(C31,MAESTRO!$A:$C,3,FALSE)+N(F31),""))</f>
        <v/>
      </c>
      <c r="J31" s="9">
        <f>IF(OR(C31="",IFERROR(VLOOKUP(A31,TIPOS!$A:$E,5,FALSE),"No")&lt;&gt;"Sí"),"",IFERROR(IF(VLOOKUP(C31,MAESTRO!$A:$E,5,FALSE)=0,"",VLOOKUP(C31,MAESTRO!$A:$E,5,FALSE)),""))</f>
        <v/>
      </c>
      <c r="K31" s="10">
        <f>IF(OR(J31="",N(I31)=0,IFERROR(VLOOKUP(A31,TIPOS!$A:$E,5,FALSE),"No")&lt;&gt;"Sí"),"",INT(I31/VLOOKUP(C31,MAESTRO!$A:$C,3,FALSE)))</f>
        <v/>
      </c>
      <c r="L31" s="9">
        <f>IF(AND(A31="",C31=""),"",IF(A31="","Falta el tipo",IF(C31="","Falta el código",IF(ISNA(MATCH(C31,MAESTRO!$A:$A,0)),"El código no está en el maestro",IF(AND(N(D31)&gt;0,N(VLOOKUP(C31,MAESTRO!$A:$D,4,FALSE))=0),"Ese código no tiene cajas por estiba: escribe cajas",IF(AND(IFERROR(VLOOKUP(A31,TIPOS!$A:$C,3,FALSE),"")="Sí",B31=""),"Falta el N° de entrega",IF(N(I31)&lt;=0,"Falta la cantidad","OK")))))))</f>
        <v/>
      </c>
    </row>
    <row r="32">
      <c r="A32" s="7" t="n"/>
      <c r="B32" s="7" t="n"/>
      <c r="C32" s="7" t="n"/>
      <c r="D32" s="8" t="n"/>
      <c r="E32" s="8" t="n"/>
      <c r="F32" s="8" t="n"/>
      <c r="G32" s="9">
        <f>IF(C32="","",IFERROR(VLOOKUP(C32,MAESTRO!$A:$B,2,FALSE),"—"))</f>
        <v/>
      </c>
      <c r="H32" s="9">
        <f>IF(A32="","",IFERROR(VLOOKUP(A32,TIPOS!$A:$B,2,FALSE),""))</f>
        <v/>
      </c>
      <c r="I32" s="10">
        <f>IF(C32="","",IFERROR((N(D32)*N(VLOOKUP(C32,MAESTRO!$A:$D,4,FALSE))+N(E32))*VLOOKUP(C32,MAESTRO!$A:$C,3,FALSE)+N(F32),""))</f>
        <v/>
      </c>
      <c r="J32" s="9">
        <f>IF(OR(C32="",IFERROR(VLOOKUP(A32,TIPOS!$A:$E,5,FALSE),"No")&lt;&gt;"Sí"),"",IFERROR(IF(VLOOKUP(C32,MAESTRO!$A:$E,5,FALSE)=0,"",VLOOKUP(C32,MAESTRO!$A:$E,5,FALSE)),""))</f>
        <v/>
      </c>
      <c r="K32" s="10">
        <f>IF(OR(J32="",N(I32)=0,IFERROR(VLOOKUP(A32,TIPOS!$A:$E,5,FALSE),"No")&lt;&gt;"Sí"),"",INT(I32/VLOOKUP(C32,MAESTRO!$A:$C,3,FALSE)))</f>
        <v/>
      </c>
      <c r="L32" s="9">
        <f>IF(AND(A32="",C32=""),"",IF(A32="","Falta el tipo",IF(C32="","Falta el código",IF(ISNA(MATCH(C32,MAESTRO!$A:$A,0)),"El código no está en el maestro",IF(AND(N(D32)&gt;0,N(VLOOKUP(C32,MAESTRO!$A:$D,4,FALSE))=0),"Ese código no tiene cajas por estiba: escribe cajas",IF(AND(IFERROR(VLOOKUP(A32,TIPOS!$A:$C,3,FALSE),"")="Sí",B32=""),"Falta el N° de entrega",IF(N(I32)&lt;=0,"Falta la cantidad","OK")))))))</f>
        <v/>
      </c>
    </row>
    <row r="33">
      <c r="A33" s="7" t="n"/>
      <c r="B33" s="7" t="n"/>
      <c r="C33" s="7" t="n"/>
      <c r="D33" s="8" t="n"/>
      <c r="E33" s="8" t="n"/>
      <c r="F33" s="8" t="n"/>
      <c r="G33" s="9">
        <f>IF(C33="","",IFERROR(VLOOKUP(C33,MAESTRO!$A:$B,2,FALSE),"—"))</f>
        <v/>
      </c>
      <c r="H33" s="9">
        <f>IF(A33="","",IFERROR(VLOOKUP(A33,TIPOS!$A:$B,2,FALSE),""))</f>
        <v/>
      </c>
      <c r="I33" s="10">
        <f>IF(C33="","",IFERROR((N(D33)*N(VLOOKUP(C33,MAESTRO!$A:$D,4,FALSE))+N(E33))*VLOOKUP(C33,MAESTRO!$A:$C,3,FALSE)+N(F33),""))</f>
        <v/>
      </c>
      <c r="J33" s="9">
        <f>IF(OR(C33="",IFERROR(VLOOKUP(A33,TIPOS!$A:$E,5,FALSE),"No")&lt;&gt;"Sí"),"",IFERROR(IF(VLOOKUP(C33,MAESTRO!$A:$E,5,FALSE)=0,"",VLOOKUP(C33,MAESTRO!$A:$E,5,FALSE)),""))</f>
        <v/>
      </c>
      <c r="K33" s="10">
        <f>IF(OR(J33="",N(I33)=0,IFERROR(VLOOKUP(A33,TIPOS!$A:$E,5,FALSE),"No")&lt;&gt;"Sí"),"",INT(I33/VLOOKUP(C33,MAESTRO!$A:$C,3,FALSE)))</f>
        <v/>
      </c>
      <c r="L33" s="9">
        <f>IF(AND(A33="",C33=""),"",IF(A33="","Falta el tipo",IF(C33="","Falta el código",IF(ISNA(MATCH(C33,MAESTRO!$A:$A,0)),"El código no está en el maestro",IF(AND(N(D33)&gt;0,N(VLOOKUP(C33,MAESTRO!$A:$D,4,FALSE))=0),"Ese código no tiene cajas por estiba: escribe cajas",IF(AND(IFERROR(VLOOKUP(A33,TIPOS!$A:$C,3,FALSE),"")="Sí",B33=""),"Falta el N° de entrega",IF(N(I33)&lt;=0,"Falta la cantidad","OK")))))))</f>
        <v/>
      </c>
    </row>
    <row r="34">
      <c r="A34" s="7" t="n"/>
      <c r="B34" s="7" t="n"/>
      <c r="C34" s="7" t="n"/>
      <c r="D34" s="8" t="n"/>
      <c r="E34" s="8" t="n"/>
      <c r="F34" s="8" t="n"/>
      <c r="G34" s="9">
        <f>IF(C34="","",IFERROR(VLOOKUP(C34,MAESTRO!$A:$B,2,FALSE),"—"))</f>
        <v/>
      </c>
      <c r="H34" s="9">
        <f>IF(A34="","",IFERROR(VLOOKUP(A34,TIPOS!$A:$B,2,FALSE),""))</f>
        <v/>
      </c>
      <c r="I34" s="10">
        <f>IF(C34="","",IFERROR((N(D34)*N(VLOOKUP(C34,MAESTRO!$A:$D,4,FALSE))+N(E34))*VLOOKUP(C34,MAESTRO!$A:$C,3,FALSE)+N(F34),""))</f>
        <v/>
      </c>
      <c r="J34" s="9">
        <f>IF(OR(C34="",IFERROR(VLOOKUP(A34,TIPOS!$A:$E,5,FALSE),"No")&lt;&gt;"Sí"),"",IFERROR(IF(VLOOKUP(C34,MAESTRO!$A:$E,5,FALSE)=0,"",VLOOKUP(C34,MAESTRO!$A:$E,5,FALSE)),""))</f>
        <v/>
      </c>
      <c r="K34" s="10">
        <f>IF(OR(J34="",N(I34)=0,IFERROR(VLOOKUP(A34,TIPOS!$A:$E,5,FALSE),"No")&lt;&gt;"Sí"),"",INT(I34/VLOOKUP(C34,MAESTRO!$A:$C,3,FALSE)))</f>
        <v/>
      </c>
      <c r="L34" s="9">
        <f>IF(AND(A34="",C34=""),"",IF(A34="","Falta el tipo",IF(C34="","Falta el código",IF(ISNA(MATCH(C34,MAESTRO!$A:$A,0)),"El código no está en el maestro",IF(AND(N(D34)&gt;0,N(VLOOKUP(C34,MAESTRO!$A:$D,4,FALSE))=0),"Ese código no tiene cajas por estiba: escribe cajas",IF(AND(IFERROR(VLOOKUP(A34,TIPOS!$A:$C,3,FALSE),"")="Sí",B34=""),"Falta el N° de entrega",IF(N(I34)&lt;=0,"Falta la cantidad","OK")))))))</f>
        <v/>
      </c>
    </row>
    <row r="35">
      <c r="A35" s="7" t="n"/>
      <c r="B35" s="7" t="n"/>
      <c r="C35" s="7" t="n"/>
      <c r="D35" s="8" t="n"/>
      <c r="E35" s="8" t="n"/>
      <c r="F35" s="8" t="n"/>
      <c r="G35" s="9">
        <f>IF(C35="","",IFERROR(VLOOKUP(C35,MAESTRO!$A:$B,2,FALSE),"—"))</f>
        <v/>
      </c>
      <c r="H35" s="9">
        <f>IF(A35="","",IFERROR(VLOOKUP(A35,TIPOS!$A:$B,2,FALSE),""))</f>
        <v/>
      </c>
      <c r="I35" s="10">
        <f>IF(C35="","",IFERROR((N(D35)*N(VLOOKUP(C35,MAESTRO!$A:$D,4,FALSE))+N(E35))*VLOOKUP(C35,MAESTRO!$A:$C,3,FALSE)+N(F35),""))</f>
        <v/>
      </c>
      <c r="J35" s="9">
        <f>IF(OR(C35="",IFERROR(VLOOKUP(A35,TIPOS!$A:$E,5,FALSE),"No")&lt;&gt;"Sí"),"",IFERROR(IF(VLOOKUP(C35,MAESTRO!$A:$E,5,FALSE)=0,"",VLOOKUP(C35,MAESTRO!$A:$E,5,FALSE)),""))</f>
        <v/>
      </c>
      <c r="K35" s="10">
        <f>IF(OR(J35="",N(I35)=0,IFERROR(VLOOKUP(A35,TIPOS!$A:$E,5,FALSE),"No")&lt;&gt;"Sí"),"",INT(I35/VLOOKUP(C35,MAESTRO!$A:$C,3,FALSE)))</f>
        <v/>
      </c>
      <c r="L35" s="9">
        <f>IF(AND(A35="",C35=""),"",IF(A35="","Falta el tipo",IF(C35="","Falta el código",IF(ISNA(MATCH(C35,MAESTRO!$A:$A,0)),"El código no está en el maestro",IF(AND(N(D35)&gt;0,N(VLOOKUP(C35,MAESTRO!$A:$D,4,FALSE))=0),"Ese código no tiene cajas por estiba: escribe cajas",IF(AND(IFERROR(VLOOKUP(A35,TIPOS!$A:$C,3,FALSE),"")="Sí",B35=""),"Falta el N° de entrega",IF(N(I35)&lt;=0,"Falta la cantidad","OK")))))))</f>
        <v/>
      </c>
    </row>
    <row r="36">
      <c r="A36" s="7" t="n"/>
      <c r="B36" s="7" t="n"/>
      <c r="C36" s="7" t="n"/>
      <c r="D36" s="8" t="n"/>
      <c r="E36" s="8" t="n"/>
      <c r="F36" s="8" t="n"/>
      <c r="G36" s="9">
        <f>IF(C36="","",IFERROR(VLOOKUP(C36,MAESTRO!$A:$B,2,FALSE),"—"))</f>
        <v/>
      </c>
      <c r="H36" s="9">
        <f>IF(A36="","",IFERROR(VLOOKUP(A36,TIPOS!$A:$B,2,FALSE),""))</f>
        <v/>
      </c>
      <c r="I36" s="10">
        <f>IF(C36="","",IFERROR((N(D36)*N(VLOOKUP(C36,MAESTRO!$A:$D,4,FALSE))+N(E36))*VLOOKUP(C36,MAESTRO!$A:$C,3,FALSE)+N(F36),""))</f>
        <v/>
      </c>
      <c r="J36" s="9">
        <f>IF(OR(C36="",IFERROR(VLOOKUP(A36,TIPOS!$A:$E,5,FALSE),"No")&lt;&gt;"Sí"),"",IFERROR(IF(VLOOKUP(C36,MAESTRO!$A:$E,5,FALSE)=0,"",VLOOKUP(C36,MAESTRO!$A:$E,5,FALSE)),""))</f>
        <v/>
      </c>
      <c r="K36" s="10">
        <f>IF(OR(J36="",N(I36)=0,IFERROR(VLOOKUP(A36,TIPOS!$A:$E,5,FALSE),"No")&lt;&gt;"Sí"),"",INT(I36/VLOOKUP(C36,MAESTRO!$A:$C,3,FALSE)))</f>
        <v/>
      </c>
      <c r="L36" s="9">
        <f>IF(AND(A36="",C36=""),"",IF(A36="","Falta el tipo",IF(C36="","Falta el código",IF(ISNA(MATCH(C36,MAESTRO!$A:$A,0)),"El código no está en el maestro",IF(AND(N(D36)&gt;0,N(VLOOKUP(C36,MAESTRO!$A:$D,4,FALSE))=0),"Ese código no tiene cajas por estiba: escribe cajas",IF(AND(IFERROR(VLOOKUP(A36,TIPOS!$A:$C,3,FALSE),"")="Sí",B36=""),"Falta el N° de entrega",IF(N(I36)&lt;=0,"Falta la cantidad","OK")))))))</f>
        <v/>
      </c>
    </row>
    <row r="37">
      <c r="A37" s="7" t="n"/>
      <c r="B37" s="7" t="n"/>
      <c r="C37" s="7" t="n"/>
      <c r="D37" s="8" t="n"/>
      <c r="E37" s="8" t="n"/>
      <c r="F37" s="8" t="n"/>
      <c r="G37" s="9">
        <f>IF(C37="","",IFERROR(VLOOKUP(C37,MAESTRO!$A:$B,2,FALSE),"—"))</f>
        <v/>
      </c>
      <c r="H37" s="9">
        <f>IF(A37="","",IFERROR(VLOOKUP(A37,TIPOS!$A:$B,2,FALSE),""))</f>
        <v/>
      </c>
      <c r="I37" s="10">
        <f>IF(C37="","",IFERROR((N(D37)*N(VLOOKUP(C37,MAESTRO!$A:$D,4,FALSE))+N(E37))*VLOOKUP(C37,MAESTRO!$A:$C,3,FALSE)+N(F37),""))</f>
        <v/>
      </c>
      <c r="J37" s="9">
        <f>IF(OR(C37="",IFERROR(VLOOKUP(A37,TIPOS!$A:$E,5,FALSE),"No")&lt;&gt;"Sí"),"",IFERROR(IF(VLOOKUP(C37,MAESTRO!$A:$E,5,FALSE)=0,"",VLOOKUP(C37,MAESTRO!$A:$E,5,FALSE)),""))</f>
        <v/>
      </c>
      <c r="K37" s="10">
        <f>IF(OR(J37="",N(I37)=0,IFERROR(VLOOKUP(A37,TIPOS!$A:$E,5,FALSE),"No")&lt;&gt;"Sí"),"",INT(I37/VLOOKUP(C37,MAESTRO!$A:$C,3,FALSE)))</f>
        <v/>
      </c>
      <c r="L37" s="9">
        <f>IF(AND(A37="",C37=""),"",IF(A37="","Falta el tipo",IF(C37="","Falta el código",IF(ISNA(MATCH(C37,MAESTRO!$A:$A,0)),"El código no está en el maestro",IF(AND(N(D37)&gt;0,N(VLOOKUP(C37,MAESTRO!$A:$D,4,FALSE))=0),"Ese código no tiene cajas por estiba: escribe cajas",IF(AND(IFERROR(VLOOKUP(A37,TIPOS!$A:$C,3,FALSE),"")="Sí",B37=""),"Falta el N° de entrega",IF(N(I37)&lt;=0,"Falta la cantidad","OK")))))))</f>
        <v/>
      </c>
    </row>
    <row r="38">
      <c r="A38" s="7" t="n"/>
      <c r="B38" s="7" t="n"/>
      <c r="C38" s="7" t="n"/>
      <c r="D38" s="8" t="n"/>
      <c r="E38" s="8" t="n"/>
      <c r="F38" s="8" t="n"/>
      <c r="G38" s="9">
        <f>IF(C38="","",IFERROR(VLOOKUP(C38,MAESTRO!$A:$B,2,FALSE),"—"))</f>
        <v/>
      </c>
      <c r="H38" s="9">
        <f>IF(A38="","",IFERROR(VLOOKUP(A38,TIPOS!$A:$B,2,FALSE),""))</f>
        <v/>
      </c>
      <c r="I38" s="10">
        <f>IF(C38="","",IFERROR((N(D38)*N(VLOOKUP(C38,MAESTRO!$A:$D,4,FALSE))+N(E38))*VLOOKUP(C38,MAESTRO!$A:$C,3,FALSE)+N(F38),""))</f>
        <v/>
      </c>
      <c r="J38" s="9">
        <f>IF(OR(C38="",IFERROR(VLOOKUP(A38,TIPOS!$A:$E,5,FALSE),"No")&lt;&gt;"Sí"),"",IFERROR(IF(VLOOKUP(C38,MAESTRO!$A:$E,5,FALSE)=0,"",VLOOKUP(C38,MAESTRO!$A:$E,5,FALSE)),""))</f>
        <v/>
      </c>
      <c r="K38" s="10">
        <f>IF(OR(J38="",N(I38)=0,IFERROR(VLOOKUP(A38,TIPOS!$A:$E,5,FALSE),"No")&lt;&gt;"Sí"),"",INT(I38/VLOOKUP(C38,MAESTRO!$A:$C,3,FALSE)))</f>
        <v/>
      </c>
      <c r="L38" s="9">
        <f>IF(AND(A38="",C38=""),"",IF(A38="","Falta el tipo",IF(C38="","Falta el código",IF(ISNA(MATCH(C38,MAESTRO!$A:$A,0)),"El código no está en el maestro",IF(AND(N(D38)&gt;0,N(VLOOKUP(C38,MAESTRO!$A:$D,4,FALSE))=0),"Ese código no tiene cajas por estiba: escribe cajas",IF(AND(IFERROR(VLOOKUP(A38,TIPOS!$A:$C,3,FALSE),"")="Sí",B38=""),"Falta el N° de entrega",IF(N(I38)&lt;=0,"Falta la cantidad","OK")))))))</f>
        <v/>
      </c>
    </row>
    <row r="39">
      <c r="A39" s="7" t="n"/>
      <c r="B39" s="7" t="n"/>
      <c r="C39" s="7" t="n"/>
      <c r="D39" s="8" t="n"/>
      <c r="E39" s="8" t="n"/>
      <c r="F39" s="8" t="n"/>
      <c r="G39" s="9">
        <f>IF(C39="","",IFERROR(VLOOKUP(C39,MAESTRO!$A:$B,2,FALSE),"—"))</f>
        <v/>
      </c>
      <c r="H39" s="9">
        <f>IF(A39="","",IFERROR(VLOOKUP(A39,TIPOS!$A:$B,2,FALSE),""))</f>
        <v/>
      </c>
      <c r="I39" s="10">
        <f>IF(C39="","",IFERROR((N(D39)*N(VLOOKUP(C39,MAESTRO!$A:$D,4,FALSE))+N(E39))*VLOOKUP(C39,MAESTRO!$A:$C,3,FALSE)+N(F39),""))</f>
        <v/>
      </c>
      <c r="J39" s="9">
        <f>IF(OR(C39="",IFERROR(VLOOKUP(A39,TIPOS!$A:$E,5,FALSE),"No")&lt;&gt;"Sí"),"",IFERROR(IF(VLOOKUP(C39,MAESTRO!$A:$E,5,FALSE)=0,"",VLOOKUP(C39,MAESTRO!$A:$E,5,FALSE)),""))</f>
        <v/>
      </c>
      <c r="K39" s="10">
        <f>IF(OR(J39="",N(I39)=0,IFERROR(VLOOKUP(A39,TIPOS!$A:$E,5,FALSE),"No")&lt;&gt;"Sí"),"",INT(I39/VLOOKUP(C39,MAESTRO!$A:$C,3,FALSE)))</f>
        <v/>
      </c>
      <c r="L39" s="9">
        <f>IF(AND(A39="",C39=""),"",IF(A39="","Falta el tipo",IF(C39="","Falta el código",IF(ISNA(MATCH(C39,MAESTRO!$A:$A,0)),"El código no está en el maestro",IF(AND(N(D39)&gt;0,N(VLOOKUP(C39,MAESTRO!$A:$D,4,FALSE))=0),"Ese código no tiene cajas por estiba: escribe cajas",IF(AND(IFERROR(VLOOKUP(A39,TIPOS!$A:$C,3,FALSE),"")="Sí",B39=""),"Falta el N° de entrega",IF(N(I39)&lt;=0,"Falta la cantidad","OK")))))))</f>
        <v/>
      </c>
    </row>
    <row r="40">
      <c r="A40" s="7" t="n"/>
      <c r="B40" s="7" t="n"/>
      <c r="C40" s="7" t="n"/>
      <c r="D40" s="8" t="n"/>
      <c r="E40" s="8" t="n"/>
      <c r="F40" s="8" t="n"/>
      <c r="G40" s="9">
        <f>IF(C40="","",IFERROR(VLOOKUP(C40,MAESTRO!$A:$B,2,FALSE),"—"))</f>
        <v/>
      </c>
      <c r="H40" s="9">
        <f>IF(A40="","",IFERROR(VLOOKUP(A40,TIPOS!$A:$B,2,FALSE),""))</f>
        <v/>
      </c>
      <c r="I40" s="10">
        <f>IF(C40="","",IFERROR((N(D40)*N(VLOOKUP(C40,MAESTRO!$A:$D,4,FALSE))+N(E40))*VLOOKUP(C40,MAESTRO!$A:$C,3,FALSE)+N(F40),""))</f>
        <v/>
      </c>
      <c r="J40" s="9">
        <f>IF(OR(C40="",IFERROR(VLOOKUP(A40,TIPOS!$A:$E,5,FALSE),"No")&lt;&gt;"Sí"),"",IFERROR(IF(VLOOKUP(C40,MAESTRO!$A:$E,5,FALSE)=0,"",VLOOKUP(C40,MAESTRO!$A:$E,5,FALSE)),""))</f>
        <v/>
      </c>
      <c r="K40" s="10">
        <f>IF(OR(J40="",N(I40)=0,IFERROR(VLOOKUP(A40,TIPOS!$A:$E,5,FALSE),"No")&lt;&gt;"Sí"),"",INT(I40/VLOOKUP(C40,MAESTRO!$A:$C,3,FALSE)))</f>
        <v/>
      </c>
      <c r="L40" s="9">
        <f>IF(AND(A40="",C40=""),"",IF(A40="","Falta el tipo",IF(C40="","Falta el código",IF(ISNA(MATCH(C40,MAESTRO!$A:$A,0)),"El código no está en el maestro",IF(AND(N(D40)&gt;0,N(VLOOKUP(C40,MAESTRO!$A:$D,4,FALSE))=0),"Ese código no tiene cajas por estiba: escribe cajas",IF(AND(IFERROR(VLOOKUP(A40,TIPOS!$A:$C,3,FALSE),"")="Sí",B40=""),"Falta el N° de entrega",IF(N(I40)&lt;=0,"Falta la cantidad","OK")))))))</f>
        <v/>
      </c>
    </row>
    <row r="41">
      <c r="A41" s="7" t="n"/>
      <c r="B41" s="7" t="n"/>
      <c r="C41" s="7" t="n"/>
      <c r="D41" s="8" t="n"/>
      <c r="E41" s="8" t="n"/>
      <c r="F41" s="8" t="n"/>
      <c r="G41" s="9">
        <f>IF(C41="","",IFERROR(VLOOKUP(C41,MAESTRO!$A:$B,2,FALSE),"—"))</f>
        <v/>
      </c>
      <c r="H41" s="9">
        <f>IF(A41="","",IFERROR(VLOOKUP(A41,TIPOS!$A:$B,2,FALSE),""))</f>
        <v/>
      </c>
      <c r="I41" s="10">
        <f>IF(C41="","",IFERROR((N(D41)*N(VLOOKUP(C41,MAESTRO!$A:$D,4,FALSE))+N(E41))*VLOOKUP(C41,MAESTRO!$A:$C,3,FALSE)+N(F41),""))</f>
        <v/>
      </c>
      <c r="J41" s="9">
        <f>IF(OR(C41="",IFERROR(VLOOKUP(A41,TIPOS!$A:$E,5,FALSE),"No")&lt;&gt;"Sí"),"",IFERROR(IF(VLOOKUP(C41,MAESTRO!$A:$E,5,FALSE)=0,"",VLOOKUP(C41,MAESTRO!$A:$E,5,FALSE)),""))</f>
        <v/>
      </c>
      <c r="K41" s="10">
        <f>IF(OR(J41="",N(I41)=0,IFERROR(VLOOKUP(A41,TIPOS!$A:$E,5,FALSE),"No")&lt;&gt;"Sí"),"",INT(I41/VLOOKUP(C41,MAESTRO!$A:$C,3,FALSE)))</f>
        <v/>
      </c>
      <c r="L41" s="9">
        <f>IF(AND(A41="",C41=""),"",IF(A41="","Falta el tipo",IF(C41="","Falta el código",IF(ISNA(MATCH(C41,MAESTRO!$A:$A,0)),"El código no está en el maestro",IF(AND(N(D41)&gt;0,N(VLOOKUP(C41,MAESTRO!$A:$D,4,FALSE))=0),"Ese código no tiene cajas por estiba: escribe cajas",IF(AND(IFERROR(VLOOKUP(A41,TIPOS!$A:$C,3,FALSE),"")="Sí",B41=""),"Falta el N° de entrega",IF(N(I41)&lt;=0,"Falta la cantidad","OK")))))))</f>
        <v/>
      </c>
    </row>
    <row r="42">
      <c r="A42" s="7" t="n"/>
      <c r="B42" s="7" t="n"/>
      <c r="C42" s="7" t="n"/>
      <c r="D42" s="8" t="n"/>
      <c r="E42" s="8" t="n"/>
      <c r="F42" s="8" t="n"/>
      <c r="G42" s="9">
        <f>IF(C42="","",IFERROR(VLOOKUP(C42,MAESTRO!$A:$B,2,FALSE),"—"))</f>
        <v/>
      </c>
      <c r="H42" s="9">
        <f>IF(A42="","",IFERROR(VLOOKUP(A42,TIPOS!$A:$B,2,FALSE),""))</f>
        <v/>
      </c>
      <c r="I42" s="10">
        <f>IF(C42="","",IFERROR((N(D42)*N(VLOOKUP(C42,MAESTRO!$A:$D,4,FALSE))+N(E42))*VLOOKUP(C42,MAESTRO!$A:$C,3,FALSE)+N(F42),""))</f>
        <v/>
      </c>
      <c r="J42" s="9">
        <f>IF(OR(C42="",IFERROR(VLOOKUP(A42,TIPOS!$A:$E,5,FALSE),"No")&lt;&gt;"Sí"),"",IFERROR(IF(VLOOKUP(C42,MAESTRO!$A:$E,5,FALSE)=0,"",VLOOKUP(C42,MAESTRO!$A:$E,5,FALSE)),""))</f>
        <v/>
      </c>
      <c r="K42" s="10">
        <f>IF(OR(J42="",N(I42)=0,IFERROR(VLOOKUP(A42,TIPOS!$A:$E,5,FALSE),"No")&lt;&gt;"Sí"),"",INT(I42/VLOOKUP(C42,MAESTRO!$A:$C,3,FALSE)))</f>
        <v/>
      </c>
      <c r="L42" s="9">
        <f>IF(AND(A42="",C42=""),"",IF(A42="","Falta el tipo",IF(C42="","Falta el código",IF(ISNA(MATCH(C42,MAESTRO!$A:$A,0)),"El código no está en el maestro",IF(AND(N(D42)&gt;0,N(VLOOKUP(C42,MAESTRO!$A:$D,4,FALSE))=0),"Ese código no tiene cajas por estiba: escribe cajas",IF(AND(IFERROR(VLOOKUP(A42,TIPOS!$A:$C,3,FALSE),"")="Sí",B42=""),"Falta el N° de entrega",IF(N(I42)&lt;=0,"Falta la cantidad","OK")))))))</f>
        <v/>
      </c>
    </row>
    <row r="43">
      <c r="A43" s="7" t="n"/>
      <c r="B43" s="7" t="n"/>
      <c r="C43" s="7" t="n"/>
      <c r="D43" s="8" t="n"/>
      <c r="E43" s="8" t="n"/>
      <c r="F43" s="8" t="n"/>
      <c r="G43" s="9">
        <f>IF(C43="","",IFERROR(VLOOKUP(C43,MAESTRO!$A:$B,2,FALSE),"—"))</f>
        <v/>
      </c>
      <c r="H43" s="9">
        <f>IF(A43="","",IFERROR(VLOOKUP(A43,TIPOS!$A:$B,2,FALSE),""))</f>
        <v/>
      </c>
      <c r="I43" s="10">
        <f>IF(C43="","",IFERROR((N(D43)*N(VLOOKUP(C43,MAESTRO!$A:$D,4,FALSE))+N(E43))*VLOOKUP(C43,MAESTRO!$A:$C,3,FALSE)+N(F43),""))</f>
        <v/>
      </c>
      <c r="J43" s="9">
        <f>IF(OR(C43="",IFERROR(VLOOKUP(A43,TIPOS!$A:$E,5,FALSE),"No")&lt;&gt;"Sí"),"",IFERROR(IF(VLOOKUP(C43,MAESTRO!$A:$E,5,FALSE)=0,"",VLOOKUP(C43,MAESTRO!$A:$E,5,FALSE)),""))</f>
        <v/>
      </c>
      <c r="K43" s="10">
        <f>IF(OR(J43="",N(I43)=0,IFERROR(VLOOKUP(A43,TIPOS!$A:$E,5,FALSE),"No")&lt;&gt;"Sí"),"",INT(I43/VLOOKUP(C43,MAESTRO!$A:$C,3,FALSE)))</f>
        <v/>
      </c>
      <c r="L43" s="9">
        <f>IF(AND(A43="",C43=""),"",IF(A43="","Falta el tipo",IF(C43="","Falta el código",IF(ISNA(MATCH(C43,MAESTRO!$A:$A,0)),"El código no está en el maestro",IF(AND(N(D43)&gt;0,N(VLOOKUP(C43,MAESTRO!$A:$D,4,FALSE))=0),"Ese código no tiene cajas por estiba: escribe cajas",IF(AND(IFERROR(VLOOKUP(A43,TIPOS!$A:$C,3,FALSE),"")="Sí",B43=""),"Falta el N° de entrega",IF(N(I43)&lt;=0,"Falta la cantidad","OK")))))))</f>
        <v/>
      </c>
    </row>
    <row r="44">
      <c r="A44" s="7" t="n"/>
      <c r="B44" s="7" t="n"/>
      <c r="C44" s="7" t="n"/>
      <c r="D44" s="8" t="n"/>
      <c r="E44" s="8" t="n"/>
      <c r="F44" s="8" t="n"/>
      <c r="G44" s="9">
        <f>IF(C44="","",IFERROR(VLOOKUP(C44,MAESTRO!$A:$B,2,FALSE),"—"))</f>
        <v/>
      </c>
      <c r="H44" s="9">
        <f>IF(A44="","",IFERROR(VLOOKUP(A44,TIPOS!$A:$B,2,FALSE),""))</f>
        <v/>
      </c>
      <c r="I44" s="10">
        <f>IF(C44="","",IFERROR((N(D44)*N(VLOOKUP(C44,MAESTRO!$A:$D,4,FALSE))+N(E44))*VLOOKUP(C44,MAESTRO!$A:$C,3,FALSE)+N(F44),""))</f>
        <v/>
      </c>
      <c r="J44" s="9">
        <f>IF(OR(C44="",IFERROR(VLOOKUP(A44,TIPOS!$A:$E,5,FALSE),"No")&lt;&gt;"Sí"),"",IFERROR(IF(VLOOKUP(C44,MAESTRO!$A:$E,5,FALSE)=0,"",VLOOKUP(C44,MAESTRO!$A:$E,5,FALSE)),""))</f>
        <v/>
      </c>
      <c r="K44" s="10">
        <f>IF(OR(J44="",N(I44)=0,IFERROR(VLOOKUP(A44,TIPOS!$A:$E,5,FALSE),"No")&lt;&gt;"Sí"),"",INT(I44/VLOOKUP(C44,MAESTRO!$A:$C,3,FALSE)))</f>
        <v/>
      </c>
      <c r="L44" s="9">
        <f>IF(AND(A44="",C44=""),"",IF(A44="","Falta el tipo",IF(C44="","Falta el código",IF(ISNA(MATCH(C44,MAESTRO!$A:$A,0)),"El código no está en el maestro",IF(AND(N(D44)&gt;0,N(VLOOKUP(C44,MAESTRO!$A:$D,4,FALSE))=0),"Ese código no tiene cajas por estiba: escribe cajas",IF(AND(IFERROR(VLOOKUP(A44,TIPOS!$A:$C,3,FALSE),"")="Sí",B44=""),"Falta el N° de entrega",IF(N(I44)&lt;=0,"Falta la cantidad","OK")))))))</f>
        <v/>
      </c>
    </row>
    <row r="45">
      <c r="A45" s="7" t="n"/>
      <c r="B45" s="7" t="n"/>
      <c r="C45" s="7" t="n"/>
      <c r="D45" s="8" t="n"/>
      <c r="E45" s="8" t="n"/>
      <c r="F45" s="8" t="n"/>
      <c r="G45" s="9">
        <f>IF(C45="","",IFERROR(VLOOKUP(C45,MAESTRO!$A:$B,2,FALSE),"—"))</f>
        <v/>
      </c>
      <c r="H45" s="9">
        <f>IF(A45="","",IFERROR(VLOOKUP(A45,TIPOS!$A:$B,2,FALSE),""))</f>
        <v/>
      </c>
      <c r="I45" s="10">
        <f>IF(C45="","",IFERROR((N(D45)*N(VLOOKUP(C45,MAESTRO!$A:$D,4,FALSE))+N(E45))*VLOOKUP(C45,MAESTRO!$A:$C,3,FALSE)+N(F45),""))</f>
        <v/>
      </c>
      <c r="J45" s="9">
        <f>IF(OR(C45="",IFERROR(VLOOKUP(A45,TIPOS!$A:$E,5,FALSE),"No")&lt;&gt;"Sí"),"",IFERROR(IF(VLOOKUP(C45,MAESTRO!$A:$E,5,FALSE)=0,"",VLOOKUP(C45,MAESTRO!$A:$E,5,FALSE)),""))</f>
        <v/>
      </c>
      <c r="K45" s="10">
        <f>IF(OR(J45="",N(I45)=0,IFERROR(VLOOKUP(A45,TIPOS!$A:$E,5,FALSE),"No")&lt;&gt;"Sí"),"",INT(I45/VLOOKUP(C45,MAESTRO!$A:$C,3,FALSE)))</f>
        <v/>
      </c>
      <c r="L45" s="9">
        <f>IF(AND(A45="",C45=""),"",IF(A45="","Falta el tipo",IF(C45="","Falta el código",IF(ISNA(MATCH(C45,MAESTRO!$A:$A,0)),"El código no está en el maestro",IF(AND(N(D45)&gt;0,N(VLOOKUP(C45,MAESTRO!$A:$D,4,FALSE))=0),"Ese código no tiene cajas por estiba: escribe cajas",IF(AND(IFERROR(VLOOKUP(A45,TIPOS!$A:$C,3,FALSE),"")="Sí",B45=""),"Falta el N° de entrega",IF(N(I45)&lt;=0,"Falta la cantidad","OK")))))))</f>
        <v/>
      </c>
    </row>
    <row r="46">
      <c r="A46" s="7" t="n"/>
      <c r="B46" s="7" t="n"/>
      <c r="C46" s="7" t="n"/>
      <c r="D46" s="8" t="n"/>
      <c r="E46" s="8" t="n"/>
      <c r="F46" s="8" t="n"/>
      <c r="G46" s="9">
        <f>IF(C46="","",IFERROR(VLOOKUP(C46,MAESTRO!$A:$B,2,FALSE),"—"))</f>
        <v/>
      </c>
      <c r="H46" s="9">
        <f>IF(A46="","",IFERROR(VLOOKUP(A46,TIPOS!$A:$B,2,FALSE),""))</f>
        <v/>
      </c>
      <c r="I46" s="10">
        <f>IF(C46="","",IFERROR((N(D46)*N(VLOOKUP(C46,MAESTRO!$A:$D,4,FALSE))+N(E46))*VLOOKUP(C46,MAESTRO!$A:$C,3,FALSE)+N(F46),""))</f>
        <v/>
      </c>
      <c r="J46" s="9">
        <f>IF(OR(C46="",IFERROR(VLOOKUP(A46,TIPOS!$A:$E,5,FALSE),"No")&lt;&gt;"Sí"),"",IFERROR(IF(VLOOKUP(C46,MAESTRO!$A:$E,5,FALSE)=0,"",VLOOKUP(C46,MAESTRO!$A:$E,5,FALSE)),""))</f>
        <v/>
      </c>
      <c r="K46" s="10">
        <f>IF(OR(J46="",N(I46)=0,IFERROR(VLOOKUP(A46,TIPOS!$A:$E,5,FALSE),"No")&lt;&gt;"Sí"),"",INT(I46/VLOOKUP(C46,MAESTRO!$A:$C,3,FALSE)))</f>
        <v/>
      </c>
      <c r="L46" s="9">
        <f>IF(AND(A46="",C46=""),"",IF(A46="","Falta el tipo",IF(C46="","Falta el código",IF(ISNA(MATCH(C46,MAESTRO!$A:$A,0)),"El código no está en el maestro",IF(AND(N(D46)&gt;0,N(VLOOKUP(C46,MAESTRO!$A:$D,4,FALSE))=0),"Ese código no tiene cajas por estiba: escribe cajas",IF(AND(IFERROR(VLOOKUP(A46,TIPOS!$A:$C,3,FALSE),"")="Sí",B46=""),"Falta el N° de entrega",IF(N(I46)&lt;=0,"Falta la cantidad","OK")))))))</f>
        <v/>
      </c>
    </row>
    <row r="47">
      <c r="A47" s="7" t="n"/>
      <c r="B47" s="7" t="n"/>
      <c r="C47" s="7" t="n"/>
      <c r="D47" s="8" t="n"/>
      <c r="E47" s="8" t="n"/>
      <c r="F47" s="8" t="n"/>
      <c r="G47" s="9">
        <f>IF(C47="","",IFERROR(VLOOKUP(C47,MAESTRO!$A:$B,2,FALSE),"—"))</f>
        <v/>
      </c>
      <c r="H47" s="9">
        <f>IF(A47="","",IFERROR(VLOOKUP(A47,TIPOS!$A:$B,2,FALSE),""))</f>
        <v/>
      </c>
      <c r="I47" s="10">
        <f>IF(C47="","",IFERROR((N(D47)*N(VLOOKUP(C47,MAESTRO!$A:$D,4,FALSE))+N(E47))*VLOOKUP(C47,MAESTRO!$A:$C,3,FALSE)+N(F47),""))</f>
        <v/>
      </c>
      <c r="J47" s="9">
        <f>IF(OR(C47="",IFERROR(VLOOKUP(A47,TIPOS!$A:$E,5,FALSE),"No")&lt;&gt;"Sí"),"",IFERROR(IF(VLOOKUP(C47,MAESTRO!$A:$E,5,FALSE)=0,"",VLOOKUP(C47,MAESTRO!$A:$E,5,FALSE)),""))</f>
        <v/>
      </c>
      <c r="K47" s="10">
        <f>IF(OR(J47="",N(I47)=0,IFERROR(VLOOKUP(A47,TIPOS!$A:$E,5,FALSE),"No")&lt;&gt;"Sí"),"",INT(I47/VLOOKUP(C47,MAESTRO!$A:$C,3,FALSE)))</f>
        <v/>
      </c>
      <c r="L47" s="9">
        <f>IF(AND(A47="",C47=""),"",IF(A47="","Falta el tipo",IF(C47="","Falta el código",IF(ISNA(MATCH(C47,MAESTRO!$A:$A,0)),"El código no está en el maestro",IF(AND(N(D47)&gt;0,N(VLOOKUP(C47,MAESTRO!$A:$D,4,FALSE))=0),"Ese código no tiene cajas por estiba: escribe cajas",IF(AND(IFERROR(VLOOKUP(A47,TIPOS!$A:$C,3,FALSE),"")="Sí",B47=""),"Falta el N° de entrega",IF(N(I47)&lt;=0,"Falta la cantidad","OK")))))))</f>
        <v/>
      </c>
    </row>
    <row r="48">
      <c r="A48" s="7" t="n"/>
      <c r="B48" s="7" t="n"/>
      <c r="C48" s="7" t="n"/>
      <c r="D48" s="8" t="n"/>
      <c r="E48" s="8" t="n"/>
      <c r="F48" s="8" t="n"/>
      <c r="G48" s="9">
        <f>IF(C48="","",IFERROR(VLOOKUP(C48,MAESTRO!$A:$B,2,FALSE),"—"))</f>
        <v/>
      </c>
      <c r="H48" s="9">
        <f>IF(A48="","",IFERROR(VLOOKUP(A48,TIPOS!$A:$B,2,FALSE),""))</f>
        <v/>
      </c>
      <c r="I48" s="10">
        <f>IF(C48="","",IFERROR((N(D48)*N(VLOOKUP(C48,MAESTRO!$A:$D,4,FALSE))+N(E48))*VLOOKUP(C48,MAESTRO!$A:$C,3,FALSE)+N(F48),""))</f>
        <v/>
      </c>
      <c r="J48" s="9">
        <f>IF(OR(C48="",IFERROR(VLOOKUP(A48,TIPOS!$A:$E,5,FALSE),"No")&lt;&gt;"Sí"),"",IFERROR(IF(VLOOKUP(C48,MAESTRO!$A:$E,5,FALSE)=0,"",VLOOKUP(C48,MAESTRO!$A:$E,5,FALSE)),""))</f>
        <v/>
      </c>
      <c r="K48" s="10">
        <f>IF(OR(J48="",N(I48)=0,IFERROR(VLOOKUP(A48,TIPOS!$A:$E,5,FALSE),"No")&lt;&gt;"Sí"),"",INT(I48/VLOOKUP(C48,MAESTRO!$A:$C,3,FALSE)))</f>
        <v/>
      </c>
      <c r="L48" s="9">
        <f>IF(AND(A48="",C48=""),"",IF(A48="","Falta el tipo",IF(C48="","Falta el código",IF(ISNA(MATCH(C48,MAESTRO!$A:$A,0)),"El código no está en el maestro",IF(AND(N(D48)&gt;0,N(VLOOKUP(C48,MAESTRO!$A:$D,4,FALSE))=0),"Ese código no tiene cajas por estiba: escribe cajas",IF(AND(IFERROR(VLOOKUP(A48,TIPOS!$A:$C,3,FALSE),"")="Sí",B48=""),"Falta el N° de entrega",IF(N(I48)&lt;=0,"Falta la cantidad","OK")))))))</f>
        <v/>
      </c>
    </row>
    <row r="49">
      <c r="A49" s="7" t="n"/>
      <c r="B49" s="7" t="n"/>
      <c r="C49" s="7" t="n"/>
      <c r="D49" s="8" t="n"/>
      <c r="E49" s="8" t="n"/>
      <c r="F49" s="8" t="n"/>
      <c r="G49" s="9">
        <f>IF(C49="","",IFERROR(VLOOKUP(C49,MAESTRO!$A:$B,2,FALSE),"—"))</f>
        <v/>
      </c>
      <c r="H49" s="9">
        <f>IF(A49="","",IFERROR(VLOOKUP(A49,TIPOS!$A:$B,2,FALSE),""))</f>
        <v/>
      </c>
      <c r="I49" s="10">
        <f>IF(C49="","",IFERROR((N(D49)*N(VLOOKUP(C49,MAESTRO!$A:$D,4,FALSE))+N(E49))*VLOOKUP(C49,MAESTRO!$A:$C,3,FALSE)+N(F49),""))</f>
        <v/>
      </c>
      <c r="J49" s="9">
        <f>IF(OR(C49="",IFERROR(VLOOKUP(A49,TIPOS!$A:$E,5,FALSE),"No")&lt;&gt;"Sí"),"",IFERROR(IF(VLOOKUP(C49,MAESTRO!$A:$E,5,FALSE)=0,"",VLOOKUP(C49,MAESTRO!$A:$E,5,FALSE)),""))</f>
        <v/>
      </c>
      <c r="K49" s="10">
        <f>IF(OR(J49="",N(I49)=0,IFERROR(VLOOKUP(A49,TIPOS!$A:$E,5,FALSE),"No")&lt;&gt;"Sí"),"",INT(I49/VLOOKUP(C49,MAESTRO!$A:$C,3,FALSE)))</f>
        <v/>
      </c>
      <c r="L49" s="9">
        <f>IF(AND(A49="",C49=""),"",IF(A49="","Falta el tipo",IF(C49="","Falta el código",IF(ISNA(MATCH(C49,MAESTRO!$A:$A,0)),"El código no está en el maestro",IF(AND(N(D49)&gt;0,N(VLOOKUP(C49,MAESTRO!$A:$D,4,FALSE))=0),"Ese código no tiene cajas por estiba: escribe cajas",IF(AND(IFERROR(VLOOKUP(A49,TIPOS!$A:$C,3,FALSE),"")="Sí",B49=""),"Falta el N° de entrega",IF(N(I49)&lt;=0,"Falta la cantidad","OK")))))))</f>
        <v/>
      </c>
    </row>
    <row r="50">
      <c r="A50" s="7" t="n"/>
      <c r="B50" s="7" t="n"/>
      <c r="C50" s="7" t="n"/>
      <c r="D50" s="8" t="n"/>
      <c r="E50" s="8" t="n"/>
      <c r="F50" s="8" t="n"/>
      <c r="G50" s="9">
        <f>IF(C50="","",IFERROR(VLOOKUP(C50,MAESTRO!$A:$B,2,FALSE),"—"))</f>
        <v/>
      </c>
      <c r="H50" s="9">
        <f>IF(A50="","",IFERROR(VLOOKUP(A50,TIPOS!$A:$B,2,FALSE),""))</f>
        <v/>
      </c>
      <c r="I50" s="10">
        <f>IF(C50="","",IFERROR((N(D50)*N(VLOOKUP(C50,MAESTRO!$A:$D,4,FALSE))+N(E50))*VLOOKUP(C50,MAESTRO!$A:$C,3,FALSE)+N(F50),""))</f>
        <v/>
      </c>
      <c r="J50" s="9">
        <f>IF(OR(C50="",IFERROR(VLOOKUP(A50,TIPOS!$A:$E,5,FALSE),"No")&lt;&gt;"Sí"),"",IFERROR(IF(VLOOKUP(C50,MAESTRO!$A:$E,5,FALSE)=0,"",VLOOKUP(C50,MAESTRO!$A:$E,5,FALSE)),""))</f>
        <v/>
      </c>
      <c r="K50" s="10">
        <f>IF(OR(J50="",N(I50)=0,IFERROR(VLOOKUP(A50,TIPOS!$A:$E,5,FALSE),"No")&lt;&gt;"Sí"),"",INT(I50/VLOOKUP(C50,MAESTRO!$A:$C,3,FALSE)))</f>
        <v/>
      </c>
      <c r="L50" s="9">
        <f>IF(AND(A50="",C50=""),"",IF(A50="","Falta el tipo",IF(C50="","Falta el código",IF(ISNA(MATCH(C50,MAESTRO!$A:$A,0)),"El código no está en el maestro",IF(AND(N(D50)&gt;0,N(VLOOKUP(C50,MAESTRO!$A:$D,4,FALSE))=0),"Ese código no tiene cajas por estiba: escribe cajas",IF(AND(IFERROR(VLOOKUP(A50,TIPOS!$A:$C,3,FALSE),"")="Sí",B50=""),"Falta el N° de entrega",IF(N(I50)&lt;=0,"Falta la cantidad","OK")))))))</f>
        <v/>
      </c>
    </row>
    <row r="51">
      <c r="A51" s="7" t="n"/>
      <c r="B51" s="7" t="n"/>
      <c r="C51" s="7" t="n"/>
      <c r="D51" s="8" t="n"/>
      <c r="E51" s="8" t="n"/>
      <c r="F51" s="8" t="n"/>
      <c r="G51" s="9">
        <f>IF(C51="","",IFERROR(VLOOKUP(C51,MAESTRO!$A:$B,2,FALSE),"—"))</f>
        <v/>
      </c>
      <c r="H51" s="9">
        <f>IF(A51="","",IFERROR(VLOOKUP(A51,TIPOS!$A:$B,2,FALSE),""))</f>
        <v/>
      </c>
      <c r="I51" s="10">
        <f>IF(C51="","",IFERROR((N(D51)*N(VLOOKUP(C51,MAESTRO!$A:$D,4,FALSE))+N(E51))*VLOOKUP(C51,MAESTRO!$A:$C,3,FALSE)+N(F51),""))</f>
        <v/>
      </c>
      <c r="J51" s="9">
        <f>IF(OR(C51="",IFERROR(VLOOKUP(A51,TIPOS!$A:$E,5,FALSE),"No")&lt;&gt;"Sí"),"",IFERROR(IF(VLOOKUP(C51,MAESTRO!$A:$E,5,FALSE)=0,"",VLOOKUP(C51,MAESTRO!$A:$E,5,FALSE)),""))</f>
        <v/>
      </c>
      <c r="K51" s="10">
        <f>IF(OR(J51="",N(I51)=0,IFERROR(VLOOKUP(A51,TIPOS!$A:$E,5,FALSE),"No")&lt;&gt;"Sí"),"",INT(I51/VLOOKUP(C51,MAESTRO!$A:$C,3,FALSE)))</f>
        <v/>
      </c>
      <c r="L51" s="9">
        <f>IF(AND(A51="",C51=""),"",IF(A51="","Falta el tipo",IF(C51="","Falta el código",IF(ISNA(MATCH(C51,MAESTRO!$A:$A,0)),"El código no está en el maestro",IF(AND(N(D51)&gt;0,N(VLOOKUP(C51,MAESTRO!$A:$D,4,FALSE))=0),"Ese código no tiene cajas por estiba: escribe cajas",IF(AND(IFERROR(VLOOKUP(A51,TIPOS!$A:$C,3,FALSE),"")="Sí",B51=""),"Falta el N° de entrega",IF(N(I51)&lt;=0,"Falta la cantidad","OK")))))))</f>
        <v/>
      </c>
    </row>
    <row r="52">
      <c r="A52" s="7" t="n"/>
      <c r="B52" s="7" t="n"/>
      <c r="C52" s="7" t="n"/>
      <c r="D52" s="8" t="n"/>
      <c r="E52" s="8" t="n"/>
      <c r="F52" s="8" t="n"/>
      <c r="G52" s="9">
        <f>IF(C52="","",IFERROR(VLOOKUP(C52,MAESTRO!$A:$B,2,FALSE),"—"))</f>
        <v/>
      </c>
      <c r="H52" s="9">
        <f>IF(A52="","",IFERROR(VLOOKUP(A52,TIPOS!$A:$B,2,FALSE),""))</f>
        <v/>
      </c>
      <c r="I52" s="10">
        <f>IF(C52="","",IFERROR((N(D52)*N(VLOOKUP(C52,MAESTRO!$A:$D,4,FALSE))+N(E52))*VLOOKUP(C52,MAESTRO!$A:$C,3,FALSE)+N(F52),""))</f>
        <v/>
      </c>
      <c r="J52" s="9">
        <f>IF(OR(C52="",IFERROR(VLOOKUP(A52,TIPOS!$A:$E,5,FALSE),"No")&lt;&gt;"Sí"),"",IFERROR(IF(VLOOKUP(C52,MAESTRO!$A:$E,5,FALSE)=0,"",VLOOKUP(C52,MAESTRO!$A:$E,5,FALSE)),""))</f>
        <v/>
      </c>
      <c r="K52" s="10">
        <f>IF(OR(J52="",N(I52)=0,IFERROR(VLOOKUP(A52,TIPOS!$A:$E,5,FALSE),"No")&lt;&gt;"Sí"),"",INT(I52/VLOOKUP(C52,MAESTRO!$A:$C,3,FALSE)))</f>
        <v/>
      </c>
      <c r="L52" s="9">
        <f>IF(AND(A52="",C52=""),"",IF(A52="","Falta el tipo",IF(C52="","Falta el código",IF(ISNA(MATCH(C52,MAESTRO!$A:$A,0)),"El código no está en el maestro",IF(AND(N(D52)&gt;0,N(VLOOKUP(C52,MAESTRO!$A:$D,4,FALSE))=0),"Ese código no tiene cajas por estiba: escribe cajas",IF(AND(IFERROR(VLOOKUP(A52,TIPOS!$A:$C,3,FALSE),"")="Sí",B52=""),"Falta el N° de entrega",IF(N(I52)&lt;=0,"Falta la cantidad","OK")))))))</f>
        <v/>
      </c>
    </row>
    <row r="53">
      <c r="A53" s="7" t="n"/>
      <c r="B53" s="7" t="n"/>
      <c r="C53" s="7" t="n"/>
      <c r="D53" s="8" t="n"/>
      <c r="E53" s="8" t="n"/>
      <c r="F53" s="8" t="n"/>
      <c r="G53" s="9">
        <f>IF(C53="","",IFERROR(VLOOKUP(C53,MAESTRO!$A:$B,2,FALSE),"—"))</f>
        <v/>
      </c>
      <c r="H53" s="9">
        <f>IF(A53="","",IFERROR(VLOOKUP(A53,TIPOS!$A:$B,2,FALSE),""))</f>
        <v/>
      </c>
      <c r="I53" s="10">
        <f>IF(C53="","",IFERROR((N(D53)*N(VLOOKUP(C53,MAESTRO!$A:$D,4,FALSE))+N(E53))*VLOOKUP(C53,MAESTRO!$A:$C,3,FALSE)+N(F53),""))</f>
        <v/>
      </c>
      <c r="J53" s="9">
        <f>IF(OR(C53="",IFERROR(VLOOKUP(A53,TIPOS!$A:$E,5,FALSE),"No")&lt;&gt;"Sí"),"",IFERROR(IF(VLOOKUP(C53,MAESTRO!$A:$E,5,FALSE)=0,"",VLOOKUP(C53,MAESTRO!$A:$E,5,FALSE)),""))</f>
        <v/>
      </c>
      <c r="K53" s="10">
        <f>IF(OR(J53="",N(I53)=0,IFERROR(VLOOKUP(A53,TIPOS!$A:$E,5,FALSE),"No")&lt;&gt;"Sí"),"",INT(I53/VLOOKUP(C53,MAESTRO!$A:$C,3,FALSE)))</f>
        <v/>
      </c>
      <c r="L53" s="9">
        <f>IF(AND(A53="",C53=""),"",IF(A53="","Falta el tipo",IF(C53="","Falta el código",IF(ISNA(MATCH(C53,MAESTRO!$A:$A,0)),"El código no está en el maestro",IF(AND(N(D53)&gt;0,N(VLOOKUP(C53,MAESTRO!$A:$D,4,FALSE))=0),"Ese código no tiene cajas por estiba: escribe cajas",IF(AND(IFERROR(VLOOKUP(A53,TIPOS!$A:$C,3,FALSE),"")="Sí",B53=""),"Falta el N° de entrega",IF(N(I53)&lt;=0,"Falta la cantidad","OK")))))))</f>
        <v/>
      </c>
    </row>
    <row r="54">
      <c r="A54" s="7" t="n"/>
      <c r="B54" s="7" t="n"/>
      <c r="C54" s="7" t="n"/>
      <c r="D54" s="8" t="n"/>
      <c r="E54" s="8" t="n"/>
      <c r="F54" s="8" t="n"/>
      <c r="G54" s="9">
        <f>IF(C54="","",IFERROR(VLOOKUP(C54,MAESTRO!$A:$B,2,FALSE),"—"))</f>
        <v/>
      </c>
      <c r="H54" s="9">
        <f>IF(A54="","",IFERROR(VLOOKUP(A54,TIPOS!$A:$B,2,FALSE),""))</f>
        <v/>
      </c>
      <c r="I54" s="10">
        <f>IF(C54="","",IFERROR((N(D54)*N(VLOOKUP(C54,MAESTRO!$A:$D,4,FALSE))+N(E54))*VLOOKUP(C54,MAESTRO!$A:$C,3,FALSE)+N(F54),""))</f>
        <v/>
      </c>
      <c r="J54" s="9">
        <f>IF(OR(C54="",IFERROR(VLOOKUP(A54,TIPOS!$A:$E,5,FALSE),"No")&lt;&gt;"Sí"),"",IFERROR(IF(VLOOKUP(C54,MAESTRO!$A:$E,5,FALSE)=0,"",VLOOKUP(C54,MAESTRO!$A:$E,5,FALSE)),""))</f>
        <v/>
      </c>
      <c r="K54" s="10">
        <f>IF(OR(J54="",N(I54)=0,IFERROR(VLOOKUP(A54,TIPOS!$A:$E,5,FALSE),"No")&lt;&gt;"Sí"),"",INT(I54/VLOOKUP(C54,MAESTRO!$A:$C,3,FALSE)))</f>
        <v/>
      </c>
      <c r="L54" s="9">
        <f>IF(AND(A54="",C54=""),"",IF(A54="","Falta el tipo",IF(C54="","Falta el código",IF(ISNA(MATCH(C54,MAESTRO!$A:$A,0)),"El código no está en el maestro",IF(AND(N(D54)&gt;0,N(VLOOKUP(C54,MAESTRO!$A:$D,4,FALSE))=0),"Ese código no tiene cajas por estiba: escribe cajas",IF(AND(IFERROR(VLOOKUP(A54,TIPOS!$A:$C,3,FALSE),"")="Sí",B54=""),"Falta el N° de entrega",IF(N(I54)&lt;=0,"Falta la cantidad","OK")))))))</f>
        <v/>
      </c>
    </row>
    <row r="55">
      <c r="A55" s="7" t="n"/>
      <c r="B55" s="7" t="n"/>
      <c r="C55" s="7" t="n"/>
      <c r="D55" s="8" t="n"/>
      <c r="E55" s="8" t="n"/>
      <c r="F55" s="8" t="n"/>
      <c r="G55" s="9">
        <f>IF(C55="","",IFERROR(VLOOKUP(C55,MAESTRO!$A:$B,2,FALSE),"—"))</f>
        <v/>
      </c>
      <c r="H55" s="9">
        <f>IF(A55="","",IFERROR(VLOOKUP(A55,TIPOS!$A:$B,2,FALSE),""))</f>
        <v/>
      </c>
      <c r="I55" s="10">
        <f>IF(C55="","",IFERROR((N(D55)*N(VLOOKUP(C55,MAESTRO!$A:$D,4,FALSE))+N(E55))*VLOOKUP(C55,MAESTRO!$A:$C,3,FALSE)+N(F55),""))</f>
        <v/>
      </c>
      <c r="J55" s="9">
        <f>IF(OR(C55="",IFERROR(VLOOKUP(A55,TIPOS!$A:$E,5,FALSE),"No")&lt;&gt;"Sí"),"",IFERROR(IF(VLOOKUP(C55,MAESTRO!$A:$E,5,FALSE)=0,"",VLOOKUP(C55,MAESTRO!$A:$E,5,FALSE)),""))</f>
        <v/>
      </c>
      <c r="K55" s="10">
        <f>IF(OR(J55="",N(I55)=0,IFERROR(VLOOKUP(A55,TIPOS!$A:$E,5,FALSE),"No")&lt;&gt;"Sí"),"",INT(I55/VLOOKUP(C55,MAESTRO!$A:$C,3,FALSE)))</f>
        <v/>
      </c>
      <c r="L55" s="9">
        <f>IF(AND(A55="",C55=""),"",IF(A55="","Falta el tipo",IF(C55="","Falta el código",IF(ISNA(MATCH(C55,MAESTRO!$A:$A,0)),"El código no está en el maestro",IF(AND(N(D55)&gt;0,N(VLOOKUP(C55,MAESTRO!$A:$D,4,FALSE))=0),"Ese código no tiene cajas por estiba: escribe cajas",IF(AND(IFERROR(VLOOKUP(A55,TIPOS!$A:$C,3,FALSE),"")="Sí",B55=""),"Falta el N° de entrega",IF(N(I55)&lt;=0,"Falta la cantidad","OK")))))))</f>
        <v/>
      </c>
    </row>
    <row r="56">
      <c r="A56" s="7" t="n"/>
      <c r="B56" s="7" t="n"/>
      <c r="C56" s="7" t="n"/>
      <c r="D56" s="8" t="n"/>
      <c r="E56" s="8" t="n"/>
      <c r="F56" s="8" t="n"/>
      <c r="G56" s="9">
        <f>IF(C56="","",IFERROR(VLOOKUP(C56,MAESTRO!$A:$B,2,FALSE),"—"))</f>
        <v/>
      </c>
      <c r="H56" s="9">
        <f>IF(A56="","",IFERROR(VLOOKUP(A56,TIPOS!$A:$B,2,FALSE),""))</f>
        <v/>
      </c>
      <c r="I56" s="10">
        <f>IF(C56="","",IFERROR((N(D56)*N(VLOOKUP(C56,MAESTRO!$A:$D,4,FALSE))+N(E56))*VLOOKUP(C56,MAESTRO!$A:$C,3,FALSE)+N(F56),""))</f>
        <v/>
      </c>
      <c r="J56" s="9">
        <f>IF(OR(C56="",IFERROR(VLOOKUP(A56,TIPOS!$A:$E,5,FALSE),"No")&lt;&gt;"Sí"),"",IFERROR(IF(VLOOKUP(C56,MAESTRO!$A:$E,5,FALSE)=0,"",VLOOKUP(C56,MAESTRO!$A:$E,5,FALSE)),""))</f>
        <v/>
      </c>
      <c r="K56" s="10">
        <f>IF(OR(J56="",N(I56)=0,IFERROR(VLOOKUP(A56,TIPOS!$A:$E,5,FALSE),"No")&lt;&gt;"Sí"),"",INT(I56/VLOOKUP(C56,MAESTRO!$A:$C,3,FALSE)))</f>
        <v/>
      </c>
      <c r="L56" s="9">
        <f>IF(AND(A56="",C56=""),"",IF(A56="","Falta el tipo",IF(C56="","Falta el código",IF(ISNA(MATCH(C56,MAESTRO!$A:$A,0)),"El código no está en el maestro",IF(AND(N(D56)&gt;0,N(VLOOKUP(C56,MAESTRO!$A:$D,4,FALSE))=0),"Ese código no tiene cajas por estiba: escribe cajas",IF(AND(IFERROR(VLOOKUP(A56,TIPOS!$A:$C,3,FALSE),"")="Sí",B56=""),"Falta el N° de entrega",IF(N(I56)&lt;=0,"Falta la cantidad","OK")))))))</f>
        <v/>
      </c>
    </row>
    <row r="57">
      <c r="A57" s="7" t="n"/>
      <c r="B57" s="7" t="n"/>
      <c r="C57" s="7" t="n"/>
      <c r="D57" s="8" t="n"/>
      <c r="E57" s="8" t="n"/>
      <c r="F57" s="8" t="n"/>
      <c r="G57" s="9">
        <f>IF(C57="","",IFERROR(VLOOKUP(C57,MAESTRO!$A:$B,2,FALSE),"—"))</f>
        <v/>
      </c>
      <c r="H57" s="9">
        <f>IF(A57="","",IFERROR(VLOOKUP(A57,TIPOS!$A:$B,2,FALSE),""))</f>
        <v/>
      </c>
      <c r="I57" s="10">
        <f>IF(C57="","",IFERROR((N(D57)*N(VLOOKUP(C57,MAESTRO!$A:$D,4,FALSE))+N(E57))*VLOOKUP(C57,MAESTRO!$A:$C,3,FALSE)+N(F57),""))</f>
        <v/>
      </c>
      <c r="J57" s="9">
        <f>IF(OR(C57="",IFERROR(VLOOKUP(A57,TIPOS!$A:$E,5,FALSE),"No")&lt;&gt;"Sí"),"",IFERROR(IF(VLOOKUP(C57,MAESTRO!$A:$E,5,FALSE)=0,"",VLOOKUP(C57,MAESTRO!$A:$E,5,FALSE)),""))</f>
        <v/>
      </c>
      <c r="K57" s="10">
        <f>IF(OR(J57="",N(I57)=0,IFERROR(VLOOKUP(A57,TIPOS!$A:$E,5,FALSE),"No")&lt;&gt;"Sí"),"",INT(I57/VLOOKUP(C57,MAESTRO!$A:$C,3,FALSE)))</f>
        <v/>
      </c>
      <c r="L57" s="9">
        <f>IF(AND(A57="",C57=""),"",IF(A57="","Falta el tipo",IF(C57="","Falta el código",IF(ISNA(MATCH(C57,MAESTRO!$A:$A,0)),"El código no está en el maestro",IF(AND(N(D57)&gt;0,N(VLOOKUP(C57,MAESTRO!$A:$D,4,FALSE))=0),"Ese código no tiene cajas por estiba: escribe cajas",IF(AND(IFERROR(VLOOKUP(A57,TIPOS!$A:$C,3,FALSE),"")="Sí",B57=""),"Falta el N° de entrega",IF(N(I57)&lt;=0,"Falta la cantidad","OK")))))))</f>
        <v/>
      </c>
    </row>
    <row r="58">
      <c r="A58" s="7" t="n"/>
      <c r="B58" s="7" t="n"/>
      <c r="C58" s="7" t="n"/>
      <c r="D58" s="8" t="n"/>
      <c r="E58" s="8" t="n"/>
      <c r="F58" s="8" t="n"/>
      <c r="G58" s="9">
        <f>IF(C58="","",IFERROR(VLOOKUP(C58,MAESTRO!$A:$B,2,FALSE),"—"))</f>
        <v/>
      </c>
      <c r="H58" s="9">
        <f>IF(A58="","",IFERROR(VLOOKUP(A58,TIPOS!$A:$B,2,FALSE),""))</f>
        <v/>
      </c>
      <c r="I58" s="10">
        <f>IF(C58="","",IFERROR((N(D58)*N(VLOOKUP(C58,MAESTRO!$A:$D,4,FALSE))+N(E58))*VLOOKUP(C58,MAESTRO!$A:$C,3,FALSE)+N(F58),""))</f>
        <v/>
      </c>
      <c r="J58" s="9">
        <f>IF(OR(C58="",IFERROR(VLOOKUP(A58,TIPOS!$A:$E,5,FALSE),"No")&lt;&gt;"Sí"),"",IFERROR(IF(VLOOKUP(C58,MAESTRO!$A:$E,5,FALSE)=0,"",VLOOKUP(C58,MAESTRO!$A:$E,5,FALSE)),""))</f>
        <v/>
      </c>
      <c r="K58" s="10">
        <f>IF(OR(J58="",N(I58)=0,IFERROR(VLOOKUP(A58,TIPOS!$A:$E,5,FALSE),"No")&lt;&gt;"Sí"),"",INT(I58/VLOOKUP(C58,MAESTRO!$A:$C,3,FALSE)))</f>
        <v/>
      </c>
      <c r="L58" s="9">
        <f>IF(AND(A58="",C58=""),"",IF(A58="","Falta el tipo",IF(C58="","Falta el código",IF(ISNA(MATCH(C58,MAESTRO!$A:$A,0)),"El código no está en el maestro",IF(AND(N(D58)&gt;0,N(VLOOKUP(C58,MAESTRO!$A:$D,4,FALSE))=0),"Ese código no tiene cajas por estiba: escribe cajas",IF(AND(IFERROR(VLOOKUP(A58,TIPOS!$A:$C,3,FALSE),"")="Sí",B58=""),"Falta el N° de entrega",IF(N(I58)&lt;=0,"Falta la cantidad","OK")))))))</f>
        <v/>
      </c>
    </row>
    <row r="59">
      <c r="A59" s="7" t="n"/>
      <c r="B59" s="7" t="n"/>
      <c r="C59" s="7" t="n"/>
      <c r="D59" s="8" t="n"/>
      <c r="E59" s="8" t="n"/>
      <c r="F59" s="8" t="n"/>
      <c r="G59" s="9">
        <f>IF(C59="","",IFERROR(VLOOKUP(C59,MAESTRO!$A:$B,2,FALSE),"—"))</f>
        <v/>
      </c>
      <c r="H59" s="9">
        <f>IF(A59="","",IFERROR(VLOOKUP(A59,TIPOS!$A:$B,2,FALSE),""))</f>
        <v/>
      </c>
      <c r="I59" s="10">
        <f>IF(C59="","",IFERROR((N(D59)*N(VLOOKUP(C59,MAESTRO!$A:$D,4,FALSE))+N(E59))*VLOOKUP(C59,MAESTRO!$A:$C,3,FALSE)+N(F59),""))</f>
        <v/>
      </c>
      <c r="J59" s="9">
        <f>IF(OR(C59="",IFERROR(VLOOKUP(A59,TIPOS!$A:$E,5,FALSE),"No")&lt;&gt;"Sí"),"",IFERROR(IF(VLOOKUP(C59,MAESTRO!$A:$E,5,FALSE)=0,"",VLOOKUP(C59,MAESTRO!$A:$E,5,FALSE)),""))</f>
        <v/>
      </c>
      <c r="K59" s="10">
        <f>IF(OR(J59="",N(I59)=0,IFERROR(VLOOKUP(A59,TIPOS!$A:$E,5,FALSE),"No")&lt;&gt;"Sí"),"",INT(I59/VLOOKUP(C59,MAESTRO!$A:$C,3,FALSE)))</f>
        <v/>
      </c>
      <c r="L59" s="9">
        <f>IF(AND(A59="",C59=""),"",IF(A59="","Falta el tipo",IF(C59="","Falta el código",IF(ISNA(MATCH(C59,MAESTRO!$A:$A,0)),"El código no está en el maestro",IF(AND(N(D59)&gt;0,N(VLOOKUP(C59,MAESTRO!$A:$D,4,FALSE))=0),"Ese código no tiene cajas por estiba: escribe cajas",IF(AND(IFERROR(VLOOKUP(A59,TIPOS!$A:$C,3,FALSE),"")="Sí",B59=""),"Falta el N° de entrega",IF(N(I59)&lt;=0,"Falta la cantidad","OK")))))))</f>
        <v/>
      </c>
    </row>
    <row r="60">
      <c r="A60" s="7" t="n"/>
      <c r="B60" s="7" t="n"/>
      <c r="C60" s="7" t="n"/>
      <c r="D60" s="8" t="n"/>
      <c r="E60" s="8" t="n"/>
      <c r="F60" s="8" t="n"/>
      <c r="G60" s="9">
        <f>IF(C60="","",IFERROR(VLOOKUP(C60,MAESTRO!$A:$B,2,FALSE),"—"))</f>
        <v/>
      </c>
      <c r="H60" s="9">
        <f>IF(A60="","",IFERROR(VLOOKUP(A60,TIPOS!$A:$B,2,FALSE),""))</f>
        <v/>
      </c>
      <c r="I60" s="10">
        <f>IF(C60="","",IFERROR((N(D60)*N(VLOOKUP(C60,MAESTRO!$A:$D,4,FALSE))+N(E60))*VLOOKUP(C60,MAESTRO!$A:$C,3,FALSE)+N(F60),""))</f>
        <v/>
      </c>
      <c r="J60" s="9">
        <f>IF(OR(C60="",IFERROR(VLOOKUP(A60,TIPOS!$A:$E,5,FALSE),"No")&lt;&gt;"Sí"),"",IFERROR(IF(VLOOKUP(C60,MAESTRO!$A:$E,5,FALSE)=0,"",VLOOKUP(C60,MAESTRO!$A:$E,5,FALSE)),""))</f>
        <v/>
      </c>
      <c r="K60" s="10">
        <f>IF(OR(J60="",N(I60)=0,IFERROR(VLOOKUP(A60,TIPOS!$A:$E,5,FALSE),"No")&lt;&gt;"Sí"),"",INT(I60/VLOOKUP(C60,MAESTRO!$A:$C,3,FALSE)))</f>
        <v/>
      </c>
      <c r="L60" s="9">
        <f>IF(AND(A60="",C60=""),"",IF(A60="","Falta el tipo",IF(C60="","Falta el código",IF(ISNA(MATCH(C60,MAESTRO!$A:$A,0)),"El código no está en el maestro",IF(AND(N(D60)&gt;0,N(VLOOKUP(C60,MAESTRO!$A:$D,4,FALSE))=0),"Ese código no tiene cajas por estiba: escribe cajas",IF(AND(IFERROR(VLOOKUP(A60,TIPOS!$A:$C,3,FALSE),"")="Sí",B60=""),"Falta el N° de entrega",IF(N(I60)&lt;=0,"Falta la cantidad","OK")))))))</f>
        <v/>
      </c>
    </row>
    <row r="61">
      <c r="A61" s="7" t="n"/>
      <c r="B61" s="7" t="n"/>
      <c r="C61" s="7" t="n"/>
      <c r="D61" s="8" t="n"/>
      <c r="E61" s="8" t="n"/>
      <c r="F61" s="8" t="n"/>
      <c r="G61" s="9">
        <f>IF(C61="","",IFERROR(VLOOKUP(C61,MAESTRO!$A:$B,2,FALSE),"—"))</f>
        <v/>
      </c>
      <c r="H61" s="9">
        <f>IF(A61="","",IFERROR(VLOOKUP(A61,TIPOS!$A:$B,2,FALSE),""))</f>
        <v/>
      </c>
      <c r="I61" s="10">
        <f>IF(C61="","",IFERROR((N(D61)*N(VLOOKUP(C61,MAESTRO!$A:$D,4,FALSE))+N(E61))*VLOOKUP(C61,MAESTRO!$A:$C,3,FALSE)+N(F61),""))</f>
        <v/>
      </c>
      <c r="J61" s="9">
        <f>IF(OR(C61="",IFERROR(VLOOKUP(A61,TIPOS!$A:$E,5,FALSE),"No")&lt;&gt;"Sí"),"",IFERROR(IF(VLOOKUP(C61,MAESTRO!$A:$E,5,FALSE)=0,"",VLOOKUP(C61,MAESTRO!$A:$E,5,FALSE)),""))</f>
        <v/>
      </c>
      <c r="K61" s="10">
        <f>IF(OR(J61="",N(I61)=0,IFERROR(VLOOKUP(A61,TIPOS!$A:$E,5,FALSE),"No")&lt;&gt;"Sí"),"",INT(I61/VLOOKUP(C61,MAESTRO!$A:$C,3,FALSE)))</f>
        <v/>
      </c>
      <c r="L61" s="9">
        <f>IF(AND(A61="",C61=""),"",IF(A61="","Falta el tipo",IF(C61="","Falta el código",IF(ISNA(MATCH(C61,MAESTRO!$A:$A,0)),"El código no está en el maestro",IF(AND(N(D61)&gt;0,N(VLOOKUP(C61,MAESTRO!$A:$D,4,FALSE))=0),"Ese código no tiene cajas por estiba: escribe cajas",IF(AND(IFERROR(VLOOKUP(A61,TIPOS!$A:$C,3,FALSE),"")="Sí",B61=""),"Falta el N° de entrega",IF(N(I61)&lt;=0,"Falta la cantidad","OK")))))))</f>
        <v/>
      </c>
    </row>
    <row r="62">
      <c r="A62" s="7" t="n"/>
      <c r="B62" s="7" t="n"/>
      <c r="C62" s="7" t="n"/>
      <c r="D62" s="8" t="n"/>
      <c r="E62" s="8" t="n"/>
      <c r="F62" s="8" t="n"/>
      <c r="G62" s="9">
        <f>IF(C62="","",IFERROR(VLOOKUP(C62,MAESTRO!$A:$B,2,FALSE),"—"))</f>
        <v/>
      </c>
      <c r="H62" s="9">
        <f>IF(A62="","",IFERROR(VLOOKUP(A62,TIPOS!$A:$B,2,FALSE),""))</f>
        <v/>
      </c>
      <c r="I62" s="10">
        <f>IF(C62="","",IFERROR((N(D62)*N(VLOOKUP(C62,MAESTRO!$A:$D,4,FALSE))+N(E62))*VLOOKUP(C62,MAESTRO!$A:$C,3,FALSE)+N(F62),""))</f>
        <v/>
      </c>
      <c r="J62" s="9">
        <f>IF(OR(C62="",IFERROR(VLOOKUP(A62,TIPOS!$A:$E,5,FALSE),"No")&lt;&gt;"Sí"),"",IFERROR(IF(VLOOKUP(C62,MAESTRO!$A:$E,5,FALSE)=0,"",VLOOKUP(C62,MAESTRO!$A:$E,5,FALSE)),""))</f>
        <v/>
      </c>
      <c r="K62" s="10">
        <f>IF(OR(J62="",N(I62)=0,IFERROR(VLOOKUP(A62,TIPOS!$A:$E,5,FALSE),"No")&lt;&gt;"Sí"),"",INT(I62/VLOOKUP(C62,MAESTRO!$A:$C,3,FALSE)))</f>
        <v/>
      </c>
      <c r="L62" s="9">
        <f>IF(AND(A62="",C62=""),"",IF(A62="","Falta el tipo",IF(C62="","Falta el código",IF(ISNA(MATCH(C62,MAESTRO!$A:$A,0)),"El código no está en el maestro",IF(AND(N(D62)&gt;0,N(VLOOKUP(C62,MAESTRO!$A:$D,4,FALSE))=0),"Ese código no tiene cajas por estiba: escribe cajas",IF(AND(IFERROR(VLOOKUP(A62,TIPOS!$A:$C,3,FALSE),"")="Sí",B62=""),"Falta el N° de entrega",IF(N(I62)&lt;=0,"Falta la cantidad","OK")))))))</f>
        <v/>
      </c>
    </row>
    <row r="63">
      <c r="A63" s="7" t="n"/>
      <c r="B63" s="7" t="n"/>
      <c r="C63" s="7" t="n"/>
      <c r="D63" s="8" t="n"/>
      <c r="E63" s="8" t="n"/>
      <c r="F63" s="8" t="n"/>
      <c r="G63" s="9">
        <f>IF(C63="","",IFERROR(VLOOKUP(C63,MAESTRO!$A:$B,2,FALSE),"—"))</f>
        <v/>
      </c>
      <c r="H63" s="9">
        <f>IF(A63="","",IFERROR(VLOOKUP(A63,TIPOS!$A:$B,2,FALSE),""))</f>
        <v/>
      </c>
      <c r="I63" s="10">
        <f>IF(C63="","",IFERROR((N(D63)*N(VLOOKUP(C63,MAESTRO!$A:$D,4,FALSE))+N(E63))*VLOOKUP(C63,MAESTRO!$A:$C,3,FALSE)+N(F63),""))</f>
        <v/>
      </c>
      <c r="J63" s="9">
        <f>IF(OR(C63="",IFERROR(VLOOKUP(A63,TIPOS!$A:$E,5,FALSE),"No")&lt;&gt;"Sí"),"",IFERROR(IF(VLOOKUP(C63,MAESTRO!$A:$E,5,FALSE)=0,"",VLOOKUP(C63,MAESTRO!$A:$E,5,FALSE)),""))</f>
        <v/>
      </c>
      <c r="K63" s="10">
        <f>IF(OR(J63="",N(I63)=0,IFERROR(VLOOKUP(A63,TIPOS!$A:$E,5,FALSE),"No")&lt;&gt;"Sí"),"",INT(I63/VLOOKUP(C63,MAESTRO!$A:$C,3,FALSE)))</f>
        <v/>
      </c>
      <c r="L63" s="9">
        <f>IF(AND(A63="",C63=""),"",IF(A63="","Falta el tipo",IF(C63="","Falta el código",IF(ISNA(MATCH(C63,MAESTRO!$A:$A,0)),"El código no está en el maestro",IF(AND(N(D63)&gt;0,N(VLOOKUP(C63,MAESTRO!$A:$D,4,FALSE))=0),"Ese código no tiene cajas por estiba: escribe cajas",IF(AND(IFERROR(VLOOKUP(A63,TIPOS!$A:$C,3,FALSE),"")="Sí",B63=""),"Falta el N° de entrega",IF(N(I63)&lt;=0,"Falta la cantidad","OK")))))))</f>
        <v/>
      </c>
    </row>
    <row r="64">
      <c r="A64" s="7" t="n"/>
      <c r="B64" s="7" t="n"/>
      <c r="C64" s="7" t="n"/>
      <c r="D64" s="8" t="n"/>
      <c r="E64" s="8" t="n"/>
      <c r="F64" s="8" t="n"/>
      <c r="G64" s="9">
        <f>IF(C64="","",IFERROR(VLOOKUP(C64,MAESTRO!$A:$B,2,FALSE),"—"))</f>
        <v/>
      </c>
      <c r="H64" s="9">
        <f>IF(A64="","",IFERROR(VLOOKUP(A64,TIPOS!$A:$B,2,FALSE),""))</f>
        <v/>
      </c>
      <c r="I64" s="10">
        <f>IF(C64="","",IFERROR((N(D64)*N(VLOOKUP(C64,MAESTRO!$A:$D,4,FALSE))+N(E64))*VLOOKUP(C64,MAESTRO!$A:$C,3,FALSE)+N(F64),""))</f>
        <v/>
      </c>
      <c r="J64" s="9">
        <f>IF(OR(C64="",IFERROR(VLOOKUP(A64,TIPOS!$A:$E,5,FALSE),"No")&lt;&gt;"Sí"),"",IFERROR(IF(VLOOKUP(C64,MAESTRO!$A:$E,5,FALSE)=0,"",VLOOKUP(C64,MAESTRO!$A:$E,5,FALSE)),""))</f>
        <v/>
      </c>
      <c r="K64" s="10">
        <f>IF(OR(J64="",N(I64)=0,IFERROR(VLOOKUP(A64,TIPOS!$A:$E,5,FALSE),"No")&lt;&gt;"Sí"),"",INT(I64/VLOOKUP(C64,MAESTRO!$A:$C,3,FALSE)))</f>
        <v/>
      </c>
      <c r="L64" s="9">
        <f>IF(AND(A64="",C64=""),"",IF(A64="","Falta el tipo",IF(C64="","Falta el código",IF(ISNA(MATCH(C64,MAESTRO!$A:$A,0)),"El código no está en el maestro",IF(AND(N(D64)&gt;0,N(VLOOKUP(C64,MAESTRO!$A:$D,4,FALSE))=0),"Ese código no tiene cajas por estiba: escribe cajas",IF(AND(IFERROR(VLOOKUP(A64,TIPOS!$A:$C,3,FALSE),"")="Sí",B64=""),"Falta el N° de entrega",IF(N(I64)&lt;=0,"Falta la cantidad","OK")))))))</f>
        <v/>
      </c>
    </row>
    <row r="65">
      <c r="A65" s="7" t="n"/>
      <c r="B65" s="7" t="n"/>
      <c r="C65" s="7" t="n"/>
      <c r="D65" s="8" t="n"/>
      <c r="E65" s="8" t="n"/>
      <c r="F65" s="8" t="n"/>
      <c r="G65" s="9">
        <f>IF(C65="","",IFERROR(VLOOKUP(C65,MAESTRO!$A:$B,2,FALSE),"—"))</f>
        <v/>
      </c>
      <c r="H65" s="9">
        <f>IF(A65="","",IFERROR(VLOOKUP(A65,TIPOS!$A:$B,2,FALSE),""))</f>
        <v/>
      </c>
      <c r="I65" s="10">
        <f>IF(C65="","",IFERROR((N(D65)*N(VLOOKUP(C65,MAESTRO!$A:$D,4,FALSE))+N(E65))*VLOOKUP(C65,MAESTRO!$A:$C,3,FALSE)+N(F65),""))</f>
        <v/>
      </c>
      <c r="J65" s="9">
        <f>IF(OR(C65="",IFERROR(VLOOKUP(A65,TIPOS!$A:$E,5,FALSE),"No")&lt;&gt;"Sí"),"",IFERROR(IF(VLOOKUP(C65,MAESTRO!$A:$E,5,FALSE)=0,"",VLOOKUP(C65,MAESTRO!$A:$E,5,FALSE)),""))</f>
        <v/>
      </c>
      <c r="K65" s="10">
        <f>IF(OR(J65="",N(I65)=0,IFERROR(VLOOKUP(A65,TIPOS!$A:$E,5,FALSE),"No")&lt;&gt;"Sí"),"",INT(I65/VLOOKUP(C65,MAESTRO!$A:$C,3,FALSE)))</f>
        <v/>
      </c>
      <c r="L65" s="9">
        <f>IF(AND(A65="",C65=""),"",IF(A65="","Falta el tipo",IF(C65="","Falta el código",IF(ISNA(MATCH(C65,MAESTRO!$A:$A,0)),"El código no está en el maestro",IF(AND(N(D65)&gt;0,N(VLOOKUP(C65,MAESTRO!$A:$D,4,FALSE))=0),"Ese código no tiene cajas por estiba: escribe cajas",IF(AND(IFERROR(VLOOKUP(A65,TIPOS!$A:$C,3,FALSE),"")="Sí",B65=""),"Falta el N° de entrega",IF(N(I65)&lt;=0,"Falta la cantidad","OK")))))))</f>
        <v/>
      </c>
    </row>
    <row r="66">
      <c r="A66" s="7" t="n"/>
      <c r="B66" s="7" t="n"/>
      <c r="C66" s="7" t="n"/>
      <c r="D66" s="8" t="n"/>
      <c r="E66" s="8" t="n"/>
      <c r="F66" s="8" t="n"/>
      <c r="G66" s="9">
        <f>IF(C66="","",IFERROR(VLOOKUP(C66,MAESTRO!$A:$B,2,FALSE),"—"))</f>
        <v/>
      </c>
      <c r="H66" s="9">
        <f>IF(A66="","",IFERROR(VLOOKUP(A66,TIPOS!$A:$B,2,FALSE),""))</f>
        <v/>
      </c>
      <c r="I66" s="10">
        <f>IF(C66="","",IFERROR((N(D66)*N(VLOOKUP(C66,MAESTRO!$A:$D,4,FALSE))+N(E66))*VLOOKUP(C66,MAESTRO!$A:$C,3,FALSE)+N(F66),""))</f>
        <v/>
      </c>
      <c r="J66" s="9">
        <f>IF(OR(C66="",IFERROR(VLOOKUP(A66,TIPOS!$A:$E,5,FALSE),"No")&lt;&gt;"Sí"),"",IFERROR(IF(VLOOKUP(C66,MAESTRO!$A:$E,5,FALSE)=0,"",VLOOKUP(C66,MAESTRO!$A:$E,5,FALSE)),""))</f>
        <v/>
      </c>
      <c r="K66" s="10">
        <f>IF(OR(J66="",N(I66)=0,IFERROR(VLOOKUP(A66,TIPOS!$A:$E,5,FALSE),"No")&lt;&gt;"Sí"),"",INT(I66/VLOOKUP(C66,MAESTRO!$A:$C,3,FALSE)))</f>
        <v/>
      </c>
      <c r="L66" s="9">
        <f>IF(AND(A66="",C66=""),"",IF(A66="","Falta el tipo",IF(C66="","Falta el código",IF(ISNA(MATCH(C66,MAESTRO!$A:$A,0)),"El código no está en el maestro",IF(AND(N(D66)&gt;0,N(VLOOKUP(C66,MAESTRO!$A:$D,4,FALSE))=0),"Ese código no tiene cajas por estiba: escribe cajas",IF(AND(IFERROR(VLOOKUP(A66,TIPOS!$A:$C,3,FALSE),"")="Sí",B66=""),"Falta el N° de entrega",IF(N(I66)&lt;=0,"Falta la cantidad","OK")))))))</f>
        <v/>
      </c>
    </row>
    <row r="67">
      <c r="A67" s="7" t="n"/>
      <c r="B67" s="7" t="n"/>
      <c r="C67" s="7" t="n"/>
      <c r="D67" s="8" t="n"/>
      <c r="E67" s="8" t="n"/>
      <c r="F67" s="8" t="n"/>
      <c r="G67" s="9">
        <f>IF(C67="","",IFERROR(VLOOKUP(C67,MAESTRO!$A:$B,2,FALSE),"—"))</f>
        <v/>
      </c>
      <c r="H67" s="9">
        <f>IF(A67="","",IFERROR(VLOOKUP(A67,TIPOS!$A:$B,2,FALSE),""))</f>
        <v/>
      </c>
      <c r="I67" s="10">
        <f>IF(C67="","",IFERROR((N(D67)*N(VLOOKUP(C67,MAESTRO!$A:$D,4,FALSE))+N(E67))*VLOOKUP(C67,MAESTRO!$A:$C,3,FALSE)+N(F67),""))</f>
        <v/>
      </c>
      <c r="J67" s="9">
        <f>IF(OR(C67="",IFERROR(VLOOKUP(A67,TIPOS!$A:$E,5,FALSE),"No")&lt;&gt;"Sí"),"",IFERROR(IF(VLOOKUP(C67,MAESTRO!$A:$E,5,FALSE)=0,"",VLOOKUP(C67,MAESTRO!$A:$E,5,FALSE)),""))</f>
        <v/>
      </c>
      <c r="K67" s="10">
        <f>IF(OR(J67="",N(I67)=0,IFERROR(VLOOKUP(A67,TIPOS!$A:$E,5,FALSE),"No")&lt;&gt;"Sí"),"",INT(I67/VLOOKUP(C67,MAESTRO!$A:$C,3,FALSE)))</f>
        <v/>
      </c>
      <c r="L67" s="9">
        <f>IF(AND(A67="",C67=""),"",IF(A67="","Falta el tipo",IF(C67="","Falta el código",IF(ISNA(MATCH(C67,MAESTRO!$A:$A,0)),"El código no está en el maestro",IF(AND(N(D67)&gt;0,N(VLOOKUP(C67,MAESTRO!$A:$D,4,FALSE))=0),"Ese código no tiene cajas por estiba: escribe cajas",IF(AND(IFERROR(VLOOKUP(A67,TIPOS!$A:$C,3,FALSE),"")="Sí",B67=""),"Falta el N° de entrega",IF(N(I67)&lt;=0,"Falta la cantidad","OK")))))))</f>
        <v/>
      </c>
    </row>
    <row r="68">
      <c r="A68" s="7" t="n"/>
      <c r="B68" s="7" t="n"/>
      <c r="C68" s="7" t="n"/>
      <c r="D68" s="8" t="n"/>
      <c r="E68" s="8" t="n"/>
      <c r="F68" s="8" t="n"/>
      <c r="G68" s="9">
        <f>IF(C68="","",IFERROR(VLOOKUP(C68,MAESTRO!$A:$B,2,FALSE),"—"))</f>
        <v/>
      </c>
      <c r="H68" s="9">
        <f>IF(A68="","",IFERROR(VLOOKUP(A68,TIPOS!$A:$B,2,FALSE),""))</f>
        <v/>
      </c>
      <c r="I68" s="10">
        <f>IF(C68="","",IFERROR((N(D68)*N(VLOOKUP(C68,MAESTRO!$A:$D,4,FALSE))+N(E68))*VLOOKUP(C68,MAESTRO!$A:$C,3,FALSE)+N(F68),""))</f>
        <v/>
      </c>
      <c r="J68" s="9">
        <f>IF(OR(C68="",IFERROR(VLOOKUP(A68,TIPOS!$A:$E,5,FALSE),"No")&lt;&gt;"Sí"),"",IFERROR(IF(VLOOKUP(C68,MAESTRO!$A:$E,5,FALSE)=0,"",VLOOKUP(C68,MAESTRO!$A:$E,5,FALSE)),""))</f>
        <v/>
      </c>
      <c r="K68" s="10">
        <f>IF(OR(J68="",N(I68)=0,IFERROR(VLOOKUP(A68,TIPOS!$A:$E,5,FALSE),"No")&lt;&gt;"Sí"),"",INT(I68/VLOOKUP(C68,MAESTRO!$A:$C,3,FALSE)))</f>
        <v/>
      </c>
      <c r="L68" s="9">
        <f>IF(AND(A68="",C68=""),"",IF(A68="","Falta el tipo",IF(C68="","Falta el código",IF(ISNA(MATCH(C68,MAESTRO!$A:$A,0)),"El código no está en el maestro",IF(AND(N(D68)&gt;0,N(VLOOKUP(C68,MAESTRO!$A:$D,4,FALSE))=0),"Ese código no tiene cajas por estiba: escribe cajas",IF(AND(IFERROR(VLOOKUP(A68,TIPOS!$A:$C,3,FALSE),"")="Sí",B68=""),"Falta el N° de entrega",IF(N(I68)&lt;=0,"Falta la cantidad","OK")))))))</f>
        <v/>
      </c>
    </row>
    <row r="69">
      <c r="A69" s="7" t="n"/>
      <c r="B69" s="7" t="n"/>
      <c r="C69" s="7" t="n"/>
      <c r="D69" s="8" t="n"/>
      <c r="E69" s="8" t="n"/>
      <c r="F69" s="8" t="n"/>
      <c r="G69" s="9">
        <f>IF(C69="","",IFERROR(VLOOKUP(C69,MAESTRO!$A:$B,2,FALSE),"—"))</f>
        <v/>
      </c>
      <c r="H69" s="9">
        <f>IF(A69="","",IFERROR(VLOOKUP(A69,TIPOS!$A:$B,2,FALSE),""))</f>
        <v/>
      </c>
      <c r="I69" s="10">
        <f>IF(C69="","",IFERROR((N(D69)*N(VLOOKUP(C69,MAESTRO!$A:$D,4,FALSE))+N(E69))*VLOOKUP(C69,MAESTRO!$A:$C,3,FALSE)+N(F69),""))</f>
        <v/>
      </c>
      <c r="J69" s="9">
        <f>IF(OR(C69="",IFERROR(VLOOKUP(A69,TIPOS!$A:$E,5,FALSE),"No")&lt;&gt;"Sí"),"",IFERROR(IF(VLOOKUP(C69,MAESTRO!$A:$E,5,FALSE)=0,"",VLOOKUP(C69,MAESTRO!$A:$E,5,FALSE)),""))</f>
        <v/>
      </c>
      <c r="K69" s="10">
        <f>IF(OR(J69="",N(I69)=0,IFERROR(VLOOKUP(A69,TIPOS!$A:$E,5,FALSE),"No")&lt;&gt;"Sí"),"",INT(I69/VLOOKUP(C69,MAESTRO!$A:$C,3,FALSE)))</f>
        <v/>
      </c>
      <c r="L69" s="9">
        <f>IF(AND(A69="",C69=""),"",IF(A69="","Falta el tipo",IF(C69="","Falta el código",IF(ISNA(MATCH(C69,MAESTRO!$A:$A,0)),"El código no está en el maestro",IF(AND(N(D69)&gt;0,N(VLOOKUP(C69,MAESTRO!$A:$D,4,FALSE))=0),"Ese código no tiene cajas por estiba: escribe cajas",IF(AND(IFERROR(VLOOKUP(A69,TIPOS!$A:$C,3,FALSE),"")="Sí",B69=""),"Falta el N° de entrega",IF(N(I69)&lt;=0,"Falta la cantidad","OK")))))))</f>
        <v/>
      </c>
    </row>
    <row r="70">
      <c r="A70" s="7" t="n"/>
      <c r="B70" s="7" t="n"/>
      <c r="C70" s="7" t="n"/>
      <c r="D70" s="8" t="n"/>
      <c r="E70" s="8" t="n"/>
      <c r="F70" s="8" t="n"/>
      <c r="G70" s="9">
        <f>IF(C70="","",IFERROR(VLOOKUP(C70,MAESTRO!$A:$B,2,FALSE),"—"))</f>
        <v/>
      </c>
      <c r="H70" s="9">
        <f>IF(A70="","",IFERROR(VLOOKUP(A70,TIPOS!$A:$B,2,FALSE),""))</f>
        <v/>
      </c>
      <c r="I70" s="10">
        <f>IF(C70="","",IFERROR((N(D70)*N(VLOOKUP(C70,MAESTRO!$A:$D,4,FALSE))+N(E70))*VLOOKUP(C70,MAESTRO!$A:$C,3,FALSE)+N(F70),""))</f>
        <v/>
      </c>
      <c r="J70" s="9">
        <f>IF(OR(C70="",IFERROR(VLOOKUP(A70,TIPOS!$A:$E,5,FALSE),"No")&lt;&gt;"Sí"),"",IFERROR(IF(VLOOKUP(C70,MAESTRO!$A:$E,5,FALSE)=0,"",VLOOKUP(C70,MAESTRO!$A:$E,5,FALSE)),""))</f>
        <v/>
      </c>
      <c r="K70" s="10">
        <f>IF(OR(J70="",N(I70)=0,IFERROR(VLOOKUP(A70,TIPOS!$A:$E,5,FALSE),"No")&lt;&gt;"Sí"),"",INT(I70/VLOOKUP(C70,MAESTRO!$A:$C,3,FALSE)))</f>
        <v/>
      </c>
      <c r="L70" s="9">
        <f>IF(AND(A70="",C70=""),"",IF(A70="","Falta el tipo",IF(C70="","Falta el código",IF(ISNA(MATCH(C70,MAESTRO!$A:$A,0)),"El código no está en el maestro",IF(AND(N(D70)&gt;0,N(VLOOKUP(C70,MAESTRO!$A:$D,4,FALSE))=0),"Ese código no tiene cajas por estiba: escribe cajas",IF(AND(IFERROR(VLOOKUP(A70,TIPOS!$A:$C,3,FALSE),"")="Sí",B70=""),"Falta el N° de entrega",IF(N(I70)&lt;=0,"Falta la cantidad","OK")))))))</f>
        <v/>
      </c>
    </row>
    <row r="71">
      <c r="A71" s="7" t="n"/>
      <c r="B71" s="7" t="n"/>
      <c r="C71" s="7" t="n"/>
      <c r="D71" s="8" t="n"/>
      <c r="E71" s="8" t="n"/>
      <c r="F71" s="8" t="n"/>
      <c r="G71" s="9">
        <f>IF(C71="","",IFERROR(VLOOKUP(C71,MAESTRO!$A:$B,2,FALSE),"—"))</f>
        <v/>
      </c>
      <c r="H71" s="9">
        <f>IF(A71="","",IFERROR(VLOOKUP(A71,TIPOS!$A:$B,2,FALSE),""))</f>
        <v/>
      </c>
      <c r="I71" s="10">
        <f>IF(C71="","",IFERROR((N(D71)*N(VLOOKUP(C71,MAESTRO!$A:$D,4,FALSE))+N(E71))*VLOOKUP(C71,MAESTRO!$A:$C,3,FALSE)+N(F71),""))</f>
        <v/>
      </c>
      <c r="J71" s="9">
        <f>IF(OR(C71="",IFERROR(VLOOKUP(A71,TIPOS!$A:$E,5,FALSE),"No")&lt;&gt;"Sí"),"",IFERROR(IF(VLOOKUP(C71,MAESTRO!$A:$E,5,FALSE)=0,"",VLOOKUP(C71,MAESTRO!$A:$E,5,FALSE)),""))</f>
        <v/>
      </c>
      <c r="K71" s="10">
        <f>IF(OR(J71="",N(I71)=0,IFERROR(VLOOKUP(A71,TIPOS!$A:$E,5,FALSE),"No")&lt;&gt;"Sí"),"",INT(I71/VLOOKUP(C71,MAESTRO!$A:$C,3,FALSE)))</f>
        <v/>
      </c>
      <c r="L71" s="9">
        <f>IF(AND(A71="",C71=""),"",IF(A71="","Falta el tipo",IF(C71="","Falta el código",IF(ISNA(MATCH(C71,MAESTRO!$A:$A,0)),"El código no está en el maestro",IF(AND(N(D71)&gt;0,N(VLOOKUP(C71,MAESTRO!$A:$D,4,FALSE))=0),"Ese código no tiene cajas por estiba: escribe cajas",IF(AND(IFERROR(VLOOKUP(A71,TIPOS!$A:$C,3,FALSE),"")="Sí",B71=""),"Falta el N° de entrega",IF(N(I71)&lt;=0,"Falta la cantidad","OK")))))))</f>
        <v/>
      </c>
    </row>
    <row r="72">
      <c r="A72" s="7" t="n"/>
      <c r="B72" s="7" t="n"/>
      <c r="C72" s="7" t="n"/>
      <c r="D72" s="8" t="n"/>
      <c r="E72" s="8" t="n"/>
      <c r="F72" s="8" t="n"/>
      <c r="G72" s="9">
        <f>IF(C72="","",IFERROR(VLOOKUP(C72,MAESTRO!$A:$B,2,FALSE),"—"))</f>
        <v/>
      </c>
      <c r="H72" s="9">
        <f>IF(A72="","",IFERROR(VLOOKUP(A72,TIPOS!$A:$B,2,FALSE),""))</f>
        <v/>
      </c>
      <c r="I72" s="10">
        <f>IF(C72="","",IFERROR((N(D72)*N(VLOOKUP(C72,MAESTRO!$A:$D,4,FALSE))+N(E72))*VLOOKUP(C72,MAESTRO!$A:$C,3,FALSE)+N(F72),""))</f>
        <v/>
      </c>
      <c r="J72" s="9">
        <f>IF(OR(C72="",IFERROR(VLOOKUP(A72,TIPOS!$A:$E,5,FALSE),"No")&lt;&gt;"Sí"),"",IFERROR(IF(VLOOKUP(C72,MAESTRO!$A:$E,5,FALSE)=0,"",VLOOKUP(C72,MAESTRO!$A:$E,5,FALSE)),""))</f>
        <v/>
      </c>
      <c r="K72" s="10">
        <f>IF(OR(J72="",N(I72)=0,IFERROR(VLOOKUP(A72,TIPOS!$A:$E,5,FALSE),"No")&lt;&gt;"Sí"),"",INT(I72/VLOOKUP(C72,MAESTRO!$A:$C,3,FALSE)))</f>
        <v/>
      </c>
      <c r="L72" s="9">
        <f>IF(AND(A72="",C72=""),"",IF(A72="","Falta el tipo",IF(C72="","Falta el código",IF(ISNA(MATCH(C72,MAESTRO!$A:$A,0)),"El código no está en el maestro",IF(AND(N(D72)&gt;0,N(VLOOKUP(C72,MAESTRO!$A:$D,4,FALSE))=0),"Ese código no tiene cajas por estiba: escribe cajas",IF(AND(IFERROR(VLOOKUP(A72,TIPOS!$A:$C,3,FALSE),"")="Sí",B72=""),"Falta el N° de entrega",IF(N(I72)&lt;=0,"Falta la cantidad","OK")))))))</f>
        <v/>
      </c>
    </row>
    <row r="73">
      <c r="A73" s="7" t="n"/>
      <c r="B73" s="7" t="n"/>
      <c r="C73" s="7" t="n"/>
      <c r="D73" s="8" t="n"/>
      <c r="E73" s="8" t="n"/>
      <c r="F73" s="8" t="n"/>
      <c r="G73" s="9">
        <f>IF(C73="","",IFERROR(VLOOKUP(C73,MAESTRO!$A:$B,2,FALSE),"—"))</f>
        <v/>
      </c>
      <c r="H73" s="9">
        <f>IF(A73="","",IFERROR(VLOOKUP(A73,TIPOS!$A:$B,2,FALSE),""))</f>
        <v/>
      </c>
      <c r="I73" s="10">
        <f>IF(C73="","",IFERROR((N(D73)*N(VLOOKUP(C73,MAESTRO!$A:$D,4,FALSE))+N(E73))*VLOOKUP(C73,MAESTRO!$A:$C,3,FALSE)+N(F73),""))</f>
        <v/>
      </c>
      <c r="J73" s="9">
        <f>IF(OR(C73="",IFERROR(VLOOKUP(A73,TIPOS!$A:$E,5,FALSE),"No")&lt;&gt;"Sí"),"",IFERROR(IF(VLOOKUP(C73,MAESTRO!$A:$E,5,FALSE)=0,"",VLOOKUP(C73,MAESTRO!$A:$E,5,FALSE)),""))</f>
        <v/>
      </c>
      <c r="K73" s="10">
        <f>IF(OR(J73="",N(I73)=0,IFERROR(VLOOKUP(A73,TIPOS!$A:$E,5,FALSE),"No")&lt;&gt;"Sí"),"",INT(I73/VLOOKUP(C73,MAESTRO!$A:$C,3,FALSE)))</f>
        <v/>
      </c>
      <c r="L73" s="9">
        <f>IF(AND(A73="",C73=""),"",IF(A73="","Falta el tipo",IF(C73="","Falta el código",IF(ISNA(MATCH(C73,MAESTRO!$A:$A,0)),"El código no está en el maestro",IF(AND(N(D73)&gt;0,N(VLOOKUP(C73,MAESTRO!$A:$D,4,FALSE))=0),"Ese código no tiene cajas por estiba: escribe cajas",IF(AND(IFERROR(VLOOKUP(A73,TIPOS!$A:$C,3,FALSE),"")="Sí",B73=""),"Falta el N° de entrega",IF(N(I73)&lt;=0,"Falta la cantidad","OK")))))))</f>
        <v/>
      </c>
    </row>
    <row r="74">
      <c r="A74" s="7" t="n"/>
      <c r="B74" s="7" t="n"/>
      <c r="C74" s="7" t="n"/>
      <c r="D74" s="8" t="n"/>
      <c r="E74" s="8" t="n"/>
      <c r="F74" s="8" t="n"/>
      <c r="G74" s="9">
        <f>IF(C74="","",IFERROR(VLOOKUP(C74,MAESTRO!$A:$B,2,FALSE),"—"))</f>
        <v/>
      </c>
      <c r="H74" s="9">
        <f>IF(A74="","",IFERROR(VLOOKUP(A74,TIPOS!$A:$B,2,FALSE),""))</f>
        <v/>
      </c>
      <c r="I74" s="10">
        <f>IF(C74="","",IFERROR((N(D74)*N(VLOOKUP(C74,MAESTRO!$A:$D,4,FALSE))+N(E74))*VLOOKUP(C74,MAESTRO!$A:$C,3,FALSE)+N(F74),""))</f>
        <v/>
      </c>
      <c r="J74" s="9">
        <f>IF(OR(C74="",IFERROR(VLOOKUP(A74,TIPOS!$A:$E,5,FALSE),"No")&lt;&gt;"Sí"),"",IFERROR(IF(VLOOKUP(C74,MAESTRO!$A:$E,5,FALSE)=0,"",VLOOKUP(C74,MAESTRO!$A:$E,5,FALSE)),""))</f>
        <v/>
      </c>
      <c r="K74" s="10">
        <f>IF(OR(J74="",N(I74)=0,IFERROR(VLOOKUP(A74,TIPOS!$A:$E,5,FALSE),"No")&lt;&gt;"Sí"),"",INT(I74/VLOOKUP(C74,MAESTRO!$A:$C,3,FALSE)))</f>
        <v/>
      </c>
      <c r="L74" s="9">
        <f>IF(AND(A74="",C74=""),"",IF(A74="","Falta el tipo",IF(C74="","Falta el código",IF(ISNA(MATCH(C74,MAESTRO!$A:$A,0)),"El código no está en el maestro",IF(AND(N(D74)&gt;0,N(VLOOKUP(C74,MAESTRO!$A:$D,4,FALSE))=0),"Ese código no tiene cajas por estiba: escribe cajas",IF(AND(IFERROR(VLOOKUP(A74,TIPOS!$A:$C,3,FALSE),"")="Sí",B74=""),"Falta el N° de entrega",IF(N(I74)&lt;=0,"Falta la cantidad","OK")))))))</f>
        <v/>
      </c>
    </row>
    <row r="75">
      <c r="A75" s="7" t="n"/>
      <c r="B75" s="7" t="n"/>
      <c r="C75" s="7" t="n"/>
      <c r="D75" s="8" t="n"/>
      <c r="E75" s="8" t="n"/>
      <c r="F75" s="8" t="n"/>
      <c r="G75" s="9">
        <f>IF(C75="","",IFERROR(VLOOKUP(C75,MAESTRO!$A:$B,2,FALSE),"—"))</f>
        <v/>
      </c>
      <c r="H75" s="9">
        <f>IF(A75="","",IFERROR(VLOOKUP(A75,TIPOS!$A:$B,2,FALSE),""))</f>
        <v/>
      </c>
      <c r="I75" s="10">
        <f>IF(C75="","",IFERROR((N(D75)*N(VLOOKUP(C75,MAESTRO!$A:$D,4,FALSE))+N(E75))*VLOOKUP(C75,MAESTRO!$A:$C,3,FALSE)+N(F75),""))</f>
        <v/>
      </c>
      <c r="J75" s="9">
        <f>IF(OR(C75="",IFERROR(VLOOKUP(A75,TIPOS!$A:$E,5,FALSE),"No")&lt;&gt;"Sí"),"",IFERROR(IF(VLOOKUP(C75,MAESTRO!$A:$E,5,FALSE)=0,"",VLOOKUP(C75,MAESTRO!$A:$E,5,FALSE)),""))</f>
        <v/>
      </c>
      <c r="K75" s="10">
        <f>IF(OR(J75="",N(I75)=0,IFERROR(VLOOKUP(A75,TIPOS!$A:$E,5,FALSE),"No")&lt;&gt;"Sí"),"",INT(I75/VLOOKUP(C75,MAESTRO!$A:$C,3,FALSE)))</f>
        <v/>
      </c>
      <c r="L75" s="9">
        <f>IF(AND(A75="",C75=""),"",IF(A75="","Falta el tipo",IF(C75="","Falta el código",IF(ISNA(MATCH(C75,MAESTRO!$A:$A,0)),"El código no está en el maestro",IF(AND(N(D75)&gt;0,N(VLOOKUP(C75,MAESTRO!$A:$D,4,FALSE))=0),"Ese código no tiene cajas por estiba: escribe cajas",IF(AND(IFERROR(VLOOKUP(A75,TIPOS!$A:$C,3,FALSE),"")="Sí",B75=""),"Falta el N° de entrega",IF(N(I75)&lt;=0,"Falta la cantidad","OK")))))))</f>
        <v/>
      </c>
    </row>
    <row r="76">
      <c r="A76" s="7" t="n"/>
      <c r="B76" s="7" t="n"/>
      <c r="C76" s="7" t="n"/>
      <c r="D76" s="8" t="n"/>
      <c r="E76" s="8" t="n"/>
      <c r="F76" s="8" t="n"/>
      <c r="G76" s="9">
        <f>IF(C76="","",IFERROR(VLOOKUP(C76,MAESTRO!$A:$B,2,FALSE),"—"))</f>
        <v/>
      </c>
      <c r="H76" s="9">
        <f>IF(A76="","",IFERROR(VLOOKUP(A76,TIPOS!$A:$B,2,FALSE),""))</f>
        <v/>
      </c>
      <c r="I76" s="10">
        <f>IF(C76="","",IFERROR((N(D76)*N(VLOOKUP(C76,MAESTRO!$A:$D,4,FALSE))+N(E76))*VLOOKUP(C76,MAESTRO!$A:$C,3,FALSE)+N(F76),""))</f>
        <v/>
      </c>
      <c r="J76" s="9">
        <f>IF(OR(C76="",IFERROR(VLOOKUP(A76,TIPOS!$A:$E,5,FALSE),"No")&lt;&gt;"Sí"),"",IFERROR(IF(VLOOKUP(C76,MAESTRO!$A:$E,5,FALSE)=0,"",VLOOKUP(C76,MAESTRO!$A:$E,5,FALSE)),""))</f>
        <v/>
      </c>
      <c r="K76" s="10">
        <f>IF(OR(J76="",N(I76)=0,IFERROR(VLOOKUP(A76,TIPOS!$A:$E,5,FALSE),"No")&lt;&gt;"Sí"),"",INT(I76/VLOOKUP(C76,MAESTRO!$A:$C,3,FALSE)))</f>
        <v/>
      </c>
      <c r="L76" s="9">
        <f>IF(AND(A76="",C76=""),"",IF(A76="","Falta el tipo",IF(C76="","Falta el código",IF(ISNA(MATCH(C76,MAESTRO!$A:$A,0)),"El código no está en el maestro",IF(AND(N(D76)&gt;0,N(VLOOKUP(C76,MAESTRO!$A:$D,4,FALSE))=0),"Ese código no tiene cajas por estiba: escribe cajas",IF(AND(IFERROR(VLOOKUP(A76,TIPOS!$A:$C,3,FALSE),"")="Sí",B76=""),"Falta el N° de entrega",IF(N(I76)&lt;=0,"Falta la cantidad","OK")))))))</f>
        <v/>
      </c>
    </row>
    <row r="77">
      <c r="A77" s="7" t="n"/>
      <c r="B77" s="7" t="n"/>
      <c r="C77" s="7" t="n"/>
      <c r="D77" s="8" t="n"/>
      <c r="E77" s="8" t="n"/>
      <c r="F77" s="8" t="n"/>
      <c r="G77" s="9">
        <f>IF(C77="","",IFERROR(VLOOKUP(C77,MAESTRO!$A:$B,2,FALSE),"—"))</f>
        <v/>
      </c>
      <c r="H77" s="9">
        <f>IF(A77="","",IFERROR(VLOOKUP(A77,TIPOS!$A:$B,2,FALSE),""))</f>
        <v/>
      </c>
      <c r="I77" s="10">
        <f>IF(C77="","",IFERROR((N(D77)*N(VLOOKUP(C77,MAESTRO!$A:$D,4,FALSE))+N(E77))*VLOOKUP(C77,MAESTRO!$A:$C,3,FALSE)+N(F77),""))</f>
        <v/>
      </c>
      <c r="J77" s="9">
        <f>IF(OR(C77="",IFERROR(VLOOKUP(A77,TIPOS!$A:$E,5,FALSE),"No")&lt;&gt;"Sí"),"",IFERROR(IF(VLOOKUP(C77,MAESTRO!$A:$E,5,FALSE)=0,"",VLOOKUP(C77,MAESTRO!$A:$E,5,FALSE)),""))</f>
        <v/>
      </c>
      <c r="K77" s="10">
        <f>IF(OR(J77="",N(I77)=0,IFERROR(VLOOKUP(A77,TIPOS!$A:$E,5,FALSE),"No")&lt;&gt;"Sí"),"",INT(I77/VLOOKUP(C77,MAESTRO!$A:$C,3,FALSE)))</f>
        <v/>
      </c>
      <c r="L77" s="9">
        <f>IF(AND(A77="",C77=""),"",IF(A77="","Falta el tipo",IF(C77="","Falta el código",IF(ISNA(MATCH(C77,MAESTRO!$A:$A,0)),"El código no está en el maestro",IF(AND(N(D77)&gt;0,N(VLOOKUP(C77,MAESTRO!$A:$D,4,FALSE))=0),"Ese código no tiene cajas por estiba: escribe cajas",IF(AND(IFERROR(VLOOKUP(A77,TIPOS!$A:$C,3,FALSE),"")="Sí",B77=""),"Falta el N° de entrega",IF(N(I77)&lt;=0,"Falta la cantidad","OK")))))))</f>
        <v/>
      </c>
    </row>
    <row r="78">
      <c r="A78" s="7" t="n"/>
      <c r="B78" s="7" t="n"/>
      <c r="C78" s="7" t="n"/>
      <c r="D78" s="8" t="n"/>
      <c r="E78" s="8" t="n"/>
      <c r="F78" s="8" t="n"/>
      <c r="G78" s="9">
        <f>IF(C78="","",IFERROR(VLOOKUP(C78,MAESTRO!$A:$B,2,FALSE),"—"))</f>
        <v/>
      </c>
      <c r="H78" s="9">
        <f>IF(A78="","",IFERROR(VLOOKUP(A78,TIPOS!$A:$B,2,FALSE),""))</f>
        <v/>
      </c>
      <c r="I78" s="10">
        <f>IF(C78="","",IFERROR((N(D78)*N(VLOOKUP(C78,MAESTRO!$A:$D,4,FALSE))+N(E78))*VLOOKUP(C78,MAESTRO!$A:$C,3,FALSE)+N(F78),""))</f>
        <v/>
      </c>
      <c r="J78" s="9">
        <f>IF(OR(C78="",IFERROR(VLOOKUP(A78,TIPOS!$A:$E,5,FALSE),"No")&lt;&gt;"Sí"),"",IFERROR(IF(VLOOKUP(C78,MAESTRO!$A:$E,5,FALSE)=0,"",VLOOKUP(C78,MAESTRO!$A:$E,5,FALSE)),""))</f>
        <v/>
      </c>
      <c r="K78" s="10">
        <f>IF(OR(J78="",N(I78)=0,IFERROR(VLOOKUP(A78,TIPOS!$A:$E,5,FALSE),"No")&lt;&gt;"Sí"),"",INT(I78/VLOOKUP(C78,MAESTRO!$A:$C,3,FALSE)))</f>
        <v/>
      </c>
      <c r="L78" s="9">
        <f>IF(AND(A78="",C78=""),"",IF(A78="","Falta el tipo",IF(C78="","Falta el código",IF(ISNA(MATCH(C78,MAESTRO!$A:$A,0)),"El código no está en el maestro",IF(AND(N(D78)&gt;0,N(VLOOKUP(C78,MAESTRO!$A:$D,4,FALSE))=0),"Ese código no tiene cajas por estiba: escribe cajas",IF(AND(IFERROR(VLOOKUP(A78,TIPOS!$A:$C,3,FALSE),"")="Sí",B78=""),"Falta el N° de entrega",IF(N(I78)&lt;=0,"Falta la cantidad","OK")))))))</f>
        <v/>
      </c>
    </row>
    <row r="79">
      <c r="A79" s="7" t="n"/>
      <c r="B79" s="7" t="n"/>
      <c r="C79" s="7" t="n"/>
      <c r="D79" s="8" t="n"/>
      <c r="E79" s="8" t="n"/>
      <c r="F79" s="8" t="n"/>
      <c r="G79" s="9">
        <f>IF(C79="","",IFERROR(VLOOKUP(C79,MAESTRO!$A:$B,2,FALSE),"—"))</f>
        <v/>
      </c>
      <c r="H79" s="9">
        <f>IF(A79="","",IFERROR(VLOOKUP(A79,TIPOS!$A:$B,2,FALSE),""))</f>
        <v/>
      </c>
      <c r="I79" s="10">
        <f>IF(C79="","",IFERROR((N(D79)*N(VLOOKUP(C79,MAESTRO!$A:$D,4,FALSE))+N(E79))*VLOOKUP(C79,MAESTRO!$A:$C,3,FALSE)+N(F79),""))</f>
        <v/>
      </c>
      <c r="J79" s="9">
        <f>IF(OR(C79="",IFERROR(VLOOKUP(A79,TIPOS!$A:$E,5,FALSE),"No")&lt;&gt;"Sí"),"",IFERROR(IF(VLOOKUP(C79,MAESTRO!$A:$E,5,FALSE)=0,"",VLOOKUP(C79,MAESTRO!$A:$E,5,FALSE)),""))</f>
        <v/>
      </c>
      <c r="K79" s="10">
        <f>IF(OR(J79="",N(I79)=0,IFERROR(VLOOKUP(A79,TIPOS!$A:$E,5,FALSE),"No")&lt;&gt;"Sí"),"",INT(I79/VLOOKUP(C79,MAESTRO!$A:$C,3,FALSE)))</f>
        <v/>
      </c>
      <c r="L79" s="9">
        <f>IF(AND(A79="",C79=""),"",IF(A79="","Falta el tipo",IF(C79="","Falta el código",IF(ISNA(MATCH(C79,MAESTRO!$A:$A,0)),"El código no está en el maestro",IF(AND(N(D79)&gt;0,N(VLOOKUP(C79,MAESTRO!$A:$D,4,FALSE))=0),"Ese código no tiene cajas por estiba: escribe cajas",IF(AND(IFERROR(VLOOKUP(A79,TIPOS!$A:$C,3,FALSE),"")="Sí",B79=""),"Falta el N° de entrega",IF(N(I79)&lt;=0,"Falta la cantidad","OK")))))))</f>
        <v/>
      </c>
    </row>
    <row r="80">
      <c r="A80" s="7" t="n"/>
      <c r="B80" s="7" t="n"/>
      <c r="C80" s="7" t="n"/>
      <c r="D80" s="8" t="n"/>
      <c r="E80" s="8" t="n"/>
      <c r="F80" s="8" t="n"/>
      <c r="G80" s="9">
        <f>IF(C80="","",IFERROR(VLOOKUP(C80,MAESTRO!$A:$B,2,FALSE),"—"))</f>
        <v/>
      </c>
      <c r="H80" s="9">
        <f>IF(A80="","",IFERROR(VLOOKUP(A80,TIPOS!$A:$B,2,FALSE),""))</f>
        <v/>
      </c>
      <c r="I80" s="10">
        <f>IF(C80="","",IFERROR((N(D80)*N(VLOOKUP(C80,MAESTRO!$A:$D,4,FALSE))+N(E80))*VLOOKUP(C80,MAESTRO!$A:$C,3,FALSE)+N(F80),""))</f>
        <v/>
      </c>
      <c r="J80" s="9">
        <f>IF(OR(C80="",IFERROR(VLOOKUP(A80,TIPOS!$A:$E,5,FALSE),"No")&lt;&gt;"Sí"),"",IFERROR(IF(VLOOKUP(C80,MAESTRO!$A:$E,5,FALSE)=0,"",VLOOKUP(C80,MAESTRO!$A:$E,5,FALSE)),""))</f>
        <v/>
      </c>
      <c r="K80" s="10">
        <f>IF(OR(J80="",N(I80)=0,IFERROR(VLOOKUP(A80,TIPOS!$A:$E,5,FALSE),"No")&lt;&gt;"Sí"),"",INT(I80/VLOOKUP(C80,MAESTRO!$A:$C,3,FALSE)))</f>
        <v/>
      </c>
      <c r="L80" s="9">
        <f>IF(AND(A80="",C80=""),"",IF(A80="","Falta el tipo",IF(C80="","Falta el código",IF(ISNA(MATCH(C80,MAESTRO!$A:$A,0)),"El código no está en el maestro",IF(AND(N(D80)&gt;0,N(VLOOKUP(C80,MAESTRO!$A:$D,4,FALSE))=0),"Ese código no tiene cajas por estiba: escribe cajas",IF(AND(IFERROR(VLOOKUP(A80,TIPOS!$A:$C,3,FALSE),"")="Sí",B80=""),"Falta el N° de entrega",IF(N(I80)&lt;=0,"Falta la cantidad","OK")))))))</f>
        <v/>
      </c>
    </row>
    <row r="81">
      <c r="A81" s="7" t="n"/>
      <c r="B81" s="7" t="n"/>
      <c r="C81" s="7" t="n"/>
      <c r="D81" s="8" t="n"/>
      <c r="E81" s="8" t="n"/>
      <c r="F81" s="8" t="n"/>
      <c r="G81" s="9">
        <f>IF(C81="","",IFERROR(VLOOKUP(C81,MAESTRO!$A:$B,2,FALSE),"—"))</f>
        <v/>
      </c>
      <c r="H81" s="9">
        <f>IF(A81="","",IFERROR(VLOOKUP(A81,TIPOS!$A:$B,2,FALSE),""))</f>
        <v/>
      </c>
      <c r="I81" s="10">
        <f>IF(C81="","",IFERROR((N(D81)*N(VLOOKUP(C81,MAESTRO!$A:$D,4,FALSE))+N(E81))*VLOOKUP(C81,MAESTRO!$A:$C,3,FALSE)+N(F81),""))</f>
        <v/>
      </c>
      <c r="J81" s="9">
        <f>IF(OR(C81="",IFERROR(VLOOKUP(A81,TIPOS!$A:$E,5,FALSE),"No")&lt;&gt;"Sí"),"",IFERROR(IF(VLOOKUP(C81,MAESTRO!$A:$E,5,FALSE)=0,"",VLOOKUP(C81,MAESTRO!$A:$E,5,FALSE)),""))</f>
        <v/>
      </c>
      <c r="K81" s="10">
        <f>IF(OR(J81="",N(I81)=0,IFERROR(VLOOKUP(A81,TIPOS!$A:$E,5,FALSE),"No")&lt;&gt;"Sí"),"",INT(I81/VLOOKUP(C81,MAESTRO!$A:$C,3,FALSE)))</f>
        <v/>
      </c>
      <c r="L81" s="9">
        <f>IF(AND(A81="",C81=""),"",IF(A81="","Falta el tipo",IF(C81="","Falta el código",IF(ISNA(MATCH(C81,MAESTRO!$A:$A,0)),"El código no está en el maestro",IF(AND(N(D81)&gt;0,N(VLOOKUP(C81,MAESTRO!$A:$D,4,FALSE))=0),"Ese código no tiene cajas por estiba: escribe cajas",IF(AND(IFERROR(VLOOKUP(A81,TIPOS!$A:$C,3,FALSE),"")="Sí",B81=""),"Falta el N° de entrega",IF(N(I81)&lt;=0,"Falta la cantidad","OK")))))))</f>
        <v/>
      </c>
    </row>
    <row r="82">
      <c r="A82" s="7" t="n"/>
      <c r="B82" s="7" t="n"/>
      <c r="C82" s="7" t="n"/>
      <c r="D82" s="8" t="n"/>
      <c r="E82" s="8" t="n"/>
      <c r="F82" s="8" t="n"/>
      <c r="G82" s="9">
        <f>IF(C82="","",IFERROR(VLOOKUP(C82,MAESTRO!$A:$B,2,FALSE),"—"))</f>
        <v/>
      </c>
      <c r="H82" s="9">
        <f>IF(A82="","",IFERROR(VLOOKUP(A82,TIPOS!$A:$B,2,FALSE),""))</f>
        <v/>
      </c>
      <c r="I82" s="10">
        <f>IF(C82="","",IFERROR((N(D82)*N(VLOOKUP(C82,MAESTRO!$A:$D,4,FALSE))+N(E82))*VLOOKUP(C82,MAESTRO!$A:$C,3,FALSE)+N(F82),""))</f>
        <v/>
      </c>
      <c r="J82" s="9">
        <f>IF(OR(C82="",IFERROR(VLOOKUP(A82,TIPOS!$A:$E,5,FALSE),"No")&lt;&gt;"Sí"),"",IFERROR(IF(VLOOKUP(C82,MAESTRO!$A:$E,5,FALSE)=0,"",VLOOKUP(C82,MAESTRO!$A:$E,5,FALSE)),""))</f>
        <v/>
      </c>
      <c r="K82" s="10">
        <f>IF(OR(J82="",N(I82)=0,IFERROR(VLOOKUP(A82,TIPOS!$A:$E,5,FALSE),"No")&lt;&gt;"Sí"),"",INT(I82/VLOOKUP(C82,MAESTRO!$A:$C,3,FALSE)))</f>
        <v/>
      </c>
      <c r="L82" s="9">
        <f>IF(AND(A82="",C82=""),"",IF(A82="","Falta el tipo",IF(C82="","Falta el código",IF(ISNA(MATCH(C82,MAESTRO!$A:$A,0)),"El código no está en el maestro",IF(AND(N(D82)&gt;0,N(VLOOKUP(C82,MAESTRO!$A:$D,4,FALSE))=0),"Ese código no tiene cajas por estiba: escribe cajas",IF(AND(IFERROR(VLOOKUP(A82,TIPOS!$A:$C,3,FALSE),"")="Sí",B82=""),"Falta el N° de entrega",IF(N(I82)&lt;=0,"Falta la cantidad","OK")))))))</f>
        <v/>
      </c>
    </row>
    <row r="83">
      <c r="A83" s="7" t="n"/>
      <c r="B83" s="7" t="n"/>
      <c r="C83" s="7" t="n"/>
      <c r="D83" s="8" t="n"/>
      <c r="E83" s="8" t="n"/>
      <c r="F83" s="8" t="n"/>
      <c r="G83" s="9">
        <f>IF(C83="","",IFERROR(VLOOKUP(C83,MAESTRO!$A:$B,2,FALSE),"—"))</f>
        <v/>
      </c>
      <c r="H83" s="9">
        <f>IF(A83="","",IFERROR(VLOOKUP(A83,TIPOS!$A:$B,2,FALSE),""))</f>
        <v/>
      </c>
      <c r="I83" s="10">
        <f>IF(C83="","",IFERROR((N(D83)*N(VLOOKUP(C83,MAESTRO!$A:$D,4,FALSE))+N(E83))*VLOOKUP(C83,MAESTRO!$A:$C,3,FALSE)+N(F83),""))</f>
        <v/>
      </c>
      <c r="J83" s="9">
        <f>IF(OR(C83="",IFERROR(VLOOKUP(A83,TIPOS!$A:$E,5,FALSE),"No")&lt;&gt;"Sí"),"",IFERROR(IF(VLOOKUP(C83,MAESTRO!$A:$E,5,FALSE)=0,"",VLOOKUP(C83,MAESTRO!$A:$E,5,FALSE)),""))</f>
        <v/>
      </c>
      <c r="K83" s="10">
        <f>IF(OR(J83="",N(I83)=0,IFERROR(VLOOKUP(A83,TIPOS!$A:$E,5,FALSE),"No")&lt;&gt;"Sí"),"",INT(I83/VLOOKUP(C83,MAESTRO!$A:$C,3,FALSE)))</f>
        <v/>
      </c>
      <c r="L83" s="9">
        <f>IF(AND(A83="",C83=""),"",IF(A83="","Falta el tipo",IF(C83="","Falta el código",IF(ISNA(MATCH(C83,MAESTRO!$A:$A,0)),"El código no está en el maestro",IF(AND(N(D83)&gt;0,N(VLOOKUP(C83,MAESTRO!$A:$D,4,FALSE))=0),"Ese código no tiene cajas por estiba: escribe cajas",IF(AND(IFERROR(VLOOKUP(A83,TIPOS!$A:$C,3,FALSE),"")="Sí",B83=""),"Falta el N° de entrega",IF(N(I83)&lt;=0,"Falta la cantidad","OK")))))))</f>
        <v/>
      </c>
    </row>
    <row r="84">
      <c r="A84" s="7" t="n"/>
      <c r="B84" s="7" t="n"/>
      <c r="C84" s="7" t="n"/>
      <c r="D84" s="8" t="n"/>
      <c r="E84" s="8" t="n"/>
      <c r="F84" s="8" t="n"/>
      <c r="G84" s="9">
        <f>IF(C84="","",IFERROR(VLOOKUP(C84,MAESTRO!$A:$B,2,FALSE),"—"))</f>
        <v/>
      </c>
      <c r="H84" s="9">
        <f>IF(A84="","",IFERROR(VLOOKUP(A84,TIPOS!$A:$B,2,FALSE),""))</f>
        <v/>
      </c>
      <c r="I84" s="10">
        <f>IF(C84="","",IFERROR((N(D84)*N(VLOOKUP(C84,MAESTRO!$A:$D,4,FALSE))+N(E84))*VLOOKUP(C84,MAESTRO!$A:$C,3,FALSE)+N(F84),""))</f>
        <v/>
      </c>
      <c r="J84" s="9">
        <f>IF(OR(C84="",IFERROR(VLOOKUP(A84,TIPOS!$A:$E,5,FALSE),"No")&lt;&gt;"Sí"),"",IFERROR(IF(VLOOKUP(C84,MAESTRO!$A:$E,5,FALSE)=0,"",VLOOKUP(C84,MAESTRO!$A:$E,5,FALSE)),""))</f>
        <v/>
      </c>
      <c r="K84" s="10">
        <f>IF(OR(J84="",N(I84)=0,IFERROR(VLOOKUP(A84,TIPOS!$A:$E,5,FALSE),"No")&lt;&gt;"Sí"),"",INT(I84/VLOOKUP(C84,MAESTRO!$A:$C,3,FALSE)))</f>
        <v/>
      </c>
      <c r="L84" s="9">
        <f>IF(AND(A84="",C84=""),"",IF(A84="","Falta el tipo",IF(C84="","Falta el código",IF(ISNA(MATCH(C84,MAESTRO!$A:$A,0)),"El código no está en el maestro",IF(AND(N(D84)&gt;0,N(VLOOKUP(C84,MAESTRO!$A:$D,4,FALSE))=0),"Ese código no tiene cajas por estiba: escribe cajas",IF(AND(IFERROR(VLOOKUP(A84,TIPOS!$A:$C,3,FALSE),"")="Sí",B84=""),"Falta el N° de entrega",IF(N(I84)&lt;=0,"Falta la cantidad","OK")))))))</f>
        <v/>
      </c>
    </row>
    <row r="85">
      <c r="A85" s="7" t="n"/>
      <c r="B85" s="7" t="n"/>
      <c r="C85" s="7" t="n"/>
      <c r="D85" s="8" t="n"/>
      <c r="E85" s="8" t="n"/>
      <c r="F85" s="8" t="n"/>
      <c r="G85" s="9">
        <f>IF(C85="","",IFERROR(VLOOKUP(C85,MAESTRO!$A:$B,2,FALSE),"—"))</f>
        <v/>
      </c>
      <c r="H85" s="9">
        <f>IF(A85="","",IFERROR(VLOOKUP(A85,TIPOS!$A:$B,2,FALSE),""))</f>
        <v/>
      </c>
      <c r="I85" s="10">
        <f>IF(C85="","",IFERROR((N(D85)*N(VLOOKUP(C85,MAESTRO!$A:$D,4,FALSE))+N(E85))*VLOOKUP(C85,MAESTRO!$A:$C,3,FALSE)+N(F85),""))</f>
        <v/>
      </c>
      <c r="J85" s="9">
        <f>IF(OR(C85="",IFERROR(VLOOKUP(A85,TIPOS!$A:$E,5,FALSE),"No")&lt;&gt;"Sí"),"",IFERROR(IF(VLOOKUP(C85,MAESTRO!$A:$E,5,FALSE)=0,"",VLOOKUP(C85,MAESTRO!$A:$E,5,FALSE)),""))</f>
        <v/>
      </c>
      <c r="K85" s="10">
        <f>IF(OR(J85="",N(I85)=0,IFERROR(VLOOKUP(A85,TIPOS!$A:$E,5,FALSE),"No")&lt;&gt;"Sí"),"",INT(I85/VLOOKUP(C85,MAESTRO!$A:$C,3,FALSE)))</f>
        <v/>
      </c>
      <c r="L85" s="9">
        <f>IF(AND(A85="",C85=""),"",IF(A85="","Falta el tipo",IF(C85="","Falta el código",IF(ISNA(MATCH(C85,MAESTRO!$A:$A,0)),"El código no está en el maestro",IF(AND(N(D85)&gt;0,N(VLOOKUP(C85,MAESTRO!$A:$D,4,FALSE))=0),"Ese código no tiene cajas por estiba: escribe cajas",IF(AND(IFERROR(VLOOKUP(A85,TIPOS!$A:$C,3,FALSE),"")="Sí",B85=""),"Falta el N° de entrega",IF(N(I85)&lt;=0,"Falta la cantidad","OK")))))))</f>
        <v/>
      </c>
    </row>
    <row r="86">
      <c r="A86" s="7" t="n"/>
      <c r="B86" s="7" t="n"/>
      <c r="C86" s="7" t="n"/>
      <c r="D86" s="8" t="n"/>
      <c r="E86" s="8" t="n"/>
      <c r="F86" s="8" t="n"/>
      <c r="G86" s="9">
        <f>IF(C86="","",IFERROR(VLOOKUP(C86,MAESTRO!$A:$B,2,FALSE),"—"))</f>
        <v/>
      </c>
      <c r="H86" s="9">
        <f>IF(A86="","",IFERROR(VLOOKUP(A86,TIPOS!$A:$B,2,FALSE),""))</f>
        <v/>
      </c>
      <c r="I86" s="10">
        <f>IF(C86="","",IFERROR((N(D86)*N(VLOOKUP(C86,MAESTRO!$A:$D,4,FALSE))+N(E86))*VLOOKUP(C86,MAESTRO!$A:$C,3,FALSE)+N(F86),""))</f>
        <v/>
      </c>
      <c r="J86" s="9">
        <f>IF(OR(C86="",IFERROR(VLOOKUP(A86,TIPOS!$A:$E,5,FALSE),"No")&lt;&gt;"Sí"),"",IFERROR(IF(VLOOKUP(C86,MAESTRO!$A:$E,5,FALSE)=0,"",VLOOKUP(C86,MAESTRO!$A:$E,5,FALSE)),""))</f>
        <v/>
      </c>
      <c r="K86" s="10">
        <f>IF(OR(J86="",N(I86)=0,IFERROR(VLOOKUP(A86,TIPOS!$A:$E,5,FALSE),"No")&lt;&gt;"Sí"),"",INT(I86/VLOOKUP(C86,MAESTRO!$A:$C,3,FALSE)))</f>
        <v/>
      </c>
      <c r="L86" s="9">
        <f>IF(AND(A86="",C86=""),"",IF(A86="","Falta el tipo",IF(C86="","Falta el código",IF(ISNA(MATCH(C86,MAESTRO!$A:$A,0)),"El código no está en el maestro",IF(AND(N(D86)&gt;0,N(VLOOKUP(C86,MAESTRO!$A:$D,4,FALSE))=0),"Ese código no tiene cajas por estiba: escribe cajas",IF(AND(IFERROR(VLOOKUP(A86,TIPOS!$A:$C,3,FALSE),"")="Sí",B86=""),"Falta el N° de entrega",IF(N(I86)&lt;=0,"Falta la cantidad","OK")))))))</f>
        <v/>
      </c>
    </row>
    <row r="87">
      <c r="A87" s="7" t="n"/>
      <c r="B87" s="7" t="n"/>
      <c r="C87" s="7" t="n"/>
      <c r="D87" s="8" t="n"/>
      <c r="E87" s="8" t="n"/>
      <c r="F87" s="8" t="n"/>
      <c r="G87" s="9">
        <f>IF(C87="","",IFERROR(VLOOKUP(C87,MAESTRO!$A:$B,2,FALSE),"—"))</f>
        <v/>
      </c>
      <c r="H87" s="9">
        <f>IF(A87="","",IFERROR(VLOOKUP(A87,TIPOS!$A:$B,2,FALSE),""))</f>
        <v/>
      </c>
      <c r="I87" s="10">
        <f>IF(C87="","",IFERROR((N(D87)*N(VLOOKUP(C87,MAESTRO!$A:$D,4,FALSE))+N(E87))*VLOOKUP(C87,MAESTRO!$A:$C,3,FALSE)+N(F87),""))</f>
        <v/>
      </c>
      <c r="J87" s="9">
        <f>IF(OR(C87="",IFERROR(VLOOKUP(A87,TIPOS!$A:$E,5,FALSE),"No")&lt;&gt;"Sí"),"",IFERROR(IF(VLOOKUP(C87,MAESTRO!$A:$E,5,FALSE)=0,"",VLOOKUP(C87,MAESTRO!$A:$E,5,FALSE)),""))</f>
        <v/>
      </c>
      <c r="K87" s="10">
        <f>IF(OR(J87="",N(I87)=0,IFERROR(VLOOKUP(A87,TIPOS!$A:$E,5,FALSE),"No")&lt;&gt;"Sí"),"",INT(I87/VLOOKUP(C87,MAESTRO!$A:$C,3,FALSE)))</f>
        <v/>
      </c>
      <c r="L87" s="9">
        <f>IF(AND(A87="",C87=""),"",IF(A87="","Falta el tipo",IF(C87="","Falta el código",IF(ISNA(MATCH(C87,MAESTRO!$A:$A,0)),"El código no está en el maestro",IF(AND(N(D87)&gt;0,N(VLOOKUP(C87,MAESTRO!$A:$D,4,FALSE))=0),"Ese código no tiene cajas por estiba: escribe cajas",IF(AND(IFERROR(VLOOKUP(A87,TIPOS!$A:$C,3,FALSE),"")="Sí",B87=""),"Falta el N° de entrega",IF(N(I87)&lt;=0,"Falta la cantidad","OK")))))))</f>
        <v/>
      </c>
    </row>
    <row r="88">
      <c r="A88" s="7" t="n"/>
      <c r="B88" s="7" t="n"/>
      <c r="C88" s="7" t="n"/>
      <c r="D88" s="8" t="n"/>
      <c r="E88" s="8" t="n"/>
      <c r="F88" s="8" t="n"/>
      <c r="G88" s="9">
        <f>IF(C88="","",IFERROR(VLOOKUP(C88,MAESTRO!$A:$B,2,FALSE),"—"))</f>
        <v/>
      </c>
      <c r="H88" s="9">
        <f>IF(A88="","",IFERROR(VLOOKUP(A88,TIPOS!$A:$B,2,FALSE),""))</f>
        <v/>
      </c>
      <c r="I88" s="10">
        <f>IF(C88="","",IFERROR((N(D88)*N(VLOOKUP(C88,MAESTRO!$A:$D,4,FALSE))+N(E88))*VLOOKUP(C88,MAESTRO!$A:$C,3,FALSE)+N(F88),""))</f>
        <v/>
      </c>
      <c r="J88" s="9">
        <f>IF(OR(C88="",IFERROR(VLOOKUP(A88,TIPOS!$A:$E,5,FALSE),"No")&lt;&gt;"Sí"),"",IFERROR(IF(VLOOKUP(C88,MAESTRO!$A:$E,5,FALSE)=0,"",VLOOKUP(C88,MAESTRO!$A:$E,5,FALSE)),""))</f>
        <v/>
      </c>
      <c r="K88" s="10">
        <f>IF(OR(J88="",N(I88)=0,IFERROR(VLOOKUP(A88,TIPOS!$A:$E,5,FALSE),"No")&lt;&gt;"Sí"),"",INT(I88/VLOOKUP(C88,MAESTRO!$A:$C,3,FALSE)))</f>
        <v/>
      </c>
      <c r="L88" s="9">
        <f>IF(AND(A88="",C88=""),"",IF(A88="","Falta el tipo",IF(C88="","Falta el código",IF(ISNA(MATCH(C88,MAESTRO!$A:$A,0)),"El código no está en el maestro",IF(AND(N(D88)&gt;0,N(VLOOKUP(C88,MAESTRO!$A:$D,4,FALSE))=0),"Ese código no tiene cajas por estiba: escribe cajas",IF(AND(IFERROR(VLOOKUP(A88,TIPOS!$A:$C,3,FALSE),"")="Sí",B88=""),"Falta el N° de entrega",IF(N(I88)&lt;=0,"Falta la cantidad","OK")))))))</f>
        <v/>
      </c>
    </row>
    <row r="89">
      <c r="A89" s="7" t="n"/>
      <c r="B89" s="7" t="n"/>
      <c r="C89" s="7" t="n"/>
      <c r="D89" s="8" t="n"/>
      <c r="E89" s="8" t="n"/>
      <c r="F89" s="8" t="n"/>
      <c r="G89" s="9">
        <f>IF(C89="","",IFERROR(VLOOKUP(C89,MAESTRO!$A:$B,2,FALSE),"—"))</f>
        <v/>
      </c>
      <c r="H89" s="9">
        <f>IF(A89="","",IFERROR(VLOOKUP(A89,TIPOS!$A:$B,2,FALSE),""))</f>
        <v/>
      </c>
      <c r="I89" s="10">
        <f>IF(C89="","",IFERROR((N(D89)*N(VLOOKUP(C89,MAESTRO!$A:$D,4,FALSE))+N(E89))*VLOOKUP(C89,MAESTRO!$A:$C,3,FALSE)+N(F89),""))</f>
        <v/>
      </c>
      <c r="J89" s="9">
        <f>IF(OR(C89="",IFERROR(VLOOKUP(A89,TIPOS!$A:$E,5,FALSE),"No")&lt;&gt;"Sí"),"",IFERROR(IF(VLOOKUP(C89,MAESTRO!$A:$E,5,FALSE)=0,"",VLOOKUP(C89,MAESTRO!$A:$E,5,FALSE)),""))</f>
        <v/>
      </c>
      <c r="K89" s="10">
        <f>IF(OR(J89="",N(I89)=0,IFERROR(VLOOKUP(A89,TIPOS!$A:$E,5,FALSE),"No")&lt;&gt;"Sí"),"",INT(I89/VLOOKUP(C89,MAESTRO!$A:$C,3,FALSE)))</f>
        <v/>
      </c>
      <c r="L89" s="9">
        <f>IF(AND(A89="",C89=""),"",IF(A89="","Falta el tipo",IF(C89="","Falta el código",IF(ISNA(MATCH(C89,MAESTRO!$A:$A,0)),"El código no está en el maestro",IF(AND(N(D89)&gt;0,N(VLOOKUP(C89,MAESTRO!$A:$D,4,FALSE))=0),"Ese código no tiene cajas por estiba: escribe cajas",IF(AND(IFERROR(VLOOKUP(A89,TIPOS!$A:$C,3,FALSE),"")="Sí",B89=""),"Falta el N° de entrega",IF(N(I89)&lt;=0,"Falta la cantidad","OK")))))))</f>
        <v/>
      </c>
    </row>
    <row r="90">
      <c r="A90" s="7" t="n"/>
      <c r="B90" s="7" t="n"/>
      <c r="C90" s="7" t="n"/>
      <c r="D90" s="8" t="n"/>
      <c r="E90" s="8" t="n"/>
      <c r="F90" s="8" t="n"/>
      <c r="G90" s="9">
        <f>IF(C90="","",IFERROR(VLOOKUP(C90,MAESTRO!$A:$B,2,FALSE),"—"))</f>
        <v/>
      </c>
      <c r="H90" s="9">
        <f>IF(A90="","",IFERROR(VLOOKUP(A90,TIPOS!$A:$B,2,FALSE),""))</f>
        <v/>
      </c>
      <c r="I90" s="10">
        <f>IF(C90="","",IFERROR((N(D90)*N(VLOOKUP(C90,MAESTRO!$A:$D,4,FALSE))+N(E90))*VLOOKUP(C90,MAESTRO!$A:$C,3,FALSE)+N(F90),""))</f>
        <v/>
      </c>
      <c r="J90" s="9">
        <f>IF(OR(C90="",IFERROR(VLOOKUP(A90,TIPOS!$A:$E,5,FALSE),"No")&lt;&gt;"Sí"),"",IFERROR(IF(VLOOKUP(C90,MAESTRO!$A:$E,5,FALSE)=0,"",VLOOKUP(C90,MAESTRO!$A:$E,5,FALSE)),""))</f>
        <v/>
      </c>
      <c r="K90" s="10">
        <f>IF(OR(J90="",N(I90)=0,IFERROR(VLOOKUP(A90,TIPOS!$A:$E,5,FALSE),"No")&lt;&gt;"Sí"),"",INT(I90/VLOOKUP(C90,MAESTRO!$A:$C,3,FALSE)))</f>
        <v/>
      </c>
      <c r="L90" s="9">
        <f>IF(AND(A90="",C90=""),"",IF(A90="","Falta el tipo",IF(C90="","Falta el código",IF(ISNA(MATCH(C90,MAESTRO!$A:$A,0)),"El código no está en el maestro",IF(AND(N(D90)&gt;0,N(VLOOKUP(C90,MAESTRO!$A:$D,4,FALSE))=0),"Ese código no tiene cajas por estiba: escribe cajas",IF(AND(IFERROR(VLOOKUP(A90,TIPOS!$A:$C,3,FALSE),"")="Sí",B90=""),"Falta el N° de entrega",IF(N(I90)&lt;=0,"Falta la cantidad","OK")))))))</f>
        <v/>
      </c>
    </row>
    <row r="91">
      <c r="A91" s="7" t="n"/>
      <c r="B91" s="7" t="n"/>
      <c r="C91" s="7" t="n"/>
      <c r="D91" s="8" t="n"/>
      <c r="E91" s="8" t="n"/>
      <c r="F91" s="8" t="n"/>
      <c r="G91" s="9">
        <f>IF(C91="","",IFERROR(VLOOKUP(C91,MAESTRO!$A:$B,2,FALSE),"—"))</f>
        <v/>
      </c>
      <c r="H91" s="9">
        <f>IF(A91="","",IFERROR(VLOOKUP(A91,TIPOS!$A:$B,2,FALSE),""))</f>
        <v/>
      </c>
      <c r="I91" s="10">
        <f>IF(C91="","",IFERROR((N(D91)*N(VLOOKUP(C91,MAESTRO!$A:$D,4,FALSE))+N(E91))*VLOOKUP(C91,MAESTRO!$A:$C,3,FALSE)+N(F91),""))</f>
        <v/>
      </c>
      <c r="J91" s="9">
        <f>IF(OR(C91="",IFERROR(VLOOKUP(A91,TIPOS!$A:$E,5,FALSE),"No")&lt;&gt;"Sí"),"",IFERROR(IF(VLOOKUP(C91,MAESTRO!$A:$E,5,FALSE)=0,"",VLOOKUP(C91,MAESTRO!$A:$E,5,FALSE)),""))</f>
        <v/>
      </c>
      <c r="K91" s="10">
        <f>IF(OR(J91="",N(I91)=0,IFERROR(VLOOKUP(A91,TIPOS!$A:$E,5,FALSE),"No")&lt;&gt;"Sí"),"",INT(I91/VLOOKUP(C91,MAESTRO!$A:$C,3,FALSE)))</f>
        <v/>
      </c>
      <c r="L91" s="9">
        <f>IF(AND(A91="",C91=""),"",IF(A91="","Falta el tipo",IF(C91="","Falta el código",IF(ISNA(MATCH(C91,MAESTRO!$A:$A,0)),"El código no está en el maestro",IF(AND(N(D91)&gt;0,N(VLOOKUP(C91,MAESTRO!$A:$D,4,FALSE))=0),"Ese código no tiene cajas por estiba: escribe cajas",IF(AND(IFERROR(VLOOKUP(A91,TIPOS!$A:$C,3,FALSE),"")="Sí",B91=""),"Falta el N° de entrega",IF(N(I91)&lt;=0,"Falta la cantidad","OK")))))))</f>
        <v/>
      </c>
    </row>
    <row r="92">
      <c r="A92" s="7" t="n"/>
      <c r="B92" s="7" t="n"/>
      <c r="C92" s="7" t="n"/>
      <c r="D92" s="8" t="n"/>
      <c r="E92" s="8" t="n"/>
      <c r="F92" s="8" t="n"/>
      <c r="G92" s="9">
        <f>IF(C92="","",IFERROR(VLOOKUP(C92,MAESTRO!$A:$B,2,FALSE),"—"))</f>
        <v/>
      </c>
      <c r="H92" s="9">
        <f>IF(A92="","",IFERROR(VLOOKUP(A92,TIPOS!$A:$B,2,FALSE),""))</f>
        <v/>
      </c>
      <c r="I92" s="10">
        <f>IF(C92="","",IFERROR((N(D92)*N(VLOOKUP(C92,MAESTRO!$A:$D,4,FALSE))+N(E92))*VLOOKUP(C92,MAESTRO!$A:$C,3,FALSE)+N(F92),""))</f>
        <v/>
      </c>
      <c r="J92" s="9">
        <f>IF(OR(C92="",IFERROR(VLOOKUP(A92,TIPOS!$A:$E,5,FALSE),"No")&lt;&gt;"Sí"),"",IFERROR(IF(VLOOKUP(C92,MAESTRO!$A:$E,5,FALSE)=0,"",VLOOKUP(C92,MAESTRO!$A:$E,5,FALSE)),""))</f>
        <v/>
      </c>
      <c r="K92" s="10">
        <f>IF(OR(J92="",N(I92)=0,IFERROR(VLOOKUP(A92,TIPOS!$A:$E,5,FALSE),"No")&lt;&gt;"Sí"),"",INT(I92/VLOOKUP(C92,MAESTRO!$A:$C,3,FALSE)))</f>
        <v/>
      </c>
      <c r="L92" s="9">
        <f>IF(AND(A92="",C92=""),"",IF(A92="","Falta el tipo",IF(C92="","Falta el código",IF(ISNA(MATCH(C92,MAESTRO!$A:$A,0)),"El código no está en el maestro",IF(AND(N(D92)&gt;0,N(VLOOKUP(C92,MAESTRO!$A:$D,4,FALSE))=0),"Ese código no tiene cajas por estiba: escribe cajas",IF(AND(IFERROR(VLOOKUP(A92,TIPOS!$A:$C,3,FALSE),"")="Sí",B92=""),"Falta el N° de entrega",IF(N(I92)&lt;=0,"Falta la cantidad","OK")))))))</f>
        <v/>
      </c>
    </row>
    <row r="93">
      <c r="A93" s="7" t="n"/>
      <c r="B93" s="7" t="n"/>
      <c r="C93" s="7" t="n"/>
      <c r="D93" s="8" t="n"/>
      <c r="E93" s="8" t="n"/>
      <c r="F93" s="8" t="n"/>
      <c r="G93" s="9">
        <f>IF(C93="","",IFERROR(VLOOKUP(C93,MAESTRO!$A:$B,2,FALSE),"—"))</f>
        <v/>
      </c>
      <c r="H93" s="9">
        <f>IF(A93="","",IFERROR(VLOOKUP(A93,TIPOS!$A:$B,2,FALSE),""))</f>
        <v/>
      </c>
      <c r="I93" s="10">
        <f>IF(C93="","",IFERROR((N(D93)*N(VLOOKUP(C93,MAESTRO!$A:$D,4,FALSE))+N(E93))*VLOOKUP(C93,MAESTRO!$A:$C,3,FALSE)+N(F93),""))</f>
        <v/>
      </c>
      <c r="J93" s="9">
        <f>IF(OR(C93="",IFERROR(VLOOKUP(A93,TIPOS!$A:$E,5,FALSE),"No")&lt;&gt;"Sí"),"",IFERROR(IF(VLOOKUP(C93,MAESTRO!$A:$E,5,FALSE)=0,"",VLOOKUP(C93,MAESTRO!$A:$E,5,FALSE)),""))</f>
        <v/>
      </c>
      <c r="K93" s="10">
        <f>IF(OR(J93="",N(I93)=0,IFERROR(VLOOKUP(A93,TIPOS!$A:$E,5,FALSE),"No")&lt;&gt;"Sí"),"",INT(I93/VLOOKUP(C93,MAESTRO!$A:$C,3,FALSE)))</f>
        <v/>
      </c>
      <c r="L93" s="9">
        <f>IF(AND(A93="",C93=""),"",IF(A93="","Falta el tipo",IF(C93="","Falta el código",IF(ISNA(MATCH(C93,MAESTRO!$A:$A,0)),"El código no está en el maestro",IF(AND(N(D93)&gt;0,N(VLOOKUP(C93,MAESTRO!$A:$D,4,FALSE))=0),"Ese código no tiene cajas por estiba: escribe cajas",IF(AND(IFERROR(VLOOKUP(A93,TIPOS!$A:$C,3,FALSE),"")="Sí",B93=""),"Falta el N° de entrega",IF(N(I93)&lt;=0,"Falta la cantidad","OK")))))))</f>
        <v/>
      </c>
    </row>
    <row r="94">
      <c r="A94" s="7" t="n"/>
      <c r="B94" s="7" t="n"/>
      <c r="C94" s="7" t="n"/>
      <c r="D94" s="8" t="n"/>
      <c r="E94" s="8" t="n"/>
      <c r="F94" s="8" t="n"/>
      <c r="G94" s="9">
        <f>IF(C94="","",IFERROR(VLOOKUP(C94,MAESTRO!$A:$B,2,FALSE),"—"))</f>
        <v/>
      </c>
      <c r="H94" s="9">
        <f>IF(A94="","",IFERROR(VLOOKUP(A94,TIPOS!$A:$B,2,FALSE),""))</f>
        <v/>
      </c>
      <c r="I94" s="10">
        <f>IF(C94="","",IFERROR((N(D94)*N(VLOOKUP(C94,MAESTRO!$A:$D,4,FALSE))+N(E94))*VLOOKUP(C94,MAESTRO!$A:$C,3,FALSE)+N(F94),""))</f>
        <v/>
      </c>
      <c r="J94" s="9">
        <f>IF(OR(C94="",IFERROR(VLOOKUP(A94,TIPOS!$A:$E,5,FALSE),"No")&lt;&gt;"Sí"),"",IFERROR(IF(VLOOKUP(C94,MAESTRO!$A:$E,5,FALSE)=0,"",VLOOKUP(C94,MAESTRO!$A:$E,5,FALSE)),""))</f>
        <v/>
      </c>
      <c r="K94" s="10">
        <f>IF(OR(J94="",N(I94)=0,IFERROR(VLOOKUP(A94,TIPOS!$A:$E,5,FALSE),"No")&lt;&gt;"Sí"),"",INT(I94/VLOOKUP(C94,MAESTRO!$A:$C,3,FALSE)))</f>
        <v/>
      </c>
      <c r="L94" s="9">
        <f>IF(AND(A94="",C94=""),"",IF(A94="","Falta el tipo",IF(C94="","Falta el código",IF(ISNA(MATCH(C94,MAESTRO!$A:$A,0)),"El código no está en el maestro",IF(AND(N(D94)&gt;0,N(VLOOKUP(C94,MAESTRO!$A:$D,4,FALSE))=0),"Ese código no tiene cajas por estiba: escribe cajas",IF(AND(IFERROR(VLOOKUP(A94,TIPOS!$A:$C,3,FALSE),"")="Sí",B94=""),"Falta el N° de entrega",IF(N(I94)&lt;=0,"Falta la cantidad","OK")))))))</f>
        <v/>
      </c>
    </row>
    <row r="95">
      <c r="A95" s="7" t="n"/>
      <c r="B95" s="7" t="n"/>
      <c r="C95" s="7" t="n"/>
      <c r="D95" s="8" t="n"/>
      <c r="E95" s="8" t="n"/>
      <c r="F95" s="8" t="n"/>
      <c r="G95" s="9">
        <f>IF(C95="","",IFERROR(VLOOKUP(C95,MAESTRO!$A:$B,2,FALSE),"—"))</f>
        <v/>
      </c>
      <c r="H95" s="9">
        <f>IF(A95="","",IFERROR(VLOOKUP(A95,TIPOS!$A:$B,2,FALSE),""))</f>
        <v/>
      </c>
      <c r="I95" s="10">
        <f>IF(C95="","",IFERROR((N(D95)*N(VLOOKUP(C95,MAESTRO!$A:$D,4,FALSE))+N(E95))*VLOOKUP(C95,MAESTRO!$A:$C,3,FALSE)+N(F95),""))</f>
        <v/>
      </c>
      <c r="J95" s="9">
        <f>IF(OR(C95="",IFERROR(VLOOKUP(A95,TIPOS!$A:$E,5,FALSE),"No")&lt;&gt;"Sí"),"",IFERROR(IF(VLOOKUP(C95,MAESTRO!$A:$E,5,FALSE)=0,"",VLOOKUP(C95,MAESTRO!$A:$E,5,FALSE)),""))</f>
        <v/>
      </c>
      <c r="K95" s="10">
        <f>IF(OR(J95="",N(I95)=0,IFERROR(VLOOKUP(A95,TIPOS!$A:$E,5,FALSE),"No")&lt;&gt;"Sí"),"",INT(I95/VLOOKUP(C95,MAESTRO!$A:$C,3,FALSE)))</f>
        <v/>
      </c>
      <c r="L95" s="9">
        <f>IF(AND(A95="",C95=""),"",IF(A95="","Falta el tipo",IF(C95="","Falta el código",IF(ISNA(MATCH(C95,MAESTRO!$A:$A,0)),"El código no está en el maestro",IF(AND(N(D95)&gt;0,N(VLOOKUP(C95,MAESTRO!$A:$D,4,FALSE))=0),"Ese código no tiene cajas por estiba: escribe cajas",IF(AND(IFERROR(VLOOKUP(A95,TIPOS!$A:$C,3,FALSE),"")="Sí",B95=""),"Falta el N° de entrega",IF(N(I95)&lt;=0,"Falta la cantidad","OK")))))))</f>
        <v/>
      </c>
    </row>
    <row r="96">
      <c r="A96" s="7" t="n"/>
      <c r="B96" s="7" t="n"/>
      <c r="C96" s="7" t="n"/>
      <c r="D96" s="8" t="n"/>
      <c r="E96" s="8" t="n"/>
      <c r="F96" s="8" t="n"/>
      <c r="G96" s="9">
        <f>IF(C96="","",IFERROR(VLOOKUP(C96,MAESTRO!$A:$B,2,FALSE),"—"))</f>
        <v/>
      </c>
      <c r="H96" s="9">
        <f>IF(A96="","",IFERROR(VLOOKUP(A96,TIPOS!$A:$B,2,FALSE),""))</f>
        <v/>
      </c>
      <c r="I96" s="10">
        <f>IF(C96="","",IFERROR((N(D96)*N(VLOOKUP(C96,MAESTRO!$A:$D,4,FALSE))+N(E96))*VLOOKUP(C96,MAESTRO!$A:$C,3,FALSE)+N(F96),""))</f>
        <v/>
      </c>
      <c r="J96" s="9">
        <f>IF(OR(C96="",IFERROR(VLOOKUP(A96,TIPOS!$A:$E,5,FALSE),"No")&lt;&gt;"Sí"),"",IFERROR(IF(VLOOKUP(C96,MAESTRO!$A:$E,5,FALSE)=0,"",VLOOKUP(C96,MAESTRO!$A:$E,5,FALSE)),""))</f>
        <v/>
      </c>
      <c r="K96" s="10">
        <f>IF(OR(J96="",N(I96)=0,IFERROR(VLOOKUP(A96,TIPOS!$A:$E,5,FALSE),"No")&lt;&gt;"Sí"),"",INT(I96/VLOOKUP(C96,MAESTRO!$A:$C,3,FALSE)))</f>
        <v/>
      </c>
      <c r="L96" s="9">
        <f>IF(AND(A96="",C96=""),"",IF(A96="","Falta el tipo",IF(C96="","Falta el código",IF(ISNA(MATCH(C96,MAESTRO!$A:$A,0)),"El código no está en el maestro",IF(AND(N(D96)&gt;0,N(VLOOKUP(C96,MAESTRO!$A:$D,4,FALSE))=0),"Ese código no tiene cajas por estiba: escribe cajas",IF(AND(IFERROR(VLOOKUP(A96,TIPOS!$A:$C,3,FALSE),"")="Sí",B96=""),"Falta el N° de entrega",IF(N(I96)&lt;=0,"Falta la cantidad","OK")))))))</f>
        <v/>
      </c>
    </row>
    <row r="97">
      <c r="A97" s="7" t="n"/>
      <c r="B97" s="7" t="n"/>
      <c r="C97" s="7" t="n"/>
      <c r="D97" s="8" t="n"/>
      <c r="E97" s="8" t="n"/>
      <c r="F97" s="8" t="n"/>
      <c r="G97" s="9">
        <f>IF(C97="","",IFERROR(VLOOKUP(C97,MAESTRO!$A:$B,2,FALSE),"—"))</f>
        <v/>
      </c>
      <c r="H97" s="9">
        <f>IF(A97="","",IFERROR(VLOOKUP(A97,TIPOS!$A:$B,2,FALSE),""))</f>
        <v/>
      </c>
      <c r="I97" s="10">
        <f>IF(C97="","",IFERROR((N(D97)*N(VLOOKUP(C97,MAESTRO!$A:$D,4,FALSE))+N(E97))*VLOOKUP(C97,MAESTRO!$A:$C,3,FALSE)+N(F97),""))</f>
        <v/>
      </c>
      <c r="J97" s="9">
        <f>IF(OR(C97="",IFERROR(VLOOKUP(A97,TIPOS!$A:$E,5,FALSE),"No")&lt;&gt;"Sí"),"",IFERROR(IF(VLOOKUP(C97,MAESTRO!$A:$E,5,FALSE)=0,"",VLOOKUP(C97,MAESTRO!$A:$E,5,FALSE)),""))</f>
        <v/>
      </c>
      <c r="K97" s="10">
        <f>IF(OR(J97="",N(I97)=0,IFERROR(VLOOKUP(A97,TIPOS!$A:$E,5,FALSE),"No")&lt;&gt;"Sí"),"",INT(I97/VLOOKUP(C97,MAESTRO!$A:$C,3,FALSE)))</f>
        <v/>
      </c>
      <c r="L97" s="9">
        <f>IF(AND(A97="",C97=""),"",IF(A97="","Falta el tipo",IF(C97="","Falta el código",IF(ISNA(MATCH(C97,MAESTRO!$A:$A,0)),"El código no está en el maestro",IF(AND(N(D97)&gt;0,N(VLOOKUP(C97,MAESTRO!$A:$D,4,FALSE))=0),"Ese código no tiene cajas por estiba: escribe cajas",IF(AND(IFERROR(VLOOKUP(A97,TIPOS!$A:$C,3,FALSE),"")="Sí",B97=""),"Falta el N° de entrega",IF(N(I97)&lt;=0,"Falta la cantidad","OK")))))))</f>
        <v/>
      </c>
    </row>
    <row r="98">
      <c r="A98" s="7" t="n"/>
      <c r="B98" s="7" t="n"/>
      <c r="C98" s="7" t="n"/>
      <c r="D98" s="8" t="n"/>
      <c r="E98" s="8" t="n"/>
      <c r="F98" s="8" t="n"/>
      <c r="G98" s="9">
        <f>IF(C98="","",IFERROR(VLOOKUP(C98,MAESTRO!$A:$B,2,FALSE),"—"))</f>
        <v/>
      </c>
      <c r="H98" s="9">
        <f>IF(A98="","",IFERROR(VLOOKUP(A98,TIPOS!$A:$B,2,FALSE),""))</f>
        <v/>
      </c>
      <c r="I98" s="10">
        <f>IF(C98="","",IFERROR((N(D98)*N(VLOOKUP(C98,MAESTRO!$A:$D,4,FALSE))+N(E98))*VLOOKUP(C98,MAESTRO!$A:$C,3,FALSE)+N(F98),""))</f>
        <v/>
      </c>
      <c r="J98" s="9">
        <f>IF(OR(C98="",IFERROR(VLOOKUP(A98,TIPOS!$A:$E,5,FALSE),"No")&lt;&gt;"Sí"),"",IFERROR(IF(VLOOKUP(C98,MAESTRO!$A:$E,5,FALSE)=0,"",VLOOKUP(C98,MAESTRO!$A:$E,5,FALSE)),""))</f>
        <v/>
      </c>
      <c r="K98" s="10">
        <f>IF(OR(J98="",N(I98)=0,IFERROR(VLOOKUP(A98,TIPOS!$A:$E,5,FALSE),"No")&lt;&gt;"Sí"),"",INT(I98/VLOOKUP(C98,MAESTRO!$A:$C,3,FALSE)))</f>
        <v/>
      </c>
      <c r="L98" s="9">
        <f>IF(AND(A98="",C98=""),"",IF(A98="","Falta el tipo",IF(C98="","Falta el código",IF(ISNA(MATCH(C98,MAESTRO!$A:$A,0)),"El código no está en el maestro",IF(AND(N(D98)&gt;0,N(VLOOKUP(C98,MAESTRO!$A:$D,4,FALSE))=0),"Ese código no tiene cajas por estiba: escribe cajas",IF(AND(IFERROR(VLOOKUP(A98,TIPOS!$A:$C,3,FALSE),"")="Sí",B98=""),"Falta el N° de entrega",IF(N(I98)&lt;=0,"Falta la cantidad","OK")))))))</f>
        <v/>
      </c>
    </row>
    <row r="99">
      <c r="A99" s="7" t="n"/>
      <c r="B99" s="7" t="n"/>
      <c r="C99" s="7" t="n"/>
      <c r="D99" s="8" t="n"/>
      <c r="E99" s="8" t="n"/>
      <c r="F99" s="8" t="n"/>
      <c r="G99" s="9">
        <f>IF(C99="","",IFERROR(VLOOKUP(C99,MAESTRO!$A:$B,2,FALSE),"—"))</f>
        <v/>
      </c>
      <c r="H99" s="9">
        <f>IF(A99="","",IFERROR(VLOOKUP(A99,TIPOS!$A:$B,2,FALSE),""))</f>
        <v/>
      </c>
      <c r="I99" s="10">
        <f>IF(C99="","",IFERROR((N(D99)*N(VLOOKUP(C99,MAESTRO!$A:$D,4,FALSE))+N(E99))*VLOOKUP(C99,MAESTRO!$A:$C,3,FALSE)+N(F99),""))</f>
        <v/>
      </c>
      <c r="J99" s="9">
        <f>IF(OR(C99="",IFERROR(VLOOKUP(A99,TIPOS!$A:$E,5,FALSE),"No")&lt;&gt;"Sí"),"",IFERROR(IF(VLOOKUP(C99,MAESTRO!$A:$E,5,FALSE)=0,"",VLOOKUP(C99,MAESTRO!$A:$E,5,FALSE)),""))</f>
        <v/>
      </c>
      <c r="K99" s="10">
        <f>IF(OR(J99="",N(I99)=0,IFERROR(VLOOKUP(A99,TIPOS!$A:$E,5,FALSE),"No")&lt;&gt;"Sí"),"",INT(I99/VLOOKUP(C99,MAESTRO!$A:$C,3,FALSE)))</f>
        <v/>
      </c>
      <c r="L99" s="9">
        <f>IF(AND(A99="",C99=""),"",IF(A99="","Falta el tipo",IF(C99="","Falta el código",IF(ISNA(MATCH(C99,MAESTRO!$A:$A,0)),"El código no está en el maestro",IF(AND(N(D99)&gt;0,N(VLOOKUP(C99,MAESTRO!$A:$D,4,FALSE))=0),"Ese código no tiene cajas por estiba: escribe cajas",IF(AND(IFERROR(VLOOKUP(A99,TIPOS!$A:$C,3,FALSE),"")="Sí",B99=""),"Falta el N° de entrega",IF(N(I99)&lt;=0,"Falta la cantidad","OK")))))))</f>
        <v/>
      </c>
    </row>
    <row r="100">
      <c r="A100" s="7" t="n"/>
      <c r="B100" s="7" t="n"/>
      <c r="C100" s="7" t="n"/>
      <c r="D100" s="8" t="n"/>
      <c r="E100" s="8" t="n"/>
      <c r="F100" s="8" t="n"/>
      <c r="G100" s="9">
        <f>IF(C100="","",IFERROR(VLOOKUP(C100,MAESTRO!$A:$B,2,FALSE),"—"))</f>
        <v/>
      </c>
      <c r="H100" s="9">
        <f>IF(A100="","",IFERROR(VLOOKUP(A100,TIPOS!$A:$B,2,FALSE),""))</f>
        <v/>
      </c>
      <c r="I100" s="10">
        <f>IF(C100="","",IFERROR((N(D100)*N(VLOOKUP(C100,MAESTRO!$A:$D,4,FALSE))+N(E100))*VLOOKUP(C100,MAESTRO!$A:$C,3,FALSE)+N(F100),""))</f>
        <v/>
      </c>
      <c r="J100" s="9">
        <f>IF(OR(C100="",IFERROR(VLOOKUP(A100,TIPOS!$A:$E,5,FALSE),"No")&lt;&gt;"Sí"),"",IFERROR(IF(VLOOKUP(C100,MAESTRO!$A:$E,5,FALSE)=0,"",VLOOKUP(C100,MAESTRO!$A:$E,5,FALSE)),""))</f>
        <v/>
      </c>
      <c r="K100" s="10">
        <f>IF(OR(J100="",N(I100)=0,IFERROR(VLOOKUP(A100,TIPOS!$A:$E,5,FALSE),"No")&lt;&gt;"Sí"),"",INT(I100/VLOOKUP(C100,MAESTRO!$A:$C,3,FALSE)))</f>
        <v/>
      </c>
      <c r="L100" s="9">
        <f>IF(AND(A100="",C100=""),"",IF(A100="","Falta el tipo",IF(C100="","Falta el código",IF(ISNA(MATCH(C100,MAESTRO!$A:$A,0)),"El código no está en el maestro",IF(AND(N(D100)&gt;0,N(VLOOKUP(C100,MAESTRO!$A:$D,4,FALSE))=0),"Ese código no tiene cajas por estiba: escribe cajas",IF(AND(IFERROR(VLOOKUP(A100,TIPOS!$A:$C,3,FALSE),"")="Sí",B100=""),"Falta el N° de entrega",IF(N(I100)&lt;=0,"Falta la cantidad","OK")))))))</f>
        <v/>
      </c>
    </row>
    <row r="101">
      <c r="A101" s="7" t="n"/>
      <c r="B101" s="7" t="n"/>
      <c r="C101" s="7" t="n"/>
      <c r="D101" s="8" t="n"/>
      <c r="E101" s="8" t="n"/>
      <c r="F101" s="8" t="n"/>
      <c r="G101" s="9">
        <f>IF(C101="","",IFERROR(VLOOKUP(C101,MAESTRO!$A:$B,2,FALSE),"—"))</f>
        <v/>
      </c>
      <c r="H101" s="9">
        <f>IF(A101="","",IFERROR(VLOOKUP(A101,TIPOS!$A:$B,2,FALSE),""))</f>
        <v/>
      </c>
      <c r="I101" s="10">
        <f>IF(C101="","",IFERROR((N(D101)*N(VLOOKUP(C101,MAESTRO!$A:$D,4,FALSE))+N(E101))*VLOOKUP(C101,MAESTRO!$A:$C,3,FALSE)+N(F101),""))</f>
        <v/>
      </c>
      <c r="J101" s="9">
        <f>IF(OR(C101="",IFERROR(VLOOKUP(A101,TIPOS!$A:$E,5,FALSE),"No")&lt;&gt;"Sí"),"",IFERROR(IF(VLOOKUP(C101,MAESTRO!$A:$E,5,FALSE)=0,"",VLOOKUP(C101,MAESTRO!$A:$E,5,FALSE)),""))</f>
        <v/>
      </c>
      <c r="K101" s="10">
        <f>IF(OR(J101="",N(I101)=0,IFERROR(VLOOKUP(A101,TIPOS!$A:$E,5,FALSE),"No")&lt;&gt;"Sí"),"",INT(I101/VLOOKUP(C101,MAESTRO!$A:$C,3,FALSE)))</f>
        <v/>
      </c>
      <c r="L101" s="9">
        <f>IF(AND(A101="",C101=""),"",IF(A101="","Falta el tipo",IF(C101="","Falta el código",IF(ISNA(MATCH(C101,MAESTRO!$A:$A,0)),"El código no está en el maestro",IF(AND(N(D101)&gt;0,N(VLOOKUP(C101,MAESTRO!$A:$D,4,FALSE))=0),"Ese código no tiene cajas por estiba: escribe cajas",IF(AND(IFERROR(VLOOKUP(A101,TIPOS!$A:$C,3,FALSE),"")="Sí",B101=""),"Falta el N° de entrega",IF(N(I101)&lt;=0,"Falta la cantidad","OK")))))))</f>
        <v/>
      </c>
    </row>
    <row r="102">
      <c r="A102" s="7" t="n"/>
      <c r="B102" s="7" t="n"/>
      <c r="C102" s="7" t="n"/>
      <c r="D102" s="8" t="n"/>
      <c r="E102" s="8" t="n"/>
      <c r="F102" s="8" t="n"/>
      <c r="G102" s="9">
        <f>IF(C102="","",IFERROR(VLOOKUP(C102,MAESTRO!$A:$B,2,FALSE),"—"))</f>
        <v/>
      </c>
      <c r="H102" s="9">
        <f>IF(A102="","",IFERROR(VLOOKUP(A102,TIPOS!$A:$B,2,FALSE),""))</f>
        <v/>
      </c>
      <c r="I102" s="10">
        <f>IF(C102="","",IFERROR((N(D102)*N(VLOOKUP(C102,MAESTRO!$A:$D,4,FALSE))+N(E102))*VLOOKUP(C102,MAESTRO!$A:$C,3,FALSE)+N(F102),""))</f>
        <v/>
      </c>
      <c r="J102" s="9">
        <f>IF(OR(C102="",IFERROR(VLOOKUP(A102,TIPOS!$A:$E,5,FALSE),"No")&lt;&gt;"Sí"),"",IFERROR(IF(VLOOKUP(C102,MAESTRO!$A:$E,5,FALSE)=0,"",VLOOKUP(C102,MAESTRO!$A:$E,5,FALSE)),""))</f>
        <v/>
      </c>
      <c r="K102" s="10">
        <f>IF(OR(J102="",N(I102)=0,IFERROR(VLOOKUP(A102,TIPOS!$A:$E,5,FALSE),"No")&lt;&gt;"Sí"),"",INT(I102/VLOOKUP(C102,MAESTRO!$A:$C,3,FALSE)))</f>
        <v/>
      </c>
      <c r="L102" s="9">
        <f>IF(AND(A102="",C102=""),"",IF(A102="","Falta el tipo",IF(C102="","Falta el código",IF(ISNA(MATCH(C102,MAESTRO!$A:$A,0)),"El código no está en el maestro",IF(AND(N(D102)&gt;0,N(VLOOKUP(C102,MAESTRO!$A:$D,4,FALSE))=0),"Ese código no tiene cajas por estiba: escribe cajas",IF(AND(IFERROR(VLOOKUP(A102,TIPOS!$A:$C,3,FALSE),"")="Sí",B102=""),"Falta el N° de entrega",IF(N(I102)&lt;=0,"Falta la cantidad","OK")))))))</f>
        <v/>
      </c>
    </row>
    <row r="103">
      <c r="A103" s="7" t="n"/>
      <c r="B103" s="7" t="n"/>
      <c r="C103" s="7" t="n"/>
      <c r="D103" s="8" t="n"/>
      <c r="E103" s="8" t="n"/>
      <c r="F103" s="8" t="n"/>
      <c r="G103" s="9">
        <f>IF(C103="","",IFERROR(VLOOKUP(C103,MAESTRO!$A:$B,2,FALSE),"—"))</f>
        <v/>
      </c>
      <c r="H103" s="9">
        <f>IF(A103="","",IFERROR(VLOOKUP(A103,TIPOS!$A:$B,2,FALSE),""))</f>
        <v/>
      </c>
      <c r="I103" s="10">
        <f>IF(C103="","",IFERROR((N(D103)*N(VLOOKUP(C103,MAESTRO!$A:$D,4,FALSE))+N(E103))*VLOOKUP(C103,MAESTRO!$A:$C,3,FALSE)+N(F103),""))</f>
        <v/>
      </c>
      <c r="J103" s="9">
        <f>IF(OR(C103="",IFERROR(VLOOKUP(A103,TIPOS!$A:$E,5,FALSE),"No")&lt;&gt;"Sí"),"",IFERROR(IF(VLOOKUP(C103,MAESTRO!$A:$E,5,FALSE)=0,"",VLOOKUP(C103,MAESTRO!$A:$E,5,FALSE)),""))</f>
        <v/>
      </c>
      <c r="K103" s="10">
        <f>IF(OR(J103="",N(I103)=0,IFERROR(VLOOKUP(A103,TIPOS!$A:$E,5,FALSE),"No")&lt;&gt;"Sí"),"",INT(I103/VLOOKUP(C103,MAESTRO!$A:$C,3,FALSE)))</f>
        <v/>
      </c>
      <c r="L103" s="9">
        <f>IF(AND(A103="",C103=""),"",IF(A103="","Falta el tipo",IF(C103="","Falta el código",IF(ISNA(MATCH(C103,MAESTRO!$A:$A,0)),"El código no está en el maestro",IF(AND(N(D103)&gt;0,N(VLOOKUP(C103,MAESTRO!$A:$D,4,FALSE))=0),"Ese código no tiene cajas por estiba: escribe cajas",IF(AND(IFERROR(VLOOKUP(A103,TIPOS!$A:$C,3,FALSE),"")="Sí",B103=""),"Falta el N° de entrega",IF(N(I103)&lt;=0,"Falta la cantidad","OK")))))))</f>
        <v/>
      </c>
    </row>
    <row r="104">
      <c r="A104" s="7" t="n"/>
      <c r="B104" s="7" t="n"/>
      <c r="C104" s="7" t="n"/>
      <c r="D104" s="8" t="n"/>
      <c r="E104" s="8" t="n"/>
      <c r="F104" s="8" t="n"/>
      <c r="G104" s="9">
        <f>IF(C104="","",IFERROR(VLOOKUP(C104,MAESTRO!$A:$B,2,FALSE),"—"))</f>
        <v/>
      </c>
      <c r="H104" s="9">
        <f>IF(A104="","",IFERROR(VLOOKUP(A104,TIPOS!$A:$B,2,FALSE),""))</f>
        <v/>
      </c>
      <c r="I104" s="10">
        <f>IF(C104="","",IFERROR((N(D104)*N(VLOOKUP(C104,MAESTRO!$A:$D,4,FALSE))+N(E104))*VLOOKUP(C104,MAESTRO!$A:$C,3,FALSE)+N(F104),""))</f>
        <v/>
      </c>
      <c r="J104" s="9">
        <f>IF(OR(C104="",IFERROR(VLOOKUP(A104,TIPOS!$A:$E,5,FALSE),"No")&lt;&gt;"Sí"),"",IFERROR(IF(VLOOKUP(C104,MAESTRO!$A:$E,5,FALSE)=0,"",VLOOKUP(C104,MAESTRO!$A:$E,5,FALSE)),""))</f>
        <v/>
      </c>
      <c r="K104" s="10">
        <f>IF(OR(J104="",N(I104)=0,IFERROR(VLOOKUP(A104,TIPOS!$A:$E,5,FALSE),"No")&lt;&gt;"Sí"),"",INT(I104/VLOOKUP(C104,MAESTRO!$A:$C,3,FALSE)))</f>
        <v/>
      </c>
      <c r="L104" s="9">
        <f>IF(AND(A104="",C104=""),"",IF(A104="","Falta el tipo",IF(C104="","Falta el código",IF(ISNA(MATCH(C104,MAESTRO!$A:$A,0)),"El código no está en el maestro",IF(AND(N(D104)&gt;0,N(VLOOKUP(C104,MAESTRO!$A:$D,4,FALSE))=0),"Ese código no tiene cajas por estiba: escribe cajas",IF(AND(IFERROR(VLOOKUP(A104,TIPOS!$A:$C,3,FALSE),"")="Sí",B104=""),"Falta el N° de entrega",IF(N(I104)&lt;=0,"Falta la cantidad","OK")))))))</f>
        <v/>
      </c>
    </row>
    <row r="105">
      <c r="A105" s="7" t="n"/>
      <c r="B105" s="7" t="n"/>
      <c r="C105" s="7" t="n"/>
      <c r="D105" s="8" t="n"/>
      <c r="E105" s="8" t="n"/>
      <c r="F105" s="8" t="n"/>
      <c r="G105" s="9">
        <f>IF(C105="","",IFERROR(VLOOKUP(C105,MAESTRO!$A:$B,2,FALSE),"—"))</f>
        <v/>
      </c>
      <c r="H105" s="9">
        <f>IF(A105="","",IFERROR(VLOOKUP(A105,TIPOS!$A:$B,2,FALSE),""))</f>
        <v/>
      </c>
      <c r="I105" s="10">
        <f>IF(C105="","",IFERROR((N(D105)*N(VLOOKUP(C105,MAESTRO!$A:$D,4,FALSE))+N(E105))*VLOOKUP(C105,MAESTRO!$A:$C,3,FALSE)+N(F105),""))</f>
        <v/>
      </c>
      <c r="J105" s="9">
        <f>IF(OR(C105="",IFERROR(VLOOKUP(A105,TIPOS!$A:$E,5,FALSE),"No")&lt;&gt;"Sí"),"",IFERROR(IF(VLOOKUP(C105,MAESTRO!$A:$E,5,FALSE)=0,"",VLOOKUP(C105,MAESTRO!$A:$E,5,FALSE)),""))</f>
        <v/>
      </c>
      <c r="K105" s="10">
        <f>IF(OR(J105="",N(I105)=0,IFERROR(VLOOKUP(A105,TIPOS!$A:$E,5,FALSE),"No")&lt;&gt;"Sí"),"",INT(I105/VLOOKUP(C105,MAESTRO!$A:$C,3,FALSE)))</f>
        <v/>
      </c>
      <c r="L105" s="9">
        <f>IF(AND(A105="",C105=""),"",IF(A105="","Falta el tipo",IF(C105="","Falta el código",IF(ISNA(MATCH(C105,MAESTRO!$A:$A,0)),"El código no está en el maestro",IF(AND(N(D105)&gt;0,N(VLOOKUP(C105,MAESTRO!$A:$D,4,FALSE))=0),"Ese código no tiene cajas por estiba: escribe cajas",IF(AND(IFERROR(VLOOKUP(A105,TIPOS!$A:$C,3,FALSE),"")="Sí",B105=""),"Falta el N° de entrega",IF(N(I105)&lt;=0,"Falta la cantidad","OK")))))))</f>
        <v/>
      </c>
    </row>
    <row r="106">
      <c r="A106" s="7" t="n"/>
      <c r="B106" s="7" t="n"/>
      <c r="C106" s="7" t="n"/>
      <c r="D106" s="8" t="n"/>
      <c r="E106" s="8" t="n"/>
      <c r="F106" s="8" t="n"/>
      <c r="G106" s="9">
        <f>IF(C106="","",IFERROR(VLOOKUP(C106,MAESTRO!$A:$B,2,FALSE),"—"))</f>
        <v/>
      </c>
      <c r="H106" s="9">
        <f>IF(A106="","",IFERROR(VLOOKUP(A106,TIPOS!$A:$B,2,FALSE),""))</f>
        <v/>
      </c>
      <c r="I106" s="10">
        <f>IF(C106="","",IFERROR((N(D106)*N(VLOOKUP(C106,MAESTRO!$A:$D,4,FALSE))+N(E106))*VLOOKUP(C106,MAESTRO!$A:$C,3,FALSE)+N(F106),""))</f>
        <v/>
      </c>
      <c r="J106" s="9">
        <f>IF(OR(C106="",IFERROR(VLOOKUP(A106,TIPOS!$A:$E,5,FALSE),"No")&lt;&gt;"Sí"),"",IFERROR(IF(VLOOKUP(C106,MAESTRO!$A:$E,5,FALSE)=0,"",VLOOKUP(C106,MAESTRO!$A:$E,5,FALSE)),""))</f>
        <v/>
      </c>
      <c r="K106" s="10">
        <f>IF(OR(J106="",N(I106)=0,IFERROR(VLOOKUP(A106,TIPOS!$A:$E,5,FALSE),"No")&lt;&gt;"Sí"),"",INT(I106/VLOOKUP(C106,MAESTRO!$A:$C,3,FALSE)))</f>
        <v/>
      </c>
      <c r="L106" s="9">
        <f>IF(AND(A106="",C106=""),"",IF(A106="","Falta el tipo",IF(C106="","Falta el código",IF(ISNA(MATCH(C106,MAESTRO!$A:$A,0)),"El código no está en el maestro",IF(AND(N(D106)&gt;0,N(VLOOKUP(C106,MAESTRO!$A:$D,4,FALSE))=0),"Ese código no tiene cajas por estiba: escribe cajas",IF(AND(IFERROR(VLOOKUP(A106,TIPOS!$A:$C,3,FALSE),"")="Sí",B106=""),"Falta el N° de entrega",IF(N(I106)&lt;=0,"Falta la cantidad","OK")))))))</f>
        <v/>
      </c>
    </row>
    <row r="107">
      <c r="A107" s="7" t="n"/>
      <c r="B107" s="7" t="n"/>
      <c r="C107" s="7" t="n"/>
      <c r="D107" s="8" t="n"/>
      <c r="E107" s="8" t="n"/>
      <c r="F107" s="8" t="n"/>
      <c r="G107" s="9">
        <f>IF(C107="","",IFERROR(VLOOKUP(C107,MAESTRO!$A:$B,2,FALSE),"—"))</f>
        <v/>
      </c>
      <c r="H107" s="9">
        <f>IF(A107="","",IFERROR(VLOOKUP(A107,TIPOS!$A:$B,2,FALSE),""))</f>
        <v/>
      </c>
      <c r="I107" s="10">
        <f>IF(C107="","",IFERROR((N(D107)*N(VLOOKUP(C107,MAESTRO!$A:$D,4,FALSE))+N(E107))*VLOOKUP(C107,MAESTRO!$A:$C,3,FALSE)+N(F107),""))</f>
        <v/>
      </c>
      <c r="J107" s="9">
        <f>IF(OR(C107="",IFERROR(VLOOKUP(A107,TIPOS!$A:$E,5,FALSE),"No")&lt;&gt;"Sí"),"",IFERROR(IF(VLOOKUP(C107,MAESTRO!$A:$E,5,FALSE)=0,"",VLOOKUP(C107,MAESTRO!$A:$E,5,FALSE)),""))</f>
        <v/>
      </c>
      <c r="K107" s="10">
        <f>IF(OR(J107="",N(I107)=0,IFERROR(VLOOKUP(A107,TIPOS!$A:$E,5,FALSE),"No")&lt;&gt;"Sí"),"",INT(I107/VLOOKUP(C107,MAESTRO!$A:$C,3,FALSE)))</f>
        <v/>
      </c>
      <c r="L107" s="9">
        <f>IF(AND(A107="",C107=""),"",IF(A107="","Falta el tipo",IF(C107="","Falta el código",IF(ISNA(MATCH(C107,MAESTRO!$A:$A,0)),"El código no está en el maestro",IF(AND(N(D107)&gt;0,N(VLOOKUP(C107,MAESTRO!$A:$D,4,FALSE))=0),"Ese código no tiene cajas por estiba: escribe cajas",IF(AND(IFERROR(VLOOKUP(A107,TIPOS!$A:$C,3,FALSE),"")="Sí",B107=""),"Falta el N° de entrega",IF(N(I107)&lt;=0,"Falta la cantidad","OK")))))))</f>
        <v/>
      </c>
    </row>
    <row r="108">
      <c r="A108" s="7" t="n"/>
      <c r="B108" s="7" t="n"/>
      <c r="C108" s="7" t="n"/>
      <c r="D108" s="8" t="n"/>
      <c r="E108" s="8" t="n"/>
      <c r="F108" s="8" t="n"/>
      <c r="G108" s="9">
        <f>IF(C108="","",IFERROR(VLOOKUP(C108,MAESTRO!$A:$B,2,FALSE),"—"))</f>
        <v/>
      </c>
      <c r="H108" s="9">
        <f>IF(A108="","",IFERROR(VLOOKUP(A108,TIPOS!$A:$B,2,FALSE),""))</f>
        <v/>
      </c>
      <c r="I108" s="10">
        <f>IF(C108="","",IFERROR((N(D108)*N(VLOOKUP(C108,MAESTRO!$A:$D,4,FALSE))+N(E108))*VLOOKUP(C108,MAESTRO!$A:$C,3,FALSE)+N(F108),""))</f>
        <v/>
      </c>
      <c r="J108" s="9">
        <f>IF(OR(C108="",IFERROR(VLOOKUP(A108,TIPOS!$A:$E,5,FALSE),"No")&lt;&gt;"Sí"),"",IFERROR(IF(VLOOKUP(C108,MAESTRO!$A:$E,5,FALSE)=0,"",VLOOKUP(C108,MAESTRO!$A:$E,5,FALSE)),""))</f>
        <v/>
      </c>
      <c r="K108" s="10">
        <f>IF(OR(J108="",N(I108)=0,IFERROR(VLOOKUP(A108,TIPOS!$A:$E,5,FALSE),"No")&lt;&gt;"Sí"),"",INT(I108/VLOOKUP(C108,MAESTRO!$A:$C,3,FALSE)))</f>
        <v/>
      </c>
      <c r="L108" s="9">
        <f>IF(AND(A108="",C108=""),"",IF(A108="","Falta el tipo",IF(C108="","Falta el código",IF(ISNA(MATCH(C108,MAESTRO!$A:$A,0)),"El código no está en el maestro",IF(AND(N(D108)&gt;0,N(VLOOKUP(C108,MAESTRO!$A:$D,4,FALSE))=0),"Ese código no tiene cajas por estiba: escribe cajas",IF(AND(IFERROR(VLOOKUP(A108,TIPOS!$A:$C,3,FALSE),"")="Sí",B108=""),"Falta el N° de entrega",IF(N(I108)&lt;=0,"Falta la cantidad","OK")))))))</f>
        <v/>
      </c>
    </row>
    <row r="109">
      <c r="A109" s="7" t="n"/>
      <c r="B109" s="7" t="n"/>
      <c r="C109" s="7" t="n"/>
      <c r="D109" s="8" t="n"/>
      <c r="E109" s="8" t="n"/>
      <c r="F109" s="8" t="n"/>
      <c r="G109" s="9">
        <f>IF(C109="","",IFERROR(VLOOKUP(C109,MAESTRO!$A:$B,2,FALSE),"—"))</f>
        <v/>
      </c>
      <c r="H109" s="9">
        <f>IF(A109="","",IFERROR(VLOOKUP(A109,TIPOS!$A:$B,2,FALSE),""))</f>
        <v/>
      </c>
      <c r="I109" s="10">
        <f>IF(C109="","",IFERROR((N(D109)*N(VLOOKUP(C109,MAESTRO!$A:$D,4,FALSE))+N(E109))*VLOOKUP(C109,MAESTRO!$A:$C,3,FALSE)+N(F109),""))</f>
        <v/>
      </c>
      <c r="J109" s="9">
        <f>IF(OR(C109="",IFERROR(VLOOKUP(A109,TIPOS!$A:$E,5,FALSE),"No")&lt;&gt;"Sí"),"",IFERROR(IF(VLOOKUP(C109,MAESTRO!$A:$E,5,FALSE)=0,"",VLOOKUP(C109,MAESTRO!$A:$E,5,FALSE)),""))</f>
        <v/>
      </c>
      <c r="K109" s="10">
        <f>IF(OR(J109="",N(I109)=0,IFERROR(VLOOKUP(A109,TIPOS!$A:$E,5,FALSE),"No")&lt;&gt;"Sí"),"",INT(I109/VLOOKUP(C109,MAESTRO!$A:$C,3,FALSE)))</f>
        <v/>
      </c>
      <c r="L109" s="9">
        <f>IF(AND(A109="",C109=""),"",IF(A109="","Falta el tipo",IF(C109="","Falta el código",IF(ISNA(MATCH(C109,MAESTRO!$A:$A,0)),"El código no está en el maestro",IF(AND(N(D109)&gt;0,N(VLOOKUP(C109,MAESTRO!$A:$D,4,FALSE))=0),"Ese código no tiene cajas por estiba: escribe cajas",IF(AND(IFERROR(VLOOKUP(A109,TIPOS!$A:$C,3,FALSE),"")="Sí",B109=""),"Falta el N° de entrega",IF(N(I109)&lt;=0,"Falta la cantidad","OK")))))))</f>
        <v/>
      </c>
    </row>
    <row r="110">
      <c r="A110" s="7" t="n"/>
      <c r="B110" s="7" t="n"/>
      <c r="C110" s="7" t="n"/>
      <c r="D110" s="8" t="n"/>
      <c r="E110" s="8" t="n"/>
      <c r="F110" s="8" t="n"/>
      <c r="G110" s="9">
        <f>IF(C110="","",IFERROR(VLOOKUP(C110,MAESTRO!$A:$B,2,FALSE),"—"))</f>
        <v/>
      </c>
      <c r="H110" s="9">
        <f>IF(A110="","",IFERROR(VLOOKUP(A110,TIPOS!$A:$B,2,FALSE),""))</f>
        <v/>
      </c>
      <c r="I110" s="10">
        <f>IF(C110="","",IFERROR((N(D110)*N(VLOOKUP(C110,MAESTRO!$A:$D,4,FALSE))+N(E110))*VLOOKUP(C110,MAESTRO!$A:$C,3,FALSE)+N(F110),""))</f>
        <v/>
      </c>
      <c r="J110" s="9">
        <f>IF(OR(C110="",IFERROR(VLOOKUP(A110,TIPOS!$A:$E,5,FALSE),"No")&lt;&gt;"Sí"),"",IFERROR(IF(VLOOKUP(C110,MAESTRO!$A:$E,5,FALSE)=0,"",VLOOKUP(C110,MAESTRO!$A:$E,5,FALSE)),""))</f>
        <v/>
      </c>
      <c r="K110" s="10">
        <f>IF(OR(J110="",N(I110)=0,IFERROR(VLOOKUP(A110,TIPOS!$A:$E,5,FALSE),"No")&lt;&gt;"Sí"),"",INT(I110/VLOOKUP(C110,MAESTRO!$A:$C,3,FALSE)))</f>
        <v/>
      </c>
      <c r="L110" s="9">
        <f>IF(AND(A110="",C110=""),"",IF(A110="","Falta el tipo",IF(C110="","Falta el código",IF(ISNA(MATCH(C110,MAESTRO!$A:$A,0)),"El código no está en el maestro",IF(AND(N(D110)&gt;0,N(VLOOKUP(C110,MAESTRO!$A:$D,4,FALSE))=0),"Ese código no tiene cajas por estiba: escribe cajas",IF(AND(IFERROR(VLOOKUP(A110,TIPOS!$A:$C,3,FALSE),"")="Sí",B110=""),"Falta el N° de entrega",IF(N(I110)&lt;=0,"Falta la cantidad","OK")))))))</f>
        <v/>
      </c>
    </row>
    <row r="111">
      <c r="A111" s="7" t="n"/>
      <c r="B111" s="7" t="n"/>
      <c r="C111" s="7" t="n"/>
      <c r="D111" s="8" t="n"/>
      <c r="E111" s="8" t="n"/>
      <c r="F111" s="8" t="n"/>
      <c r="G111" s="9">
        <f>IF(C111="","",IFERROR(VLOOKUP(C111,MAESTRO!$A:$B,2,FALSE),"—"))</f>
        <v/>
      </c>
      <c r="H111" s="9">
        <f>IF(A111="","",IFERROR(VLOOKUP(A111,TIPOS!$A:$B,2,FALSE),""))</f>
        <v/>
      </c>
      <c r="I111" s="10">
        <f>IF(C111="","",IFERROR((N(D111)*N(VLOOKUP(C111,MAESTRO!$A:$D,4,FALSE))+N(E111))*VLOOKUP(C111,MAESTRO!$A:$C,3,FALSE)+N(F111),""))</f>
        <v/>
      </c>
      <c r="J111" s="9">
        <f>IF(OR(C111="",IFERROR(VLOOKUP(A111,TIPOS!$A:$E,5,FALSE),"No")&lt;&gt;"Sí"),"",IFERROR(IF(VLOOKUP(C111,MAESTRO!$A:$E,5,FALSE)=0,"",VLOOKUP(C111,MAESTRO!$A:$E,5,FALSE)),""))</f>
        <v/>
      </c>
      <c r="K111" s="10">
        <f>IF(OR(J111="",N(I111)=0,IFERROR(VLOOKUP(A111,TIPOS!$A:$E,5,FALSE),"No")&lt;&gt;"Sí"),"",INT(I111/VLOOKUP(C111,MAESTRO!$A:$C,3,FALSE)))</f>
        <v/>
      </c>
      <c r="L111" s="9">
        <f>IF(AND(A111="",C111=""),"",IF(A111="","Falta el tipo",IF(C111="","Falta el código",IF(ISNA(MATCH(C111,MAESTRO!$A:$A,0)),"El código no está en el maestro",IF(AND(N(D111)&gt;0,N(VLOOKUP(C111,MAESTRO!$A:$D,4,FALSE))=0),"Ese código no tiene cajas por estiba: escribe cajas",IF(AND(IFERROR(VLOOKUP(A111,TIPOS!$A:$C,3,FALSE),"")="Sí",B111=""),"Falta el N° de entrega",IF(N(I111)&lt;=0,"Falta la cantidad","OK")))))))</f>
        <v/>
      </c>
    </row>
    <row r="112">
      <c r="A112" s="7" t="n"/>
      <c r="B112" s="7" t="n"/>
      <c r="C112" s="7" t="n"/>
      <c r="D112" s="8" t="n"/>
      <c r="E112" s="8" t="n"/>
      <c r="F112" s="8" t="n"/>
      <c r="G112" s="9">
        <f>IF(C112="","",IFERROR(VLOOKUP(C112,MAESTRO!$A:$B,2,FALSE),"—"))</f>
        <v/>
      </c>
      <c r="H112" s="9">
        <f>IF(A112="","",IFERROR(VLOOKUP(A112,TIPOS!$A:$B,2,FALSE),""))</f>
        <v/>
      </c>
      <c r="I112" s="10">
        <f>IF(C112="","",IFERROR((N(D112)*N(VLOOKUP(C112,MAESTRO!$A:$D,4,FALSE))+N(E112))*VLOOKUP(C112,MAESTRO!$A:$C,3,FALSE)+N(F112),""))</f>
        <v/>
      </c>
      <c r="J112" s="9">
        <f>IF(OR(C112="",IFERROR(VLOOKUP(A112,TIPOS!$A:$E,5,FALSE),"No")&lt;&gt;"Sí"),"",IFERROR(IF(VLOOKUP(C112,MAESTRO!$A:$E,5,FALSE)=0,"",VLOOKUP(C112,MAESTRO!$A:$E,5,FALSE)),""))</f>
        <v/>
      </c>
      <c r="K112" s="10">
        <f>IF(OR(J112="",N(I112)=0,IFERROR(VLOOKUP(A112,TIPOS!$A:$E,5,FALSE),"No")&lt;&gt;"Sí"),"",INT(I112/VLOOKUP(C112,MAESTRO!$A:$C,3,FALSE)))</f>
        <v/>
      </c>
      <c r="L112" s="9">
        <f>IF(AND(A112="",C112=""),"",IF(A112="","Falta el tipo",IF(C112="","Falta el código",IF(ISNA(MATCH(C112,MAESTRO!$A:$A,0)),"El código no está en el maestro",IF(AND(N(D112)&gt;0,N(VLOOKUP(C112,MAESTRO!$A:$D,4,FALSE))=0),"Ese código no tiene cajas por estiba: escribe cajas",IF(AND(IFERROR(VLOOKUP(A112,TIPOS!$A:$C,3,FALSE),"")="Sí",B112=""),"Falta el N° de entrega",IF(N(I112)&lt;=0,"Falta la cantidad","OK")))))))</f>
        <v/>
      </c>
    </row>
    <row r="113">
      <c r="A113" s="7" t="n"/>
      <c r="B113" s="7" t="n"/>
      <c r="C113" s="7" t="n"/>
      <c r="D113" s="8" t="n"/>
      <c r="E113" s="8" t="n"/>
      <c r="F113" s="8" t="n"/>
      <c r="G113" s="9">
        <f>IF(C113="","",IFERROR(VLOOKUP(C113,MAESTRO!$A:$B,2,FALSE),"—"))</f>
        <v/>
      </c>
      <c r="H113" s="9">
        <f>IF(A113="","",IFERROR(VLOOKUP(A113,TIPOS!$A:$B,2,FALSE),""))</f>
        <v/>
      </c>
      <c r="I113" s="10">
        <f>IF(C113="","",IFERROR((N(D113)*N(VLOOKUP(C113,MAESTRO!$A:$D,4,FALSE))+N(E113))*VLOOKUP(C113,MAESTRO!$A:$C,3,FALSE)+N(F113),""))</f>
        <v/>
      </c>
      <c r="J113" s="9">
        <f>IF(OR(C113="",IFERROR(VLOOKUP(A113,TIPOS!$A:$E,5,FALSE),"No")&lt;&gt;"Sí"),"",IFERROR(IF(VLOOKUP(C113,MAESTRO!$A:$E,5,FALSE)=0,"",VLOOKUP(C113,MAESTRO!$A:$E,5,FALSE)),""))</f>
        <v/>
      </c>
      <c r="K113" s="10">
        <f>IF(OR(J113="",N(I113)=0,IFERROR(VLOOKUP(A113,TIPOS!$A:$E,5,FALSE),"No")&lt;&gt;"Sí"),"",INT(I113/VLOOKUP(C113,MAESTRO!$A:$C,3,FALSE)))</f>
        <v/>
      </c>
      <c r="L113" s="9">
        <f>IF(AND(A113="",C113=""),"",IF(A113="","Falta el tipo",IF(C113="","Falta el código",IF(ISNA(MATCH(C113,MAESTRO!$A:$A,0)),"El código no está en el maestro",IF(AND(N(D113)&gt;0,N(VLOOKUP(C113,MAESTRO!$A:$D,4,FALSE))=0),"Ese código no tiene cajas por estiba: escribe cajas",IF(AND(IFERROR(VLOOKUP(A113,TIPOS!$A:$C,3,FALSE),"")="Sí",B113=""),"Falta el N° de entrega",IF(N(I113)&lt;=0,"Falta la cantidad","OK")))))))</f>
        <v/>
      </c>
    </row>
    <row r="114">
      <c r="A114" s="7" t="n"/>
      <c r="B114" s="7" t="n"/>
      <c r="C114" s="7" t="n"/>
      <c r="D114" s="8" t="n"/>
      <c r="E114" s="8" t="n"/>
      <c r="F114" s="8" t="n"/>
      <c r="G114" s="9">
        <f>IF(C114="","",IFERROR(VLOOKUP(C114,MAESTRO!$A:$B,2,FALSE),"—"))</f>
        <v/>
      </c>
      <c r="H114" s="9">
        <f>IF(A114="","",IFERROR(VLOOKUP(A114,TIPOS!$A:$B,2,FALSE),""))</f>
        <v/>
      </c>
      <c r="I114" s="10">
        <f>IF(C114="","",IFERROR((N(D114)*N(VLOOKUP(C114,MAESTRO!$A:$D,4,FALSE))+N(E114))*VLOOKUP(C114,MAESTRO!$A:$C,3,FALSE)+N(F114),""))</f>
        <v/>
      </c>
      <c r="J114" s="9">
        <f>IF(OR(C114="",IFERROR(VLOOKUP(A114,TIPOS!$A:$E,5,FALSE),"No")&lt;&gt;"Sí"),"",IFERROR(IF(VLOOKUP(C114,MAESTRO!$A:$E,5,FALSE)=0,"",VLOOKUP(C114,MAESTRO!$A:$E,5,FALSE)),""))</f>
        <v/>
      </c>
      <c r="K114" s="10">
        <f>IF(OR(J114="",N(I114)=0,IFERROR(VLOOKUP(A114,TIPOS!$A:$E,5,FALSE),"No")&lt;&gt;"Sí"),"",INT(I114/VLOOKUP(C114,MAESTRO!$A:$C,3,FALSE)))</f>
        <v/>
      </c>
      <c r="L114" s="9">
        <f>IF(AND(A114="",C114=""),"",IF(A114="","Falta el tipo",IF(C114="","Falta el código",IF(ISNA(MATCH(C114,MAESTRO!$A:$A,0)),"El código no está en el maestro",IF(AND(N(D114)&gt;0,N(VLOOKUP(C114,MAESTRO!$A:$D,4,FALSE))=0),"Ese código no tiene cajas por estiba: escribe cajas",IF(AND(IFERROR(VLOOKUP(A114,TIPOS!$A:$C,3,FALSE),"")="Sí",B114=""),"Falta el N° de entrega",IF(N(I114)&lt;=0,"Falta la cantidad","OK")))))))</f>
        <v/>
      </c>
    </row>
    <row r="115">
      <c r="A115" s="7" t="n"/>
      <c r="B115" s="7" t="n"/>
      <c r="C115" s="7" t="n"/>
      <c r="D115" s="8" t="n"/>
      <c r="E115" s="8" t="n"/>
      <c r="F115" s="8" t="n"/>
      <c r="G115" s="9">
        <f>IF(C115="","",IFERROR(VLOOKUP(C115,MAESTRO!$A:$B,2,FALSE),"—"))</f>
        <v/>
      </c>
      <c r="H115" s="9">
        <f>IF(A115="","",IFERROR(VLOOKUP(A115,TIPOS!$A:$B,2,FALSE),""))</f>
        <v/>
      </c>
      <c r="I115" s="10">
        <f>IF(C115="","",IFERROR((N(D115)*N(VLOOKUP(C115,MAESTRO!$A:$D,4,FALSE))+N(E115))*VLOOKUP(C115,MAESTRO!$A:$C,3,FALSE)+N(F115),""))</f>
        <v/>
      </c>
      <c r="J115" s="9">
        <f>IF(OR(C115="",IFERROR(VLOOKUP(A115,TIPOS!$A:$E,5,FALSE),"No")&lt;&gt;"Sí"),"",IFERROR(IF(VLOOKUP(C115,MAESTRO!$A:$E,5,FALSE)=0,"",VLOOKUP(C115,MAESTRO!$A:$E,5,FALSE)),""))</f>
        <v/>
      </c>
      <c r="K115" s="10">
        <f>IF(OR(J115="",N(I115)=0,IFERROR(VLOOKUP(A115,TIPOS!$A:$E,5,FALSE),"No")&lt;&gt;"Sí"),"",INT(I115/VLOOKUP(C115,MAESTRO!$A:$C,3,FALSE)))</f>
        <v/>
      </c>
      <c r="L115" s="9">
        <f>IF(AND(A115="",C115=""),"",IF(A115="","Falta el tipo",IF(C115="","Falta el código",IF(ISNA(MATCH(C115,MAESTRO!$A:$A,0)),"El código no está en el maestro",IF(AND(N(D115)&gt;0,N(VLOOKUP(C115,MAESTRO!$A:$D,4,FALSE))=0),"Ese código no tiene cajas por estiba: escribe cajas",IF(AND(IFERROR(VLOOKUP(A115,TIPOS!$A:$C,3,FALSE),"")="Sí",B115=""),"Falta el N° de entrega",IF(N(I115)&lt;=0,"Falta la cantidad","OK")))))))</f>
        <v/>
      </c>
    </row>
    <row r="116">
      <c r="A116" s="7" t="n"/>
      <c r="B116" s="7" t="n"/>
      <c r="C116" s="7" t="n"/>
      <c r="D116" s="8" t="n"/>
      <c r="E116" s="8" t="n"/>
      <c r="F116" s="8" t="n"/>
      <c r="G116" s="9">
        <f>IF(C116="","",IFERROR(VLOOKUP(C116,MAESTRO!$A:$B,2,FALSE),"—"))</f>
        <v/>
      </c>
      <c r="H116" s="9">
        <f>IF(A116="","",IFERROR(VLOOKUP(A116,TIPOS!$A:$B,2,FALSE),""))</f>
        <v/>
      </c>
      <c r="I116" s="10">
        <f>IF(C116="","",IFERROR((N(D116)*N(VLOOKUP(C116,MAESTRO!$A:$D,4,FALSE))+N(E116))*VLOOKUP(C116,MAESTRO!$A:$C,3,FALSE)+N(F116),""))</f>
        <v/>
      </c>
      <c r="J116" s="9">
        <f>IF(OR(C116="",IFERROR(VLOOKUP(A116,TIPOS!$A:$E,5,FALSE),"No")&lt;&gt;"Sí"),"",IFERROR(IF(VLOOKUP(C116,MAESTRO!$A:$E,5,FALSE)=0,"",VLOOKUP(C116,MAESTRO!$A:$E,5,FALSE)),""))</f>
        <v/>
      </c>
      <c r="K116" s="10">
        <f>IF(OR(J116="",N(I116)=0,IFERROR(VLOOKUP(A116,TIPOS!$A:$E,5,FALSE),"No")&lt;&gt;"Sí"),"",INT(I116/VLOOKUP(C116,MAESTRO!$A:$C,3,FALSE)))</f>
        <v/>
      </c>
      <c r="L116" s="9">
        <f>IF(AND(A116="",C116=""),"",IF(A116="","Falta el tipo",IF(C116="","Falta el código",IF(ISNA(MATCH(C116,MAESTRO!$A:$A,0)),"El código no está en el maestro",IF(AND(N(D116)&gt;0,N(VLOOKUP(C116,MAESTRO!$A:$D,4,FALSE))=0),"Ese código no tiene cajas por estiba: escribe cajas",IF(AND(IFERROR(VLOOKUP(A116,TIPOS!$A:$C,3,FALSE),"")="Sí",B116=""),"Falta el N° de entrega",IF(N(I116)&lt;=0,"Falta la cantidad","OK")))))))</f>
        <v/>
      </c>
    </row>
    <row r="117">
      <c r="A117" s="7" t="n"/>
      <c r="B117" s="7" t="n"/>
      <c r="C117" s="7" t="n"/>
      <c r="D117" s="8" t="n"/>
      <c r="E117" s="8" t="n"/>
      <c r="F117" s="8" t="n"/>
      <c r="G117" s="9">
        <f>IF(C117="","",IFERROR(VLOOKUP(C117,MAESTRO!$A:$B,2,FALSE),"—"))</f>
        <v/>
      </c>
      <c r="H117" s="9">
        <f>IF(A117="","",IFERROR(VLOOKUP(A117,TIPOS!$A:$B,2,FALSE),""))</f>
        <v/>
      </c>
      <c r="I117" s="10">
        <f>IF(C117="","",IFERROR((N(D117)*N(VLOOKUP(C117,MAESTRO!$A:$D,4,FALSE))+N(E117))*VLOOKUP(C117,MAESTRO!$A:$C,3,FALSE)+N(F117),""))</f>
        <v/>
      </c>
      <c r="J117" s="9">
        <f>IF(OR(C117="",IFERROR(VLOOKUP(A117,TIPOS!$A:$E,5,FALSE),"No")&lt;&gt;"Sí"),"",IFERROR(IF(VLOOKUP(C117,MAESTRO!$A:$E,5,FALSE)=0,"",VLOOKUP(C117,MAESTRO!$A:$E,5,FALSE)),""))</f>
        <v/>
      </c>
      <c r="K117" s="10">
        <f>IF(OR(J117="",N(I117)=0,IFERROR(VLOOKUP(A117,TIPOS!$A:$E,5,FALSE),"No")&lt;&gt;"Sí"),"",INT(I117/VLOOKUP(C117,MAESTRO!$A:$C,3,FALSE)))</f>
        <v/>
      </c>
      <c r="L117" s="9">
        <f>IF(AND(A117="",C117=""),"",IF(A117="","Falta el tipo",IF(C117="","Falta el código",IF(ISNA(MATCH(C117,MAESTRO!$A:$A,0)),"El código no está en el maestro",IF(AND(N(D117)&gt;0,N(VLOOKUP(C117,MAESTRO!$A:$D,4,FALSE))=0),"Ese código no tiene cajas por estiba: escribe cajas",IF(AND(IFERROR(VLOOKUP(A117,TIPOS!$A:$C,3,FALSE),"")="Sí",B117=""),"Falta el N° de entrega",IF(N(I117)&lt;=0,"Falta la cantidad","OK")))))))</f>
        <v/>
      </c>
    </row>
    <row r="118">
      <c r="A118" s="7" t="n"/>
      <c r="B118" s="7" t="n"/>
      <c r="C118" s="7" t="n"/>
      <c r="D118" s="8" t="n"/>
      <c r="E118" s="8" t="n"/>
      <c r="F118" s="8" t="n"/>
      <c r="G118" s="9">
        <f>IF(C118="","",IFERROR(VLOOKUP(C118,MAESTRO!$A:$B,2,FALSE),"—"))</f>
        <v/>
      </c>
      <c r="H118" s="9">
        <f>IF(A118="","",IFERROR(VLOOKUP(A118,TIPOS!$A:$B,2,FALSE),""))</f>
        <v/>
      </c>
      <c r="I118" s="10">
        <f>IF(C118="","",IFERROR((N(D118)*N(VLOOKUP(C118,MAESTRO!$A:$D,4,FALSE))+N(E118))*VLOOKUP(C118,MAESTRO!$A:$C,3,FALSE)+N(F118),""))</f>
        <v/>
      </c>
      <c r="J118" s="9">
        <f>IF(OR(C118="",IFERROR(VLOOKUP(A118,TIPOS!$A:$E,5,FALSE),"No")&lt;&gt;"Sí"),"",IFERROR(IF(VLOOKUP(C118,MAESTRO!$A:$E,5,FALSE)=0,"",VLOOKUP(C118,MAESTRO!$A:$E,5,FALSE)),""))</f>
        <v/>
      </c>
      <c r="K118" s="10">
        <f>IF(OR(J118="",N(I118)=0,IFERROR(VLOOKUP(A118,TIPOS!$A:$E,5,FALSE),"No")&lt;&gt;"Sí"),"",INT(I118/VLOOKUP(C118,MAESTRO!$A:$C,3,FALSE)))</f>
        <v/>
      </c>
      <c r="L118" s="9">
        <f>IF(AND(A118="",C118=""),"",IF(A118="","Falta el tipo",IF(C118="","Falta el código",IF(ISNA(MATCH(C118,MAESTRO!$A:$A,0)),"El código no está en el maestro",IF(AND(N(D118)&gt;0,N(VLOOKUP(C118,MAESTRO!$A:$D,4,FALSE))=0),"Ese código no tiene cajas por estiba: escribe cajas",IF(AND(IFERROR(VLOOKUP(A118,TIPOS!$A:$C,3,FALSE),"")="Sí",B118=""),"Falta el N° de entrega",IF(N(I118)&lt;=0,"Falta la cantidad","OK")))))))</f>
        <v/>
      </c>
    </row>
    <row r="119">
      <c r="A119" s="7" t="n"/>
      <c r="B119" s="7" t="n"/>
      <c r="C119" s="7" t="n"/>
      <c r="D119" s="8" t="n"/>
      <c r="E119" s="8" t="n"/>
      <c r="F119" s="8" t="n"/>
      <c r="G119" s="9">
        <f>IF(C119="","",IFERROR(VLOOKUP(C119,MAESTRO!$A:$B,2,FALSE),"—"))</f>
        <v/>
      </c>
      <c r="H119" s="9">
        <f>IF(A119="","",IFERROR(VLOOKUP(A119,TIPOS!$A:$B,2,FALSE),""))</f>
        <v/>
      </c>
      <c r="I119" s="10">
        <f>IF(C119="","",IFERROR((N(D119)*N(VLOOKUP(C119,MAESTRO!$A:$D,4,FALSE))+N(E119))*VLOOKUP(C119,MAESTRO!$A:$C,3,FALSE)+N(F119),""))</f>
        <v/>
      </c>
      <c r="J119" s="9">
        <f>IF(OR(C119="",IFERROR(VLOOKUP(A119,TIPOS!$A:$E,5,FALSE),"No")&lt;&gt;"Sí"),"",IFERROR(IF(VLOOKUP(C119,MAESTRO!$A:$E,5,FALSE)=0,"",VLOOKUP(C119,MAESTRO!$A:$E,5,FALSE)),""))</f>
        <v/>
      </c>
      <c r="K119" s="10">
        <f>IF(OR(J119="",N(I119)=0,IFERROR(VLOOKUP(A119,TIPOS!$A:$E,5,FALSE),"No")&lt;&gt;"Sí"),"",INT(I119/VLOOKUP(C119,MAESTRO!$A:$C,3,FALSE)))</f>
        <v/>
      </c>
      <c r="L119" s="9">
        <f>IF(AND(A119="",C119=""),"",IF(A119="","Falta el tipo",IF(C119="","Falta el código",IF(ISNA(MATCH(C119,MAESTRO!$A:$A,0)),"El código no está en el maestro",IF(AND(N(D119)&gt;0,N(VLOOKUP(C119,MAESTRO!$A:$D,4,FALSE))=0),"Ese código no tiene cajas por estiba: escribe cajas",IF(AND(IFERROR(VLOOKUP(A119,TIPOS!$A:$C,3,FALSE),"")="Sí",B119=""),"Falta el N° de entrega",IF(N(I119)&lt;=0,"Falta la cantidad","OK")))))))</f>
        <v/>
      </c>
    </row>
    <row r="120">
      <c r="A120" s="7" t="n"/>
      <c r="B120" s="7" t="n"/>
      <c r="C120" s="7" t="n"/>
      <c r="D120" s="8" t="n"/>
      <c r="E120" s="8" t="n"/>
      <c r="F120" s="8" t="n"/>
      <c r="G120" s="9">
        <f>IF(C120="","",IFERROR(VLOOKUP(C120,MAESTRO!$A:$B,2,FALSE),"—"))</f>
        <v/>
      </c>
      <c r="H120" s="9">
        <f>IF(A120="","",IFERROR(VLOOKUP(A120,TIPOS!$A:$B,2,FALSE),""))</f>
        <v/>
      </c>
      <c r="I120" s="10">
        <f>IF(C120="","",IFERROR((N(D120)*N(VLOOKUP(C120,MAESTRO!$A:$D,4,FALSE))+N(E120))*VLOOKUP(C120,MAESTRO!$A:$C,3,FALSE)+N(F120),""))</f>
        <v/>
      </c>
      <c r="J120" s="9">
        <f>IF(OR(C120="",IFERROR(VLOOKUP(A120,TIPOS!$A:$E,5,FALSE),"No")&lt;&gt;"Sí"),"",IFERROR(IF(VLOOKUP(C120,MAESTRO!$A:$E,5,FALSE)=0,"",VLOOKUP(C120,MAESTRO!$A:$E,5,FALSE)),""))</f>
        <v/>
      </c>
      <c r="K120" s="10">
        <f>IF(OR(J120="",N(I120)=0,IFERROR(VLOOKUP(A120,TIPOS!$A:$E,5,FALSE),"No")&lt;&gt;"Sí"),"",INT(I120/VLOOKUP(C120,MAESTRO!$A:$C,3,FALSE)))</f>
        <v/>
      </c>
      <c r="L120" s="9">
        <f>IF(AND(A120="",C120=""),"",IF(A120="","Falta el tipo",IF(C120="","Falta el código",IF(ISNA(MATCH(C120,MAESTRO!$A:$A,0)),"El código no está en el maestro",IF(AND(N(D120)&gt;0,N(VLOOKUP(C120,MAESTRO!$A:$D,4,FALSE))=0),"Ese código no tiene cajas por estiba: escribe cajas",IF(AND(IFERROR(VLOOKUP(A120,TIPOS!$A:$C,3,FALSE),"")="Sí",B120=""),"Falta el N° de entrega",IF(N(I120)&lt;=0,"Falta la cantidad","OK")))))))</f>
        <v/>
      </c>
    </row>
    <row r="121">
      <c r="A121" s="7" t="n"/>
      <c r="B121" s="7" t="n"/>
      <c r="C121" s="7" t="n"/>
      <c r="D121" s="8" t="n"/>
      <c r="E121" s="8" t="n"/>
      <c r="F121" s="8" t="n"/>
      <c r="G121" s="9">
        <f>IF(C121="","",IFERROR(VLOOKUP(C121,MAESTRO!$A:$B,2,FALSE),"—"))</f>
        <v/>
      </c>
      <c r="H121" s="9">
        <f>IF(A121="","",IFERROR(VLOOKUP(A121,TIPOS!$A:$B,2,FALSE),""))</f>
        <v/>
      </c>
      <c r="I121" s="10">
        <f>IF(C121="","",IFERROR((N(D121)*N(VLOOKUP(C121,MAESTRO!$A:$D,4,FALSE))+N(E121))*VLOOKUP(C121,MAESTRO!$A:$C,3,FALSE)+N(F121),""))</f>
        <v/>
      </c>
      <c r="J121" s="9">
        <f>IF(OR(C121="",IFERROR(VLOOKUP(A121,TIPOS!$A:$E,5,FALSE),"No")&lt;&gt;"Sí"),"",IFERROR(IF(VLOOKUP(C121,MAESTRO!$A:$E,5,FALSE)=0,"",VLOOKUP(C121,MAESTRO!$A:$E,5,FALSE)),""))</f>
        <v/>
      </c>
      <c r="K121" s="10">
        <f>IF(OR(J121="",N(I121)=0,IFERROR(VLOOKUP(A121,TIPOS!$A:$E,5,FALSE),"No")&lt;&gt;"Sí"),"",INT(I121/VLOOKUP(C121,MAESTRO!$A:$C,3,FALSE)))</f>
        <v/>
      </c>
      <c r="L121" s="9">
        <f>IF(AND(A121="",C121=""),"",IF(A121="","Falta el tipo",IF(C121="","Falta el código",IF(ISNA(MATCH(C121,MAESTRO!$A:$A,0)),"El código no está en el maestro",IF(AND(N(D121)&gt;0,N(VLOOKUP(C121,MAESTRO!$A:$D,4,FALSE))=0),"Ese código no tiene cajas por estiba: escribe cajas",IF(AND(IFERROR(VLOOKUP(A121,TIPOS!$A:$C,3,FALSE),"")="Sí",B121=""),"Falta el N° de entrega",IF(N(I121)&lt;=0,"Falta la cantidad","OK")))))))</f>
        <v/>
      </c>
    </row>
    <row r="122">
      <c r="A122" s="7" t="n"/>
      <c r="B122" s="7" t="n"/>
      <c r="C122" s="7" t="n"/>
      <c r="D122" s="8" t="n"/>
      <c r="E122" s="8" t="n"/>
      <c r="F122" s="8" t="n"/>
      <c r="G122" s="9">
        <f>IF(C122="","",IFERROR(VLOOKUP(C122,MAESTRO!$A:$B,2,FALSE),"—"))</f>
        <v/>
      </c>
      <c r="H122" s="9">
        <f>IF(A122="","",IFERROR(VLOOKUP(A122,TIPOS!$A:$B,2,FALSE),""))</f>
        <v/>
      </c>
      <c r="I122" s="10">
        <f>IF(C122="","",IFERROR((N(D122)*N(VLOOKUP(C122,MAESTRO!$A:$D,4,FALSE))+N(E122))*VLOOKUP(C122,MAESTRO!$A:$C,3,FALSE)+N(F122),""))</f>
        <v/>
      </c>
      <c r="J122" s="9">
        <f>IF(OR(C122="",IFERROR(VLOOKUP(A122,TIPOS!$A:$E,5,FALSE),"No")&lt;&gt;"Sí"),"",IFERROR(IF(VLOOKUP(C122,MAESTRO!$A:$E,5,FALSE)=0,"",VLOOKUP(C122,MAESTRO!$A:$E,5,FALSE)),""))</f>
        <v/>
      </c>
      <c r="K122" s="10">
        <f>IF(OR(J122="",N(I122)=0,IFERROR(VLOOKUP(A122,TIPOS!$A:$E,5,FALSE),"No")&lt;&gt;"Sí"),"",INT(I122/VLOOKUP(C122,MAESTRO!$A:$C,3,FALSE)))</f>
        <v/>
      </c>
      <c r="L122" s="9">
        <f>IF(AND(A122="",C122=""),"",IF(A122="","Falta el tipo",IF(C122="","Falta el código",IF(ISNA(MATCH(C122,MAESTRO!$A:$A,0)),"El código no está en el maestro",IF(AND(N(D122)&gt;0,N(VLOOKUP(C122,MAESTRO!$A:$D,4,FALSE))=0),"Ese código no tiene cajas por estiba: escribe cajas",IF(AND(IFERROR(VLOOKUP(A122,TIPOS!$A:$C,3,FALSE),"")="Sí",B122=""),"Falta el N° de entrega",IF(N(I122)&lt;=0,"Falta la cantidad","OK")))))))</f>
        <v/>
      </c>
    </row>
    <row r="123">
      <c r="A123" s="7" t="n"/>
      <c r="B123" s="7" t="n"/>
      <c r="C123" s="7" t="n"/>
      <c r="D123" s="8" t="n"/>
      <c r="E123" s="8" t="n"/>
      <c r="F123" s="8" t="n"/>
      <c r="G123" s="9">
        <f>IF(C123="","",IFERROR(VLOOKUP(C123,MAESTRO!$A:$B,2,FALSE),"—"))</f>
        <v/>
      </c>
      <c r="H123" s="9">
        <f>IF(A123="","",IFERROR(VLOOKUP(A123,TIPOS!$A:$B,2,FALSE),""))</f>
        <v/>
      </c>
      <c r="I123" s="10">
        <f>IF(C123="","",IFERROR((N(D123)*N(VLOOKUP(C123,MAESTRO!$A:$D,4,FALSE))+N(E123))*VLOOKUP(C123,MAESTRO!$A:$C,3,FALSE)+N(F123),""))</f>
        <v/>
      </c>
      <c r="J123" s="9">
        <f>IF(OR(C123="",IFERROR(VLOOKUP(A123,TIPOS!$A:$E,5,FALSE),"No")&lt;&gt;"Sí"),"",IFERROR(IF(VLOOKUP(C123,MAESTRO!$A:$E,5,FALSE)=0,"",VLOOKUP(C123,MAESTRO!$A:$E,5,FALSE)),""))</f>
        <v/>
      </c>
      <c r="K123" s="10">
        <f>IF(OR(J123="",N(I123)=0,IFERROR(VLOOKUP(A123,TIPOS!$A:$E,5,FALSE),"No")&lt;&gt;"Sí"),"",INT(I123/VLOOKUP(C123,MAESTRO!$A:$C,3,FALSE)))</f>
        <v/>
      </c>
      <c r="L123" s="9">
        <f>IF(AND(A123="",C123=""),"",IF(A123="","Falta el tipo",IF(C123="","Falta el código",IF(ISNA(MATCH(C123,MAESTRO!$A:$A,0)),"El código no está en el maestro",IF(AND(N(D123)&gt;0,N(VLOOKUP(C123,MAESTRO!$A:$D,4,FALSE))=0),"Ese código no tiene cajas por estiba: escribe cajas",IF(AND(IFERROR(VLOOKUP(A123,TIPOS!$A:$C,3,FALSE),"")="Sí",B123=""),"Falta el N° de entrega",IF(N(I123)&lt;=0,"Falta la cantidad","OK")))))))</f>
        <v/>
      </c>
    </row>
    <row r="124">
      <c r="A124" s="7" t="n"/>
      <c r="B124" s="7" t="n"/>
      <c r="C124" s="7" t="n"/>
      <c r="D124" s="8" t="n"/>
      <c r="E124" s="8" t="n"/>
      <c r="F124" s="8" t="n"/>
      <c r="G124" s="9">
        <f>IF(C124="","",IFERROR(VLOOKUP(C124,MAESTRO!$A:$B,2,FALSE),"—"))</f>
        <v/>
      </c>
      <c r="H124" s="9">
        <f>IF(A124="","",IFERROR(VLOOKUP(A124,TIPOS!$A:$B,2,FALSE),""))</f>
        <v/>
      </c>
      <c r="I124" s="10">
        <f>IF(C124="","",IFERROR((N(D124)*N(VLOOKUP(C124,MAESTRO!$A:$D,4,FALSE))+N(E124))*VLOOKUP(C124,MAESTRO!$A:$C,3,FALSE)+N(F124),""))</f>
        <v/>
      </c>
      <c r="J124" s="9">
        <f>IF(OR(C124="",IFERROR(VLOOKUP(A124,TIPOS!$A:$E,5,FALSE),"No")&lt;&gt;"Sí"),"",IFERROR(IF(VLOOKUP(C124,MAESTRO!$A:$E,5,FALSE)=0,"",VLOOKUP(C124,MAESTRO!$A:$E,5,FALSE)),""))</f>
        <v/>
      </c>
      <c r="K124" s="10">
        <f>IF(OR(J124="",N(I124)=0,IFERROR(VLOOKUP(A124,TIPOS!$A:$E,5,FALSE),"No")&lt;&gt;"Sí"),"",INT(I124/VLOOKUP(C124,MAESTRO!$A:$C,3,FALSE)))</f>
        <v/>
      </c>
      <c r="L124" s="9">
        <f>IF(AND(A124="",C124=""),"",IF(A124="","Falta el tipo",IF(C124="","Falta el código",IF(ISNA(MATCH(C124,MAESTRO!$A:$A,0)),"El código no está en el maestro",IF(AND(N(D124)&gt;0,N(VLOOKUP(C124,MAESTRO!$A:$D,4,FALSE))=0),"Ese código no tiene cajas por estiba: escribe cajas",IF(AND(IFERROR(VLOOKUP(A124,TIPOS!$A:$C,3,FALSE),"")="Sí",B124=""),"Falta el N° de entrega",IF(N(I124)&lt;=0,"Falta la cantidad","OK")))))))</f>
        <v/>
      </c>
    </row>
    <row r="125">
      <c r="A125" s="7" t="n"/>
      <c r="B125" s="7" t="n"/>
      <c r="C125" s="7" t="n"/>
      <c r="D125" s="8" t="n"/>
      <c r="E125" s="8" t="n"/>
      <c r="F125" s="8" t="n"/>
      <c r="G125" s="9">
        <f>IF(C125="","",IFERROR(VLOOKUP(C125,MAESTRO!$A:$B,2,FALSE),"—"))</f>
        <v/>
      </c>
      <c r="H125" s="9">
        <f>IF(A125="","",IFERROR(VLOOKUP(A125,TIPOS!$A:$B,2,FALSE),""))</f>
        <v/>
      </c>
      <c r="I125" s="10">
        <f>IF(C125="","",IFERROR((N(D125)*N(VLOOKUP(C125,MAESTRO!$A:$D,4,FALSE))+N(E125))*VLOOKUP(C125,MAESTRO!$A:$C,3,FALSE)+N(F125),""))</f>
        <v/>
      </c>
      <c r="J125" s="9">
        <f>IF(OR(C125="",IFERROR(VLOOKUP(A125,TIPOS!$A:$E,5,FALSE),"No")&lt;&gt;"Sí"),"",IFERROR(IF(VLOOKUP(C125,MAESTRO!$A:$E,5,FALSE)=0,"",VLOOKUP(C125,MAESTRO!$A:$E,5,FALSE)),""))</f>
        <v/>
      </c>
      <c r="K125" s="10">
        <f>IF(OR(J125="",N(I125)=0,IFERROR(VLOOKUP(A125,TIPOS!$A:$E,5,FALSE),"No")&lt;&gt;"Sí"),"",INT(I125/VLOOKUP(C125,MAESTRO!$A:$C,3,FALSE)))</f>
        <v/>
      </c>
      <c r="L125" s="9">
        <f>IF(AND(A125="",C125=""),"",IF(A125="","Falta el tipo",IF(C125="","Falta el código",IF(ISNA(MATCH(C125,MAESTRO!$A:$A,0)),"El código no está en el maestro",IF(AND(N(D125)&gt;0,N(VLOOKUP(C125,MAESTRO!$A:$D,4,FALSE))=0),"Ese código no tiene cajas por estiba: escribe cajas",IF(AND(IFERROR(VLOOKUP(A125,TIPOS!$A:$C,3,FALSE),"")="Sí",B125=""),"Falta el N° de entrega",IF(N(I125)&lt;=0,"Falta la cantidad","OK")))))))</f>
        <v/>
      </c>
    </row>
    <row r="126">
      <c r="A126" s="7" t="n"/>
      <c r="B126" s="7" t="n"/>
      <c r="C126" s="7" t="n"/>
      <c r="D126" s="8" t="n"/>
      <c r="E126" s="8" t="n"/>
      <c r="F126" s="8" t="n"/>
      <c r="G126" s="9">
        <f>IF(C126="","",IFERROR(VLOOKUP(C126,MAESTRO!$A:$B,2,FALSE),"—"))</f>
        <v/>
      </c>
      <c r="H126" s="9">
        <f>IF(A126="","",IFERROR(VLOOKUP(A126,TIPOS!$A:$B,2,FALSE),""))</f>
        <v/>
      </c>
      <c r="I126" s="10">
        <f>IF(C126="","",IFERROR((N(D126)*N(VLOOKUP(C126,MAESTRO!$A:$D,4,FALSE))+N(E126))*VLOOKUP(C126,MAESTRO!$A:$C,3,FALSE)+N(F126),""))</f>
        <v/>
      </c>
      <c r="J126" s="9">
        <f>IF(OR(C126="",IFERROR(VLOOKUP(A126,TIPOS!$A:$E,5,FALSE),"No")&lt;&gt;"Sí"),"",IFERROR(IF(VLOOKUP(C126,MAESTRO!$A:$E,5,FALSE)=0,"",VLOOKUP(C126,MAESTRO!$A:$E,5,FALSE)),""))</f>
        <v/>
      </c>
      <c r="K126" s="10">
        <f>IF(OR(J126="",N(I126)=0,IFERROR(VLOOKUP(A126,TIPOS!$A:$E,5,FALSE),"No")&lt;&gt;"Sí"),"",INT(I126/VLOOKUP(C126,MAESTRO!$A:$C,3,FALSE)))</f>
        <v/>
      </c>
      <c r="L126" s="9">
        <f>IF(AND(A126="",C126=""),"",IF(A126="","Falta el tipo",IF(C126="","Falta el código",IF(ISNA(MATCH(C126,MAESTRO!$A:$A,0)),"El código no está en el maestro",IF(AND(N(D126)&gt;0,N(VLOOKUP(C126,MAESTRO!$A:$D,4,FALSE))=0),"Ese código no tiene cajas por estiba: escribe cajas",IF(AND(IFERROR(VLOOKUP(A126,TIPOS!$A:$C,3,FALSE),"")="Sí",B126=""),"Falta el N° de entrega",IF(N(I126)&lt;=0,"Falta la cantidad","OK")))))))</f>
        <v/>
      </c>
    </row>
    <row r="127">
      <c r="A127" s="7" t="n"/>
      <c r="B127" s="7" t="n"/>
      <c r="C127" s="7" t="n"/>
      <c r="D127" s="8" t="n"/>
      <c r="E127" s="8" t="n"/>
      <c r="F127" s="8" t="n"/>
      <c r="G127" s="9">
        <f>IF(C127="","",IFERROR(VLOOKUP(C127,MAESTRO!$A:$B,2,FALSE),"—"))</f>
        <v/>
      </c>
      <c r="H127" s="9">
        <f>IF(A127="","",IFERROR(VLOOKUP(A127,TIPOS!$A:$B,2,FALSE),""))</f>
        <v/>
      </c>
      <c r="I127" s="10">
        <f>IF(C127="","",IFERROR((N(D127)*N(VLOOKUP(C127,MAESTRO!$A:$D,4,FALSE))+N(E127))*VLOOKUP(C127,MAESTRO!$A:$C,3,FALSE)+N(F127),""))</f>
        <v/>
      </c>
      <c r="J127" s="9">
        <f>IF(OR(C127="",IFERROR(VLOOKUP(A127,TIPOS!$A:$E,5,FALSE),"No")&lt;&gt;"Sí"),"",IFERROR(IF(VLOOKUP(C127,MAESTRO!$A:$E,5,FALSE)=0,"",VLOOKUP(C127,MAESTRO!$A:$E,5,FALSE)),""))</f>
        <v/>
      </c>
      <c r="K127" s="10">
        <f>IF(OR(J127="",N(I127)=0,IFERROR(VLOOKUP(A127,TIPOS!$A:$E,5,FALSE),"No")&lt;&gt;"Sí"),"",INT(I127/VLOOKUP(C127,MAESTRO!$A:$C,3,FALSE)))</f>
        <v/>
      </c>
      <c r="L127" s="9">
        <f>IF(AND(A127="",C127=""),"",IF(A127="","Falta el tipo",IF(C127="","Falta el código",IF(ISNA(MATCH(C127,MAESTRO!$A:$A,0)),"El código no está en el maestro",IF(AND(N(D127)&gt;0,N(VLOOKUP(C127,MAESTRO!$A:$D,4,FALSE))=0),"Ese código no tiene cajas por estiba: escribe cajas",IF(AND(IFERROR(VLOOKUP(A127,TIPOS!$A:$C,3,FALSE),"")="Sí",B127=""),"Falta el N° de entrega",IF(N(I127)&lt;=0,"Falta la cantidad","OK")))))))</f>
        <v/>
      </c>
    </row>
    <row r="128">
      <c r="A128" s="7" t="n"/>
      <c r="B128" s="7" t="n"/>
      <c r="C128" s="7" t="n"/>
      <c r="D128" s="8" t="n"/>
      <c r="E128" s="8" t="n"/>
      <c r="F128" s="8" t="n"/>
      <c r="G128" s="9">
        <f>IF(C128="","",IFERROR(VLOOKUP(C128,MAESTRO!$A:$B,2,FALSE),"—"))</f>
        <v/>
      </c>
      <c r="H128" s="9">
        <f>IF(A128="","",IFERROR(VLOOKUP(A128,TIPOS!$A:$B,2,FALSE),""))</f>
        <v/>
      </c>
      <c r="I128" s="10">
        <f>IF(C128="","",IFERROR((N(D128)*N(VLOOKUP(C128,MAESTRO!$A:$D,4,FALSE))+N(E128))*VLOOKUP(C128,MAESTRO!$A:$C,3,FALSE)+N(F128),""))</f>
        <v/>
      </c>
      <c r="J128" s="9">
        <f>IF(OR(C128="",IFERROR(VLOOKUP(A128,TIPOS!$A:$E,5,FALSE),"No")&lt;&gt;"Sí"),"",IFERROR(IF(VLOOKUP(C128,MAESTRO!$A:$E,5,FALSE)=0,"",VLOOKUP(C128,MAESTRO!$A:$E,5,FALSE)),""))</f>
        <v/>
      </c>
      <c r="K128" s="10">
        <f>IF(OR(J128="",N(I128)=0,IFERROR(VLOOKUP(A128,TIPOS!$A:$E,5,FALSE),"No")&lt;&gt;"Sí"),"",INT(I128/VLOOKUP(C128,MAESTRO!$A:$C,3,FALSE)))</f>
        <v/>
      </c>
      <c r="L128" s="9">
        <f>IF(AND(A128="",C128=""),"",IF(A128="","Falta el tipo",IF(C128="","Falta el código",IF(ISNA(MATCH(C128,MAESTRO!$A:$A,0)),"El código no está en el maestro",IF(AND(N(D128)&gt;0,N(VLOOKUP(C128,MAESTRO!$A:$D,4,FALSE))=0),"Ese código no tiene cajas por estiba: escribe cajas",IF(AND(IFERROR(VLOOKUP(A128,TIPOS!$A:$C,3,FALSE),"")="Sí",B128=""),"Falta el N° de entrega",IF(N(I128)&lt;=0,"Falta la cantidad","OK")))))))</f>
        <v/>
      </c>
    </row>
    <row r="129">
      <c r="A129" s="7" t="n"/>
      <c r="B129" s="7" t="n"/>
      <c r="C129" s="7" t="n"/>
      <c r="D129" s="8" t="n"/>
      <c r="E129" s="8" t="n"/>
      <c r="F129" s="8" t="n"/>
      <c r="G129" s="9">
        <f>IF(C129="","",IFERROR(VLOOKUP(C129,MAESTRO!$A:$B,2,FALSE),"—"))</f>
        <v/>
      </c>
      <c r="H129" s="9">
        <f>IF(A129="","",IFERROR(VLOOKUP(A129,TIPOS!$A:$B,2,FALSE),""))</f>
        <v/>
      </c>
      <c r="I129" s="10">
        <f>IF(C129="","",IFERROR((N(D129)*N(VLOOKUP(C129,MAESTRO!$A:$D,4,FALSE))+N(E129))*VLOOKUP(C129,MAESTRO!$A:$C,3,FALSE)+N(F129),""))</f>
        <v/>
      </c>
      <c r="J129" s="9">
        <f>IF(OR(C129="",IFERROR(VLOOKUP(A129,TIPOS!$A:$E,5,FALSE),"No")&lt;&gt;"Sí"),"",IFERROR(IF(VLOOKUP(C129,MAESTRO!$A:$E,5,FALSE)=0,"",VLOOKUP(C129,MAESTRO!$A:$E,5,FALSE)),""))</f>
        <v/>
      </c>
      <c r="K129" s="10">
        <f>IF(OR(J129="",N(I129)=0,IFERROR(VLOOKUP(A129,TIPOS!$A:$E,5,FALSE),"No")&lt;&gt;"Sí"),"",INT(I129/VLOOKUP(C129,MAESTRO!$A:$C,3,FALSE)))</f>
        <v/>
      </c>
      <c r="L129" s="9">
        <f>IF(AND(A129="",C129=""),"",IF(A129="","Falta el tipo",IF(C129="","Falta el código",IF(ISNA(MATCH(C129,MAESTRO!$A:$A,0)),"El código no está en el maestro",IF(AND(N(D129)&gt;0,N(VLOOKUP(C129,MAESTRO!$A:$D,4,FALSE))=0),"Ese código no tiene cajas por estiba: escribe cajas",IF(AND(IFERROR(VLOOKUP(A129,TIPOS!$A:$C,3,FALSE),"")="Sí",B129=""),"Falta el N° de entrega",IF(N(I129)&lt;=0,"Falta la cantidad","OK")))))))</f>
        <v/>
      </c>
    </row>
    <row r="130">
      <c r="A130" s="7" t="n"/>
      <c r="B130" s="7" t="n"/>
      <c r="C130" s="7" t="n"/>
      <c r="D130" s="8" t="n"/>
      <c r="E130" s="8" t="n"/>
      <c r="F130" s="8" t="n"/>
      <c r="G130" s="9">
        <f>IF(C130="","",IFERROR(VLOOKUP(C130,MAESTRO!$A:$B,2,FALSE),"—"))</f>
        <v/>
      </c>
      <c r="H130" s="9">
        <f>IF(A130="","",IFERROR(VLOOKUP(A130,TIPOS!$A:$B,2,FALSE),""))</f>
        <v/>
      </c>
      <c r="I130" s="10">
        <f>IF(C130="","",IFERROR((N(D130)*N(VLOOKUP(C130,MAESTRO!$A:$D,4,FALSE))+N(E130))*VLOOKUP(C130,MAESTRO!$A:$C,3,FALSE)+N(F130),""))</f>
        <v/>
      </c>
      <c r="J130" s="9">
        <f>IF(OR(C130="",IFERROR(VLOOKUP(A130,TIPOS!$A:$E,5,FALSE),"No")&lt;&gt;"Sí"),"",IFERROR(IF(VLOOKUP(C130,MAESTRO!$A:$E,5,FALSE)=0,"",VLOOKUP(C130,MAESTRO!$A:$E,5,FALSE)),""))</f>
        <v/>
      </c>
      <c r="K130" s="10">
        <f>IF(OR(J130="",N(I130)=0,IFERROR(VLOOKUP(A130,TIPOS!$A:$E,5,FALSE),"No")&lt;&gt;"Sí"),"",INT(I130/VLOOKUP(C130,MAESTRO!$A:$C,3,FALSE)))</f>
        <v/>
      </c>
      <c r="L130" s="9">
        <f>IF(AND(A130="",C130=""),"",IF(A130="","Falta el tipo",IF(C130="","Falta el código",IF(ISNA(MATCH(C130,MAESTRO!$A:$A,0)),"El código no está en el maestro",IF(AND(N(D130)&gt;0,N(VLOOKUP(C130,MAESTRO!$A:$D,4,FALSE))=0),"Ese código no tiene cajas por estiba: escribe cajas",IF(AND(IFERROR(VLOOKUP(A130,TIPOS!$A:$C,3,FALSE),"")="Sí",B130=""),"Falta el N° de entrega",IF(N(I130)&lt;=0,"Falta la cantidad","OK")))))))</f>
        <v/>
      </c>
    </row>
    <row r="131">
      <c r="A131" s="7" t="n"/>
      <c r="B131" s="7" t="n"/>
      <c r="C131" s="7" t="n"/>
      <c r="D131" s="8" t="n"/>
      <c r="E131" s="8" t="n"/>
      <c r="F131" s="8" t="n"/>
      <c r="G131" s="9">
        <f>IF(C131="","",IFERROR(VLOOKUP(C131,MAESTRO!$A:$B,2,FALSE),"—"))</f>
        <v/>
      </c>
      <c r="H131" s="9">
        <f>IF(A131="","",IFERROR(VLOOKUP(A131,TIPOS!$A:$B,2,FALSE),""))</f>
        <v/>
      </c>
      <c r="I131" s="10">
        <f>IF(C131="","",IFERROR((N(D131)*N(VLOOKUP(C131,MAESTRO!$A:$D,4,FALSE))+N(E131))*VLOOKUP(C131,MAESTRO!$A:$C,3,FALSE)+N(F131),""))</f>
        <v/>
      </c>
      <c r="J131" s="9">
        <f>IF(OR(C131="",IFERROR(VLOOKUP(A131,TIPOS!$A:$E,5,FALSE),"No")&lt;&gt;"Sí"),"",IFERROR(IF(VLOOKUP(C131,MAESTRO!$A:$E,5,FALSE)=0,"",VLOOKUP(C131,MAESTRO!$A:$E,5,FALSE)),""))</f>
        <v/>
      </c>
      <c r="K131" s="10">
        <f>IF(OR(J131="",N(I131)=0,IFERROR(VLOOKUP(A131,TIPOS!$A:$E,5,FALSE),"No")&lt;&gt;"Sí"),"",INT(I131/VLOOKUP(C131,MAESTRO!$A:$C,3,FALSE)))</f>
        <v/>
      </c>
      <c r="L131" s="9">
        <f>IF(AND(A131="",C131=""),"",IF(A131="","Falta el tipo",IF(C131="","Falta el código",IF(ISNA(MATCH(C131,MAESTRO!$A:$A,0)),"El código no está en el maestro",IF(AND(N(D131)&gt;0,N(VLOOKUP(C131,MAESTRO!$A:$D,4,FALSE))=0),"Ese código no tiene cajas por estiba: escribe cajas",IF(AND(IFERROR(VLOOKUP(A131,TIPOS!$A:$C,3,FALSE),"")="Sí",B131=""),"Falta el N° de entrega",IF(N(I131)&lt;=0,"Falta la cantidad","OK")))))))</f>
        <v/>
      </c>
    </row>
    <row r="132">
      <c r="A132" s="7" t="n"/>
      <c r="B132" s="7" t="n"/>
      <c r="C132" s="7" t="n"/>
      <c r="D132" s="8" t="n"/>
      <c r="E132" s="8" t="n"/>
      <c r="F132" s="8" t="n"/>
      <c r="G132" s="9">
        <f>IF(C132="","",IFERROR(VLOOKUP(C132,MAESTRO!$A:$B,2,FALSE),"—"))</f>
        <v/>
      </c>
      <c r="H132" s="9">
        <f>IF(A132="","",IFERROR(VLOOKUP(A132,TIPOS!$A:$B,2,FALSE),""))</f>
        <v/>
      </c>
      <c r="I132" s="10">
        <f>IF(C132="","",IFERROR((N(D132)*N(VLOOKUP(C132,MAESTRO!$A:$D,4,FALSE))+N(E132))*VLOOKUP(C132,MAESTRO!$A:$C,3,FALSE)+N(F132),""))</f>
        <v/>
      </c>
      <c r="J132" s="9">
        <f>IF(OR(C132="",IFERROR(VLOOKUP(A132,TIPOS!$A:$E,5,FALSE),"No")&lt;&gt;"Sí"),"",IFERROR(IF(VLOOKUP(C132,MAESTRO!$A:$E,5,FALSE)=0,"",VLOOKUP(C132,MAESTRO!$A:$E,5,FALSE)),""))</f>
        <v/>
      </c>
      <c r="K132" s="10">
        <f>IF(OR(J132="",N(I132)=0,IFERROR(VLOOKUP(A132,TIPOS!$A:$E,5,FALSE),"No")&lt;&gt;"Sí"),"",INT(I132/VLOOKUP(C132,MAESTRO!$A:$C,3,FALSE)))</f>
        <v/>
      </c>
      <c r="L132" s="9">
        <f>IF(AND(A132="",C132=""),"",IF(A132="","Falta el tipo",IF(C132="","Falta el código",IF(ISNA(MATCH(C132,MAESTRO!$A:$A,0)),"El código no está en el maestro",IF(AND(N(D132)&gt;0,N(VLOOKUP(C132,MAESTRO!$A:$D,4,FALSE))=0),"Ese código no tiene cajas por estiba: escribe cajas",IF(AND(IFERROR(VLOOKUP(A132,TIPOS!$A:$C,3,FALSE),"")="Sí",B132=""),"Falta el N° de entrega",IF(N(I132)&lt;=0,"Falta la cantidad","OK")))))))</f>
        <v/>
      </c>
    </row>
    <row r="133">
      <c r="A133" s="7" t="n"/>
      <c r="B133" s="7" t="n"/>
      <c r="C133" s="7" t="n"/>
      <c r="D133" s="8" t="n"/>
      <c r="E133" s="8" t="n"/>
      <c r="F133" s="8" t="n"/>
      <c r="G133" s="9">
        <f>IF(C133="","",IFERROR(VLOOKUP(C133,MAESTRO!$A:$B,2,FALSE),"—"))</f>
        <v/>
      </c>
      <c r="H133" s="9">
        <f>IF(A133="","",IFERROR(VLOOKUP(A133,TIPOS!$A:$B,2,FALSE),""))</f>
        <v/>
      </c>
      <c r="I133" s="10">
        <f>IF(C133="","",IFERROR((N(D133)*N(VLOOKUP(C133,MAESTRO!$A:$D,4,FALSE))+N(E133))*VLOOKUP(C133,MAESTRO!$A:$C,3,FALSE)+N(F133),""))</f>
        <v/>
      </c>
      <c r="J133" s="9">
        <f>IF(OR(C133="",IFERROR(VLOOKUP(A133,TIPOS!$A:$E,5,FALSE),"No")&lt;&gt;"Sí"),"",IFERROR(IF(VLOOKUP(C133,MAESTRO!$A:$E,5,FALSE)=0,"",VLOOKUP(C133,MAESTRO!$A:$E,5,FALSE)),""))</f>
        <v/>
      </c>
      <c r="K133" s="10">
        <f>IF(OR(J133="",N(I133)=0,IFERROR(VLOOKUP(A133,TIPOS!$A:$E,5,FALSE),"No")&lt;&gt;"Sí"),"",INT(I133/VLOOKUP(C133,MAESTRO!$A:$C,3,FALSE)))</f>
        <v/>
      </c>
      <c r="L133" s="9">
        <f>IF(AND(A133="",C133=""),"",IF(A133="","Falta el tipo",IF(C133="","Falta el código",IF(ISNA(MATCH(C133,MAESTRO!$A:$A,0)),"El código no está en el maestro",IF(AND(N(D133)&gt;0,N(VLOOKUP(C133,MAESTRO!$A:$D,4,FALSE))=0),"Ese código no tiene cajas por estiba: escribe cajas",IF(AND(IFERROR(VLOOKUP(A133,TIPOS!$A:$C,3,FALSE),"")="Sí",B133=""),"Falta el N° de entrega",IF(N(I133)&lt;=0,"Falta la cantidad","OK")))))))</f>
        <v/>
      </c>
    </row>
    <row r="134">
      <c r="A134" s="7" t="n"/>
      <c r="B134" s="7" t="n"/>
      <c r="C134" s="7" t="n"/>
      <c r="D134" s="8" t="n"/>
      <c r="E134" s="8" t="n"/>
      <c r="F134" s="8" t="n"/>
      <c r="G134" s="9">
        <f>IF(C134="","",IFERROR(VLOOKUP(C134,MAESTRO!$A:$B,2,FALSE),"—"))</f>
        <v/>
      </c>
      <c r="H134" s="9">
        <f>IF(A134="","",IFERROR(VLOOKUP(A134,TIPOS!$A:$B,2,FALSE),""))</f>
        <v/>
      </c>
      <c r="I134" s="10">
        <f>IF(C134="","",IFERROR((N(D134)*N(VLOOKUP(C134,MAESTRO!$A:$D,4,FALSE))+N(E134))*VLOOKUP(C134,MAESTRO!$A:$C,3,FALSE)+N(F134),""))</f>
        <v/>
      </c>
      <c r="J134" s="9">
        <f>IF(OR(C134="",IFERROR(VLOOKUP(A134,TIPOS!$A:$E,5,FALSE),"No")&lt;&gt;"Sí"),"",IFERROR(IF(VLOOKUP(C134,MAESTRO!$A:$E,5,FALSE)=0,"",VLOOKUP(C134,MAESTRO!$A:$E,5,FALSE)),""))</f>
        <v/>
      </c>
      <c r="K134" s="10">
        <f>IF(OR(J134="",N(I134)=0,IFERROR(VLOOKUP(A134,TIPOS!$A:$E,5,FALSE),"No")&lt;&gt;"Sí"),"",INT(I134/VLOOKUP(C134,MAESTRO!$A:$C,3,FALSE)))</f>
        <v/>
      </c>
      <c r="L134" s="9">
        <f>IF(AND(A134="",C134=""),"",IF(A134="","Falta el tipo",IF(C134="","Falta el código",IF(ISNA(MATCH(C134,MAESTRO!$A:$A,0)),"El código no está en el maestro",IF(AND(N(D134)&gt;0,N(VLOOKUP(C134,MAESTRO!$A:$D,4,FALSE))=0),"Ese código no tiene cajas por estiba: escribe cajas",IF(AND(IFERROR(VLOOKUP(A134,TIPOS!$A:$C,3,FALSE),"")="Sí",B134=""),"Falta el N° de entrega",IF(N(I134)&lt;=0,"Falta la cantidad","OK")))))))</f>
        <v/>
      </c>
    </row>
    <row r="135">
      <c r="A135" s="7" t="n"/>
      <c r="B135" s="7" t="n"/>
      <c r="C135" s="7" t="n"/>
      <c r="D135" s="8" t="n"/>
      <c r="E135" s="8" t="n"/>
      <c r="F135" s="8" t="n"/>
      <c r="G135" s="9">
        <f>IF(C135="","",IFERROR(VLOOKUP(C135,MAESTRO!$A:$B,2,FALSE),"—"))</f>
        <v/>
      </c>
      <c r="H135" s="9">
        <f>IF(A135="","",IFERROR(VLOOKUP(A135,TIPOS!$A:$B,2,FALSE),""))</f>
        <v/>
      </c>
      <c r="I135" s="10">
        <f>IF(C135="","",IFERROR((N(D135)*N(VLOOKUP(C135,MAESTRO!$A:$D,4,FALSE))+N(E135))*VLOOKUP(C135,MAESTRO!$A:$C,3,FALSE)+N(F135),""))</f>
        <v/>
      </c>
      <c r="J135" s="9">
        <f>IF(OR(C135="",IFERROR(VLOOKUP(A135,TIPOS!$A:$E,5,FALSE),"No")&lt;&gt;"Sí"),"",IFERROR(IF(VLOOKUP(C135,MAESTRO!$A:$E,5,FALSE)=0,"",VLOOKUP(C135,MAESTRO!$A:$E,5,FALSE)),""))</f>
        <v/>
      </c>
      <c r="K135" s="10">
        <f>IF(OR(J135="",N(I135)=0,IFERROR(VLOOKUP(A135,TIPOS!$A:$E,5,FALSE),"No")&lt;&gt;"Sí"),"",INT(I135/VLOOKUP(C135,MAESTRO!$A:$C,3,FALSE)))</f>
        <v/>
      </c>
      <c r="L135" s="9">
        <f>IF(AND(A135="",C135=""),"",IF(A135="","Falta el tipo",IF(C135="","Falta el código",IF(ISNA(MATCH(C135,MAESTRO!$A:$A,0)),"El código no está en el maestro",IF(AND(N(D135)&gt;0,N(VLOOKUP(C135,MAESTRO!$A:$D,4,FALSE))=0),"Ese código no tiene cajas por estiba: escribe cajas",IF(AND(IFERROR(VLOOKUP(A135,TIPOS!$A:$C,3,FALSE),"")="Sí",B135=""),"Falta el N° de entrega",IF(N(I135)&lt;=0,"Falta la cantidad","OK")))))))</f>
        <v/>
      </c>
    </row>
    <row r="136">
      <c r="A136" s="7" t="n"/>
      <c r="B136" s="7" t="n"/>
      <c r="C136" s="7" t="n"/>
      <c r="D136" s="8" t="n"/>
      <c r="E136" s="8" t="n"/>
      <c r="F136" s="8" t="n"/>
      <c r="G136" s="9">
        <f>IF(C136="","",IFERROR(VLOOKUP(C136,MAESTRO!$A:$B,2,FALSE),"—"))</f>
        <v/>
      </c>
      <c r="H136" s="9">
        <f>IF(A136="","",IFERROR(VLOOKUP(A136,TIPOS!$A:$B,2,FALSE),""))</f>
        <v/>
      </c>
      <c r="I136" s="10">
        <f>IF(C136="","",IFERROR((N(D136)*N(VLOOKUP(C136,MAESTRO!$A:$D,4,FALSE))+N(E136))*VLOOKUP(C136,MAESTRO!$A:$C,3,FALSE)+N(F136),""))</f>
        <v/>
      </c>
      <c r="J136" s="9">
        <f>IF(OR(C136="",IFERROR(VLOOKUP(A136,TIPOS!$A:$E,5,FALSE),"No")&lt;&gt;"Sí"),"",IFERROR(IF(VLOOKUP(C136,MAESTRO!$A:$E,5,FALSE)=0,"",VLOOKUP(C136,MAESTRO!$A:$E,5,FALSE)),""))</f>
        <v/>
      </c>
      <c r="K136" s="10">
        <f>IF(OR(J136="",N(I136)=0,IFERROR(VLOOKUP(A136,TIPOS!$A:$E,5,FALSE),"No")&lt;&gt;"Sí"),"",INT(I136/VLOOKUP(C136,MAESTRO!$A:$C,3,FALSE)))</f>
        <v/>
      </c>
      <c r="L136" s="9">
        <f>IF(AND(A136="",C136=""),"",IF(A136="","Falta el tipo",IF(C136="","Falta el código",IF(ISNA(MATCH(C136,MAESTRO!$A:$A,0)),"El código no está en el maestro",IF(AND(N(D136)&gt;0,N(VLOOKUP(C136,MAESTRO!$A:$D,4,FALSE))=0),"Ese código no tiene cajas por estiba: escribe cajas",IF(AND(IFERROR(VLOOKUP(A136,TIPOS!$A:$C,3,FALSE),"")="Sí",B136=""),"Falta el N° de entrega",IF(N(I136)&lt;=0,"Falta la cantidad","OK")))))))</f>
        <v/>
      </c>
    </row>
    <row r="137">
      <c r="A137" s="7" t="n"/>
      <c r="B137" s="7" t="n"/>
      <c r="C137" s="7" t="n"/>
      <c r="D137" s="8" t="n"/>
      <c r="E137" s="8" t="n"/>
      <c r="F137" s="8" t="n"/>
      <c r="G137" s="9">
        <f>IF(C137="","",IFERROR(VLOOKUP(C137,MAESTRO!$A:$B,2,FALSE),"—"))</f>
        <v/>
      </c>
      <c r="H137" s="9">
        <f>IF(A137="","",IFERROR(VLOOKUP(A137,TIPOS!$A:$B,2,FALSE),""))</f>
        <v/>
      </c>
      <c r="I137" s="10">
        <f>IF(C137="","",IFERROR((N(D137)*N(VLOOKUP(C137,MAESTRO!$A:$D,4,FALSE))+N(E137))*VLOOKUP(C137,MAESTRO!$A:$C,3,FALSE)+N(F137),""))</f>
        <v/>
      </c>
      <c r="J137" s="9">
        <f>IF(OR(C137="",IFERROR(VLOOKUP(A137,TIPOS!$A:$E,5,FALSE),"No")&lt;&gt;"Sí"),"",IFERROR(IF(VLOOKUP(C137,MAESTRO!$A:$E,5,FALSE)=0,"",VLOOKUP(C137,MAESTRO!$A:$E,5,FALSE)),""))</f>
        <v/>
      </c>
      <c r="K137" s="10">
        <f>IF(OR(J137="",N(I137)=0,IFERROR(VLOOKUP(A137,TIPOS!$A:$E,5,FALSE),"No")&lt;&gt;"Sí"),"",INT(I137/VLOOKUP(C137,MAESTRO!$A:$C,3,FALSE)))</f>
        <v/>
      </c>
      <c r="L137" s="9">
        <f>IF(AND(A137="",C137=""),"",IF(A137="","Falta el tipo",IF(C137="","Falta el código",IF(ISNA(MATCH(C137,MAESTRO!$A:$A,0)),"El código no está en el maestro",IF(AND(N(D137)&gt;0,N(VLOOKUP(C137,MAESTRO!$A:$D,4,FALSE))=0),"Ese código no tiene cajas por estiba: escribe cajas",IF(AND(IFERROR(VLOOKUP(A137,TIPOS!$A:$C,3,FALSE),"")="Sí",B137=""),"Falta el N° de entrega",IF(N(I137)&lt;=0,"Falta la cantidad","OK")))))))</f>
        <v/>
      </c>
    </row>
    <row r="138">
      <c r="A138" s="7" t="n"/>
      <c r="B138" s="7" t="n"/>
      <c r="C138" s="7" t="n"/>
      <c r="D138" s="8" t="n"/>
      <c r="E138" s="8" t="n"/>
      <c r="F138" s="8" t="n"/>
      <c r="G138" s="9">
        <f>IF(C138="","",IFERROR(VLOOKUP(C138,MAESTRO!$A:$B,2,FALSE),"—"))</f>
        <v/>
      </c>
      <c r="H138" s="9">
        <f>IF(A138="","",IFERROR(VLOOKUP(A138,TIPOS!$A:$B,2,FALSE),""))</f>
        <v/>
      </c>
      <c r="I138" s="10">
        <f>IF(C138="","",IFERROR((N(D138)*N(VLOOKUP(C138,MAESTRO!$A:$D,4,FALSE))+N(E138))*VLOOKUP(C138,MAESTRO!$A:$C,3,FALSE)+N(F138),""))</f>
        <v/>
      </c>
      <c r="J138" s="9">
        <f>IF(OR(C138="",IFERROR(VLOOKUP(A138,TIPOS!$A:$E,5,FALSE),"No")&lt;&gt;"Sí"),"",IFERROR(IF(VLOOKUP(C138,MAESTRO!$A:$E,5,FALSE)=0,"",VLOOKUP(C138,MAESTRO!$A:$E,5,FALSE)),""))</f>
        <v/>
      </c>
      <c r="K138" s="10">
        <f>IF(OR(J138="",N(I138)=0,IFERROR(VLOOKUP(A138,TIPOS!$A:$E,5,FALSE),"No")&lt;&gt;"Sí"),"",INT(I138/VLOOKUP(C138,MAESTRO!$A:$C,3,FALSE)))</f>
        <v/>
      </c>
      <c r="L138" s="9">
        <f>IF(AND(A138="",C138=""),"",IF(A138="","Falta el tipo",IF(C138="","Falta el código",IF(ISNA(MATCH(C138,MAESTRO!$A:$A,0)),"El código no está en el maestro",IF(AND(N(D138)&gt;0,N(VLOOKUP(C138,MAESTRO!$A:$D,4,FALSE))=0),"Ese código no tiene cajas por estiba: escribe cajas",IF(AND(IFERROR(VLOOKUP(A138,TIPOS!$A:$C,3,FALSE),"")="Sí",B138=""),"Falta el N° de entrega",IF(N(I138)&lt;=0,"Falta la cantidad","OK")))))))</f>
        <v/>
      </c>
    </row>
    <row r="139">
      <c r="A139" s="7" t="n"/>
      <c r="B139" s="7" t="n"/>
      <c r="C139" s="7" t="n"/>
      <c r="D139" s="8" t="n"/>
      <c r="E139" s="8" t="n"/>
      <c r="F139" s="8" t="n"/>
      <c r="G139" s="9">
        <f>IF(C139="","",IFERROR(VLOOKUP(C139,MAESTRO!$A:$B,2,FALSE),"—"))</f>
        <v/>
      </c>
      <c r="H139" s="9">
        <f>IF(A139="","",IFERROR(VLOOKUP(A139,TIPOS!$A:$B,2,FALSE),""))</f>
        <v/>
      </c>
      <c r="I139" s="10">
        <f>IF(C139="","",IFERROR((N(D139)*N(VLOOKUP(C139,MAESTRO!$A:$D,4,FALSE))+N(E139))*VLOOKUP(C139,MAESTRO!$A:$C,3,FALSE)+N(F139),""))</f>
        <v/>
      </c>
      <c r="J139" s="9">
        <f>IF(OR(C139="",IFERROR(VLOOKUP(A139,TIPOS!$A:$E,5,FALSE),"No")&lt;&gt;"Sí"),"",IFERROR(IF(VLOOKUP(C139,MAESTRO!$A:$E,5,FALSE)=0,"",VLOOKUP(C139,MAESTRO!$A:$E,5,FALSE)),""))</f>
        <v/>
      </c>
      <c r="K139" s="10">
        <f>IF(OR(J139="",N(I139)=0,IFERROR(VLOOKUP(A139,TIPOS!$A:$E,5,FALSE),"No")&lt;&gt;"Sí"),"",INT(I139/VLOOKUP(C139,MAESTRO!$A:$C,3,FALSE)))</f>
        <v/>
      </c>
      <c r="L139" s="9">
        <f>IF(AND(A139="",C139=""),"",IF(A139="","Falta el tipo",IF(C139="","Falta el código",IF(ISNA(MATCH(C139,MAESTRO!$A:$A,0)),"El código no está en el maestro",IF(AND(N(D139)&gt;0,N(VLOOKUP(C139,MAESTRO!$A:$D,4,FALSE))=0),"Ese código no tiene cajas por estiba: escribe cajas",IF(AND(IFERROR(VLOOKUP(A139,TIPOS!$A:$C,3,FALSE),"")="Sí",B139=""),"Falta el N° de entrega",IF(N(I139)&lt;=0,"Falta la cantidad","OK")))))))</f>
        <v/>
      </c>
    </row>
    <row r="140">
      <c r="A140" s="7" t="n"/>
      <c r="B140" s="7" t="n"/>
      <c r="C140" s="7" t="n"/>
      <c r="D140" s="8" t="n"/>
      <c r="E140" s="8" t="n"/>
      <c r="F140" s="8" t="n"/>
      <c r="G140" s="9">
        <f>IF(C140="","",IFERROR(VLOOKUP(C140,MAESTRO!$A:$B,2,FALSE),"—"))</f>
        <v/>
      </c>
      <c r="H140" s="9">
        <f>IF(A140="","",IFERROR(VLOOKUP(A140,TIPOS!$A:$B,2,FALSE),""))</f>
        <v/>
      </c>
      <c r="I140" s="10">
        <f>IF(C140="","",IFERROR((N(D140)*N(VLOOKUP(C140,MAESTRO!$A:$D,4,FALSE))+N(E140))*VLOOKUP(C140,MAESTRO!$A:$C,3,FALSE)+N(F140),""))</f>
        <v/>
      </c>
      <c r="J140" s="9">
        <f>IF(OR(C140="",IFERROR(VLOOKUP(A140,TIPOS!$A:$E,5,FALSE),"No")&lt;&gt;"Sí"),"",IFERROR(IF(VLOOKUP(C140,MAESTRO!$A:$E,5,FALSE)=0,"",VLOOKUP(C140,MAESTRO!$A:$E,5,FALSE)),""))</f>
        <v/>
      </c>
      <c r="K140" s="10">
        <f>IF(OR(J140="",N(I140)=0,IFERROR(VLOOKUP(A140,TIPOS!$A:$E,5,FALSE),"No")&lt;&gt;"Sí"),"",INT(I140/VLOOKUP(C140,MAESTRO!$A:$C,3,FALSE)))</f>
        <v/>
      </c>
      <c r="L140" s="9">
        <f>IF(AND(A140="",C140=""),"",IF(A140="","Falta el tipo",IF(C140="","Falta el código",IF(ISNA(MATCH(C140,MAESTRO!$A:$A,0)),"El código no está en el maestro",IF(AND(N(D140)&gt;0,N(VLOOKUP(C140,MAESTRO!$A:$D,4,FALSE))=0),"Ese código no tiene cajas por estiba: escribe cajas",IF(AND(IFERROR(VLOOKUP(A140,TIPOS!$A:$C,3,FALSE),"")="Sí",B140=""),"Falta el N° de entrega",IF(N(I140)&lt;=0,"Falta la cantidad","OK")))))))</f>
        <v/>
      </c>
    </row>
    <row r="141">
      <c r="A141" s="7" t="n"/>
      <c r="B141" s="7" t="n"/>
      <c r="C141" s="7" t="n"/>
      <c r="D141" s="8" t="n"/>
      <c r="E141" s="8" t="n"/>
      <c r="F141" s="8" t="n"/>
      <c r="G141" s="9">
        <f>IF(C141="","",IFERROR(VLOOKUP(C141,MAESTRO!$A:$B,2,FALSE),"—"))</f>
        <v/>
      </c>
      <c r="H141" s="9">
        <f>IF(A141="","",IFERROR(VLOOKUP(A141,TIPOS!$A:$B,2,FALSE),""))</f>
        <v/>
      </c>
      <c r="I141" s="10">
        <f>IF(C141="","",IFERROR((N(D141)*N(VLOOKUP(C141,MAESTRO!$A:$D,4,FALSE))+N(E141))*VLOOKUP(C141,MAESTRO!$A:$C,3,FALSE)+N(F141),""))</f>
        <v/>
      </c>
      <c r="J141" s="9">
        <f>IF(OR(C141="",IFERROR(VLOOKUP(A141,TIPOS!$A:$E,5,FALSE),"No")&lt;&gt;"Sí"),"",IFERROR(IF(VLOOKUP(C141,MAESTRO!$A:$E,5,FALSE)=0,"",VLOOKUP(C141,MAESTRO!$A:$E,5,FALSE)),""))</f>
        <v/>
      </c>
      <c r="K141" s="10">
        <f>IF(OR(J141="",N(I141)=0,IFERROR(VLOOKUP(A141,TIPOS!$A:$E,5,FALSE),"No")&lt;&gt;"Sí"),"",INT(I141/VLOOKUP(C141,MAESTRO!$A:$C,3,FALSE)))</f>
        <v/>
      </c>
      <c r="L141" s="9">
        <f>IF(AND(A141="",C141=""),"",IF(A141="","Falta el tipo",IF(C141="","Falta el código",IF(ISNA(MATCH(C141,MAESTRO!$A:$A,0)),"El código no está en el maestro",IF(AND(N(D141)&gt;0,N(VLOOKUP(C141,MAESTRO!$A:$D,4,FALSE))=0),"Ese código no tiene cajas por estiba: escribe cajas",IF(AND(IFERROR(VLOOKUP(A141,TIPOS!$A:$C,3,FALSE),"")="Sí",B141=""),"Falta el N° de entrega",IF(N(I141)&lt;=0,"Falta la cantidad","OK")))))))</f>
        <v/>
      </c>
    </row>
    <row r="142">
      <c r="A142" s="7" t="n"/>
      <c r="B142" s="7" t="n"/>
      <c r="C142" s="7" t="n"/>
      <c r="D142" s="8" t="n"/>
      <c r="E142" s="8" t="n"/>
      <c r="F142" s="8" t="n"/>
      <c r="G142" s="9">
        <f>IF(C142="","",IFERROR(VLOOKUP(C142,MAESTRO!$A:$B,2,FALSE),"—"))</f>
        <v/>
      </c>
      <c r="H142" s="9">
        <f>IF(A142="","",IFERROR(VLOOKUP(A142,TIPOS!$A:$B,2,FALSE),""))</f>
        <v/>
      </c>
      <c r="I142" s="10">
        <f>IF(C142="","",IFERROR((N(D142)*N(VLOOKUP(C142,MAESTRO!$A:$D,4,FALSE))+N(E142))*VLOOKUP(C142,MAESTRO!$A:$C,3,FALSE)+N(F142),""))</f>
        <v/>
      </c>
      <c r="J142" s="9">
        <f>IF(OR(C142="",IFERROR(VLOOKUP(A142,TIPOS!$A:$E,5,FALSE),"No")&lt;&gt;"Sí"),"",IFERROR(IF(VLOOKUP(C142,MAESTRO!$A:$E,5,FALSE)=0,"",VLOOKUP(C142,MAESTRO!$A:$E,5,FALSE)),""))</f>
        <v/>
      </c>
      <c r="K142" s="10">
        <f>IF(OR(J142="",N(I142)=0,IFERROR(VLOOKUP(A142,TIPOS!$A:$E,5,FALSE),"No")&lt;&gt;"Sí"),"",INT(I142/VLOOKUP(C142,MAESTRO!$A:$C,3,FALSE)))</f>
        <v/>
      </c>
      <c r="L142" s="9">
        <f>IF(AND(A142="",C142=""),"",IF(A142="","Falta el tipo",IF(C142="","Falta el código",IF(ISNA(MATCH(C142,MAESTRO!$A:$A,0)),"El código no está en el maestro",IF(AND(N(D142)&gt;0,N(VLOOKUP(C142,MAESTRO!$A:$D,4,FALSE))=0),"Ese código no tiene cajas por estiba: escribe cajas",IF(AND(IFERROR(VLOOKUP(A142,TIPOS!$A:$C,3,FALSE),"")="Sí",B142=""),"Falta el N° de entrega",IF(N(I142)&lt;=0,"Falta la cantidad","OK")))))))</f>
        <v/>
      </c>
    </row>
    <row r="143">
      <c r="A143" s="7" t="n"/>
      <c r="B143" s="7" t="n"/>
      <c r="C143" s="7" t="n"/>
      <c r="D143" s="8" t="n"/>
      <c r="E143" s="8" t="n"/>
      <c r="F143" s="8" t="n"/>
      <c r="G143" s="9">
        <f>IF(C143="","",IFERROR(VLOOKUP(C143,MAESTRO!$A:$B,2,FALSE),"—"))</f>
        <v/>
      </c>
      <c r="H143" s="9">
        <f>IF(A143="","",IFERROR(VLOOKUP(A143,TIPOS!$A:$B,2,FALSE),""))</f>
        <v/>
      </c>
      <c r="I143" s="10">
        <f>IF(C143="","",IFERROR((N(D143)*N(VLOOKUP(C143,MAESTRO!$A:$D,4,FALSE))+N(E143))*VLOOKUP(C143,MAESTRO!$A:$C,3,FALSE)+N(F143),""))</f>
        <v/>
      </c>
      <c r="J143" s="9">
        <f>IF(OR(C143="",IFERROR(VLOOKUP(A143,TIPOS!$A:$E,5,FALSE),"No")&lt;&gt;"Sí"),"",IFERROR(IF(VLOOKUP(C143,MAESTRO!$A:$E,5,FALSE)=0,"",VLOOKUP(C143,MAESTRO!$A:$E,5,FALSE)),""))</f>
        <v/>
      </c>
      <c r="K143" s="10">
        <f>IF(OR(J143="",N(I143)=0,IFERROR(VLOOKUP(A143,TIPOS!$A:$E,5,FALSE),"No")&lt;&gt;"Sí"),"",INT(I143/VLOOKUP(C143,MAESTRO!$A:$C,3,FALSE)))</f>
        <v/>
      </c>
      <c r="L143" s="9">
        <f>IF(AND(A143="",C143=""),"",IF(A143="","Falta el tipo",IF(C143="","Falta el código",IF(ISNA(MATCH(C143,MAESTRO!$A:$A,0)),"El código no está en el maestro",IF(AND(N(D143)&gt;0,N(VLOOKUP(C143,MAESTRO!$A:$D,4,FALSE))=0),"Ese código no tiene cajas por estiba: escribe cajas",IF(AND(IFERROR(VLOOKUP(A143,TIPOS!$A:$C,3,FALSE),"")="Sí",B143=""),"Falta el N° de entrega",IF(N(I143)&lt;=0,"Falta la cantidad","OK")))))))</f>
        <v/>
      </c>
    </row>
    <row r="144">
      <c r="A144" s="7" t="n"/>
      <c r="B144" s="7" t="n"/>
      <c r="C144" s="7" t="n"/>
      <c r="D144" s="8" t="n"/>
      <c r="E144" s="8" t="n"/>
      <c r="F144" s="8" t="n"/>
      <c r="G144" s="9">
        <f>IF(C144="","",IFERROR(VLOOKUP(C144,MAESTRO!$A:$B,2,FALSE),"—"))</f>
        <v/>
      </c>
      <c r="H144" s="9">
        <f>IF(A144="","",IFERROR(VLOOKUP(A144,TIPOS!$A:$B,2,FALSE),""))</f>
        <v/>
      </c>
      <c r="I144" s="10">
        <f>IF(C144="","",IFERROR((N(D144)*N(VLOOKUP(C144,MAESTRO!$A:$D,4,FALSE))+N(E144))*VLOOKUP(C144,MAESTRO!$A:$C,3,FALSE)+N(F144),""))</f>
        <v/>
      </c>
      <c r="J144" s="9">
        <f>IF(OR(C144="",IFERROR(VLOOKUP(A144,TIPOS!$A:$E,5,FALSE),"No")&lt;&gt;"Sí"),"",IFERROR(IF(VLOOKUP(C144,MAESTRO!$A:$E,5,FALSE)=0,"",VLOOKUP(C144,MAESTRO!$A:$E,5,FALSE)),""))</f>
        <v/>
      </c>
      <c r="K144" s="10">
        <f>IF(OR(J144="",N(I144)=0,IFERROR(VLOOKUP(A144,TIPOS!$A:$E,5,FALSE),"No")&lt;&gt;"Sí"),"",INT(I144/VLOOKUP(C144,MAESTRO!$A:$C,3,FALSE)))</f>
        <v/>
      </c>
      <c r="L144" s="9">
        <f>IF(AND(A144="",C144=""),"",IF(A144="","Falta el tipo",IF(C144="","Falta el código",IF(ISNA(MATCH(C144,MAESTRO!$A:$A,0)),"El código no está en el maestro",IF(AND(N(D144)&gt;0,N(VLOOKUP(C144,MAESTRO!$A:$D,4,FALSE))=0),"Ese código no tiene cajas por estiba: escribe cajas",IF(AND(IFERROR(VLOOKUP(A144,TIPOS!$A:$C,3,FALSE),"")="Sí",B144=""),"Falta el N° de entrega",IF(N(I144)&lt;=0,"Falta la cantidad","OK")))))))</f>
        <v/>
      </c>
    </row>
    <row r="145">
      <c r="A145" s="7" t="n"/>
      <c r="B145" s="7" t="n"/>
      <c r="C145" s="7" t="n"/>
      <c r="D145" s="8" t="n"/>
      <c r="E145" s="8" t="n"/>
      <c r="F145" s="8" t="n"/>
      <c r="G145" s="9">
        <f>IF(C145="","",IFERROR(VLOOKUP(C145,MAESTRO!$A:$B,2,FALSE),"—"))</f>
        <v/>
      </c>
      <c r="H145" s="9">
        <f>IF(A145="","",IFERROR(VLOOKUP(A145,TIPOS!$A:$B,2,FALSE),""))</f>
        <v/>
      </c>
      <c r="I145" s="10">
        <f>IF(C145="","",IFERROR((N(D145)*N(VLOOKUP(C145,MAESTRO!$A:$D,4,FALSE))+N(E145))*VLOOKUP(C145,MAESTRO!$A:$C,3,FALSE)+N(F145),""))</f>
        <v/>
      </c>
      <c r="J145" s="9">
        <f>IF(OR(C145="",IFERROR(VLOOKUP(A145,TIPOS!$A:$E,5,FALSE),"No")&lt;&gt;"Sí"),"",IFERROR(IF(VLOOKUP(C145,MAESTRO!$A:$E,5,FALSE)=0,"",VLOOKUP(C145,MAESTRO!$A:$E,5,FALSE)),""))</f>
        <v/>
      </c>
      <c r="K145" s="10">
        <f>IF(OR(J145="",N(I145)=0,IFERROR(VLOOKUP(A145,TIPOS!$A:$E,5,FALSE),"No")&lt;&gt;"Sí"),"",INT(I145/VLOOKUP(C145,MAESTRO!$A:$C,3,FALSE)))</f>
        <v/>
      </c>
      <c r="L145" s="9">
        <f>IF(AND(A145="",C145=""),"",IF(A145="","Falta el tipo",IF(C145="","Falta el código",IF(ISNA(MATCH(C145,MAESTRO!$A:$A,0)),"El código no está en el maestro",IF(AND(N(D145)&gt;0,N(VLOOKUP(C145,MAESTRO!$A:$D,4,FALSE))=0),"Ese código no tiene cajas por estiba: escribe cajas",IF(AND(IFERROR(VLOOKUP(A145,TIPOS!$A:$C,3,FALSE),"")="Sí",B145=""),"Falta el N° de entrega",IF(N(I145)&lt;=0,"Falta la cantidad","OK")))))))</f>
        <v/>
      </c>
    </row>
    <row r="146">
      <c r="A146" s="7" t="n"/>
      <c r="B146" s="7" t="n"/>
      <c r="C146" s="7" t="n"/>
      <c r="D146" s="8" t="n"/>
      <c r="E146" s="8" t="n"/>
      <c r="F146" s="8" t="n"/>
      <c r="G146" s="9">
        <f>IF(C146="","",IFERROR(VLOOKUP(C146,MAESTRO!$A:$B,2,FALSE),"—"))</f>
        <v/>
      </c>
      <c r="H146" s="9">
        <f>IF(A146="","",IFERROR(VLOOKUP(A146,TIPOS!$A:$B,2,FALSE),""))</f>
        <v/>
      </c>
      <c r="I146" s="10">
        <f>IF(C146="","",IFERROR((N(D146)*N(VLOOKUP(C146,MAESTRO!$A:$D,4,FALSE))+N(E146))*VLOOKUP(C146,MAESTRO!$A:$C,3,FALSE)+N(F146),""))</f>
        <v/>
      </c>
      <c r="J146" s="9">
        <f>IF(OR(C146="",IFERROR(VLOOKUP(A146,TIPOS!$A:$E,5,FALSE),"No")&lt;&gt;"Sí"),"",IFERROR(IF(VLOOKUP(C146,MAESTRO!$A:$E,5,FALSE)=0,"",VLOOKUP(C146,MAESTRO!$A:$E,5,FALSE)),""))</f>
        <v/>
      </c>
      <c r="K146" s="10">
        <f>IF(OR(J146="",N(I146)=0,IFERROR(VLOOKUP(A146,TIPOS!$A:$E,5,FALSE),"No")&lt;&gt;"Sí"),"",INT(I146/VLOOKUP(C146,MAESTRO!$A:$C,3,FALSE)))</f>
        <v/>
      </c>
      <c r="L146" s="9">
        <f>IF(AND(A146="",C146=""),"",IF(A146="","Falta el tipo",IF(C146="","Falta el código",IF(ISNA(MATCH(C146,MAESTRO!$A:$A,0)),"El código no está en el maestro",IF(AND(N(D146)&gt;0,N(VLOOKUP(C146,MAESTRO!$A:$D,4,FALSE))=0),"Ese código no tiene cajas por estiba: escribe cajas",IF(AND(IFERROR(VLOOKUP(A146,TIPOS!$A:$C,3,FALSE),"")="Sí",B146=""),"Falta el N° de entrega",IF(N(I146)&lt;=0,"Falta la cantidad","OK")))))))</f>
        <v/>
      </c>
    </row>
    <row r="147">
      <c r="A147" s="7" t="n"/>
      <c r="B147" s="7" t="n"/>
      <c r="C147" s="7" t="n"/>
      <c r="D147" s="8" t="n"/>
      <c r="E147" s="8" t="n"/>
      <c r="F147" s="8" t="n"/>
      <c r="G147" s="9">
        <f>IF(C147="","",IFERROR(VLOOKUP(C147,MAESTRO!$A:$B,2,FALSE),"—"))</f>
        <v/>
      </c>
      <c r="H147" s="9">
        <f>IF(A147="","",IFERROR(VLOOKUP(A147,TIPOS!$A:$B,2,FALSE),""))</f>
        <v/>
      </c>
      <c r="I147" s="10">
        <f>IF(C147="","",IFERROR((N(D147)*N(VLOOKUP(C147,MAESTRO!$A:$D,4,FALSE))+N(E147))*VLOOKUP(C147,MAESTRO!$A:$C,3,FALSE)+N(F147),""))</f>
        <v/>
      </c>
      <c r="J147" s="9">
        <f>IF(OR(C147="",IFERROR(VLOOKUP(A147,TIPOS!$A:$E,5,FALSE),"No")&lt;&gt;"Sí"),"",IFERROR(IF(VLOOKUP(C147,MAESTRO!$A:$E,5,FALSE)=0,"",VLOOKUP(C147,MAESTRO!$A:$E,5,FALSE)),""))</f>
        <v/>
      </c>
      <c r="K147" s="10">
        <f>IF(OR(J147="",N(I147)=0,IFERROR(VLOOKUP(A147,TIPOS!$A:$E,5,FALSE),"No")&lt;&gt;"Sí"),"",INT(I147/VLOOKUP(C147,MAESTRO!$A:$C,3,FALSE)))</f>
        <v/>
      </c>
      <c r="L147" s="9">
        <f>IF(AND(A147="",C147=""),"",IF(A147="","Falta el tipo",IF(C147="","Falta el código",IF(ISNA(MATCH(C147,MAESTRO!$A:$A,0)),"El código no está en el maestro",IF(AND(N(D147)&gt;0,N(VLOOKUP(C147,MAESTRO!$A:$D,4,FALSE))=0),"Ese código no tiene cajas por estiba: escribe cajas",IF(AND(IFERROR(VLOOKUP(A147,TIPOS!$A:$C,3,FALSE),"")="Sí",B147=""),"Falta el N° de entrega",IF(N(I147)&lt;=0,"Falta la cantidad","OK")))))))</f>
        <v/>
      </c>
    </row>
    <row r="148">
      <c r="A148" s="7" t="n"/>
      <c r="B148" s="7" t="n"/>
      <c r="C148" s="7" t="n"/>
      <c r="D148" s="8" t="n"/>
      <c r="E148" s="8" t="n"/>
      <c r="F148" s="8" t="n"/>
      <c r="G148" s="9">
        <f>IF(C148="","",IFERROR(VLOOKUP(C148,MAESTRO!$A:$B,2,FALSE),"—"))</f>
        <v/>
      </c>
      <c r="H148" s="9">
        <f>IF(A148="","",IFERROR(VLOOKUP(A148,TIPOS!$A:$B,2,FALSE),""))</f>
        <v/>
      </c>
      <c r="I148" s="10">
        <f>IF(C148="","",IFERROR((N(D148)*N(VLOOKUP(C148,MAESTRO!$A:$D,4,FALSE))+N(E148))*VLOOKUP(C148,MAESTRO!$A:$C,3,FALSE)+N(F148),""))</f>
        <v/>
      </c>
      <c r="J148" s="9">
        <f>IF(OR(C148="",IFERROR(VLOOKUP(A148,TIPOS!$A:$E,5,FALSE),"No")&lt;&gt;"Sí"),"",IFERROR(IF(VLOOKUP(C148,MAESTRO!$A:$E,5,FALSE)=0,"",VLOOKUP(C148,MAESTRO!$A:$E,5,FALSE)),""))</f>
        <v/>
      </c>
      <c r="K148" s="10">
        <f>IF(OR(J148="",N(I148)=0,IFERROR(VLOOKUP(A148,TIPOS!$A:$E,5,FALSE),"No")&lt;&gt;"Sí"),"",INT(I148/VLOOKUP(C148,MAESTRO!$A:$C,3,FALSE)))</f>
        <v/>
      </c>
      <c r="L148" s="9">
        <f>IF(AND(A148="",C148=""),"",IF(A148="","Falta el tipo",IF(C148="","Falta el código",IF(ISNA(MATCH(C148,MAESTRO!$A:$A,0)),"El código no está en el maestro",IF(AND(N(D148)&gt;0,N(VLOOKUP(C148,MAESTRO!$A:$D,4,FALSE))=0),"Ese código no tiene cajas por estiba: escribe cajas",IF(AND(IFERROR(VLOOKUP(A148,TIPOS!$A:$C,3,FALSE),"")="Sí",B148=""),"Falta el N° de entrega",IF(N(I148)&lt;=0,"Falta la cantidad","OK")))))))</f>
        <v/>
      </c>
    </row>
    <row r="149">
      <c r="A149" s="7" t="n"/>
      <c r="B149" s="7" t="n"/>
      <c r="C149" s="7" t="n"/>
      <c r="D149" s="8" t="n"/>
      <c r="E149" s="8" t="n"/>
      <c r="F149" s="8" t="n"/>
      <c r="G149" s="9">
        <f>IF(C149="","",IFERROR(VLOOKUP(C149,MAESTRO!$A:$B,2,FALSE),"—"))</f>
        <v/>
      </c>
      <c r="H149" s="9">
        <f>IF(A149="","",IFERROR(VLOOKUP(A149,TIPOS!$A:$B,2,FALSE),""))</f>
        <v/>
      </c>
      <c r="I149" s="10">
        <f>IF(C149="","",IFERROR((N(D149)*N(VLOOKUP(C149,MAESTRO!$A:$D,4,FALSE))+N(E149))*VLOOKUP(C149,MAESTRO!$A:$C,3,FALSE)+N(F149),""))</f>
        <v/>
      </c>
      <c r="J149" s="9">
        <f>IF(OR(C149="",IFERROR(VLOOKUP(A149,TIPOS!$A:$E,5,FALSE),"No")&lt;&gt;"Sí"),"",IFERROR(IF(VLOOKUP(C149,MAESTRO!$A:$E,5,FALSE)=0,"",VLOOKUP(C149,MAESTRO!$A:$E,5,FALSE)),""))</f>
        <v/>
      </c>
      <c r="K149" s="10">
        <f>IF(OR(J149="",N(I149)=0,IFERROR(VLOOKUP(A149,TIPOS!$A:$E,5,FALSE),"No")&lt;&gt;"Sí"),"",INT(I149/VLOOKUP(C149,MAESTRO!$A:$C,3,FALSE)))</f>
        <v/>
      </c>
      <c r="L149" s="9">
        <f>IF(AND(A149="",C149=""),"",IF(A149="","Falta el tipo",IF(C149="","Falta el código",IF(ISNA(MATCH(C149,MAESTRO!$A:$A,0)),"El código no está en el maestro",IF(AND(N(D149)&gt;0,N(VLOOKUP(C149,MAESTRO!$A:$D,4,FALSE))=0),"Ese código no tiene cajas por estiba: escribe cajas",IF(AND(IFERROR(VLOOKUP(A149,TIPOS!$A:$C,3,FALSE),"")="Sí",B149=""),"Falta el N° de entrega",IF(N(I149)&lt;=0,"Falta la cantidad","OK")))))))</f>
        <v/>
      </c>
    </row>
    <row r="150">
      <c r="A150" s="7" t="n"/>
      <c r="B150" s="7" t="n"/>
      <c r="C150" s="7" t="n"/>
      <c r="D150" s="8" t="n"/>
      <c r="E150" s="8" t="n"/>
      <c r="F150" s="8" t="n"/>
      <c r="G150" s="9">
        <f>IF(C150="","",IFERROR(VLOOKUP(C150,MAESTRO!$A:$B,2,FALSE),"—"))</f>
        <v/>
      </c>
      <c r="H150" s="9">
        <f>IF(A150="","",IFERROR(VLOOKUP(A150,TIPOS!$A:$B,2,FALSE),""))</f>
        <v/>
      </c>
      <c r="I150" s="10">
        <f>IF(C150="","",IFERROR((N(D150)*N(VLOOKUP(C150,MAESTRO!$A:$D,4,FALSE))+N(E150))*VLOOKUP(C150,MAESTRO!$A:$C,3,FALSE)+N(F150),""))</f>
        <v/>
      </c>
      <c r="J150" s="9">
        <f>IF(OR(C150="",IFERROR(VLOOKUP(A150,TIPOS!$A:$E,5,FALSE),"No")&lt;&gt;"Sí"),"",IFERROR(IF(VLOOKUP(C150,MAESTRO!$A:$E,5,FALSE)=0,"",VLOOKUP(C150,MAESTRO!$A:$E,5,FALSE)),""))</f>
        <v/>
      </c>
      <c r="K150" s="10">
        <f>IF(OR(J150="",N(I150)=0,IFERROR(VLOOKUP(A150,TIPOS!$A:$E,5,FALSE),"No")&lt;&gt;"Sí"),"",INT(I150/VLOOKUP(C150,MAESTRO!$A:$C,3,FALSE)))</f>
        <v/>
      </c>
      <c r="L150" s="9">
        <f>IF(AND(A150="",C150=""),"",IF(A150="","Falta el tipo",IF(C150="","Falta el código",IF(ISNA(MATCH(C150,MAESTRO!$A:$A,0)),"El código no está en el maestro",IF(AND(N(D150)&gt;0,N(VLOOKUP(C150,MAESTRO!$A:$D,4,FALSE))=0),"Ese código no tiene cajas por estiba: escribe cajas",IF(AND(IFERROR(VLOOKUP(A150,TIPOS!$A:$C,3,FALSE),"")="Sí",B150=""),"Falta el N° de entrega",IF(N(I150)&lt;=0,"Falta la cantidad","OK")))))))</f>
        <v/>
      </c>
    </row>
    <row r="151">
      <c r="A151" s="7" t="n"/>
      <c r="B151" s="7" t="n"/>
      <c r="C151" s="7" t="n"/>
      <c r="D151" s="8" t="n"/>
      <c r="E151" s="8" t="n"/>
      <c r="F151" s="8" t="n"/>
      <c r="G151" s="9">
        <f>IF(C151="","",IFERROR(VLOOKUP(C151,MAESTRO!$A:$B,2,FALSE),"—"))</f>
        <v/>
      </c>
      <c r="H151" s="9">
        <f>IF(A151="","",IFERROR(VLOOKUP(A151,TIPOS!$A:$B,2,FALSE),""))</f>
        <v/>
      </c>
      <c r="I151" s="10">
        <f>IF(C151="","",IFERROR((N(D151)*N(VLOOKUP(C151,MAESTRO!$A:$D,4,FALSE))+N(E151))*VLOOKUP(C151,MAESTRO!$A:$C,3,FALSE)+N(F151),""))</f>
        <v/>
      </c>
      <c r="J151" s="9">
        <f>IF(OR(C151="",IFERROR(VLOOKUP(A151,TIPOS!$A:$E,5,FALSE),"No")&lt;&gt;"Sí"),"",IFERROR(IF(VLOOKUP(C151,MAESTRO!$A:$E,5,FALSE)=0,"",VLOOKUP(C151,MAESTRO!$A:$E,5,FALSE)),""))</f>
        <v/>
      </c>
      <c r="K151" s="10">
        <f>IF(OR(J151="",N(I151)=0,IFERROR(VLOOKUP(A151,TIPOS!$A:$E,5,FALSE),"No")&lt;&gt;"Sí"),"",INT(I151/VLOOKUP(C151,MAESTRO!$A:$C,3,FALSE)))</f>
        <v/>
      </c>
      <c r="L151" s="9">
        <f>IF(AND(A151="",C151=""),"",IF(A151="","Falta el tipo",IF(C151="","Falta el código",IF(ISNA(MATCH(C151,MAESTRO!$A:$A,0)),"El código no está en el maestro",IF(AND(N(D151)&gt;0,N(VLOOKUP(C151,MAESTRO!$A:$D,4,FALSE))=0),"Ese código no tiene cajas por estiba: escribe cajas",IF(AND(IFERROR(VLOOKUP(A151,TIPOS!$A:$C,3,FALSE),"")="Sí",B151=""),"Falta el N° de entrega",IF(N(I151)&lt;=0,"Falta la cantidad","OK")))))))</f>
        <v/>
      </c>
    </row>
    <row r="152">
      <c r="A152" s="7" t="n"/>
      <c r="B152" s="7" t="n"/>
      <c r="C152" s="7" t="n"/>
      <c r="D152" s="8" t="n"/>
      <c r="E152" s="8" t="n"/>
      <c r="F152" s="8" t="n"/>
      <c r="G152" s="9">
        <f>IF(C152="","",IFERROR(VLOOKUP(C152,MAESTRO!$A:$B,2,FALSE),"—"))</f>
        <v/>
      </c>
      <c r="H152" s="9">
        <f>IF(A152="","",IFERROR(VLOOKUP(A152,TIPOS!$A:$B,2,FALSE),""))</f>
        <v/>
      </c>
      <c r="I152" s="10">
        <f>IF(C152="","",IFERROR((N(D152)*N(VLOOKUP(C152,MAESTRO!$A:$D,4,FALSE))+N(E152))*VLOOKUP(C152,MAESTRO!$A:$C,3,FALSE)+N(F152),""))</f>
        <v/>
      </c>
      <c r="J152" s="9">
        <f>IF(OR(C152="",IFERROR(VLOOKUP(A152,TIPOS!$A:$E,5,FALSE),"No")&lt;&gt;"Sí"),"",IFERROR(IF(VLOOKUP(C152,MAESTRO!$A:$E,5,FALSE)=0,"",VLOOKUP(C152,MAESTRO!$A:$E,5,FALSE)),""))</f>
        <v/>
      </c>
      <c r="K152" s="10">
        <f>IF(OR(J152="",N(I152)=0,IFERROR(VLOOKUP(A152,TIPOS!$A:$E,5,FALSE),"No")&lt;&gt;"Sí"),"",INT(I152/VLOOKUP(C152,MAESTRO!$A:$C,3,FALSE)))</f>
        <v/>
      </c>
      <c r="L152" s="9">
        <f>IF(AND(A152="",C152=""),"",IF(A152="","Falta el tipo",IF(C152="","Falta el código",IF(ISNA(MATCH(C152,MAESTRO!$A:$A,0)),"El código no está en el maestro",IF(AND(N(D152)&gt;0,N(VLOOKUP(C152,MAESTRO!$A:$D,4,FALSE))=0),"Ese código no tiene cajas por estiba: escribe cajas",IF(AND(IFERROR(VLOOKUP(A152,TIPOS!$A:$C,3,FALSE),"")="Sí",B152=""),"Falta el N° de entrega",IF(N(I152)&lt;=0,"Falta la cantidad","OK")))))))</f>
        <v/>
      </c>
    </row>
    <row r="153">
      <c r="A153" s="7" t="n"/>
      <c r="B153" s="7" t="n"/>
      <c r="C153" s="7" t="n"/>
      <c r="D153" s="8" t="n"/>
      <c r="E153" s="8" t="n"/>
      <c r="F153" s="8" t="n"/>
      <c r="G153" s="9">
        <f>IF(C153="","",IFERROR(VLOOKUP(C153,MAESTRO!$A:$B,2,FALSE),"—"))</f>
        <v/>
      </c>
      <c r="H153" s="9">
        <f>IF(A153="","",IFERROR(VLOOKUP(A153,TIPOS!$A:$B,2,FALSE),""))</f>
        <v/>
      </c>
      <c r="I153" s="10">
        <f>IF(C153="","",IFERROR((N(D153)*N(VLOOKUP(C153,MAESTRO!$A:$D,4,FALSE))+N(E153))*VLOOKUP(C153,MAESTRO!$A:$C,3,FALSE)+N(F153),""))</f>
        <v/>
      </c>
      <c r="J153" s="9">
        <f>IF(OR(C153="",IFERROR(VLOOKUP(A153,TIPOS!$A:$E,5,FALSE),"No")&lt;&gt;"Sí"),"",IFERROR(IF(VLOOKUP(C153,MAESTRO!$A:$E,5,FALSE)=0,"",VLOOKUP(C153,MAESTRO!$A:$E,5,FALSE)),""))</f>
        <v/>
      </c>
      <c r="K153" s="10">
        <f>IF(OR(J153="",N(I153)=0,IFERROR(VLOOKUP(A153,TIPOS!$A:$E,5,FALSE),"No")&lt;&gt;"Sí"),"",INT(I153/VLOOKUP(C153,MAESTRO!$A:$C,3,FALSE)))</f>
        <v/>
      </c>
      <c r="L153" s="9">
        <f>IF(AND(A153="",C153=""),"",IF(A153="","Falta el tipo",IF(C153="","Falta el código",IF(ISNA(MATCH(C153,MAESTRO!$A:$A,0)),"El código no está en el maestro",IF(AND(N(D153)&gt;0,N(VLOOKUP(C153,MAESTRO!$A:$D,4,FALSE))=0),"Ese código no tiene cajas por estiba: escribe cajas",IF(AND(IFERROR(VLOOKUP(A153,TIPOS!$A:$C,3,FALSE),"")="Sí",B153=""),"Falta el N° de entrega",IF(N(I153)&lt;=0,"Falta la cantidad","OK")))))))</f>
        <v/>
      </c>
    </row>
    <row r="154">
      <c r="A154" s="7" t="n"/>
      <c r="B154" s="7" t="n"/>
      <c r="C154" s="7" t="n"/>
      <c r="D154" s="8" t="n"/>
      <c r="E154" s="8" t="n"/>
      <c r="F154" s="8" t="n"/>
      <c r="G154" s="9">
        <f>IF(C154="","",IFERROR(VLOOKUP(C154,MAESTRO!$A:$B,2,FALSE),"—"))</f>
        <v/>
      </c>
      <c r="H154" s="9">
        <f>IF(A154="","",IFERROR(VLOOKUP(A154,TIPOS!$A:$B,2,FALSE),""))</f>
        <v/>
      </c>
      <c r="I154" s="10">
        <f>IF(C154="","",IFERROR((N(D154)*N(VLOOKUP(C154,MAESTRO!$A:$D,4,FALSE))+N(E154))*VLOOKUP(C154,MAESTRO!$A:$C,3,FALSE)+N(F154),""))</f>
        <v/>
      </c>
      <c r="J154" s="9">
        <f>IF(OR(C154="",IFERROR(VLOOKUP(A154,TIPOS!$A:$E,5,FALSE),"No")&lt;&gt;"Sí"),"",IFERROR(IF(VLOOKUP(C154,MAESTRO!$A:$E,5,FALSE)=0,"",VLOOKUP(C154,MAESTRO!$A:$E,5,FALSE)),""))</f>
        <v/>
      </c>
      <c r="K154" s="10">
        <f>IF(OR(J154="",N(I154)=0,IFERROR(VLOOKUP(A154,TIPOS!$A:$E,5,FALSE),"No")&lt;&gt;"Sí"),"",INT(I154/VLOOKUP(C154,MAESTRO!$A:$C,3,FALSE)))</f>
        <v/>
      </c>
      <c r="L154" s="9">
        <f>IF(AND(A154="",C154=""),"",IF(A154="","Falta el tipo",IF(C154="","Falta el código",IF(ISNA(MATCH(C154,MAESTRO!$A:$A,0)),"El código no está en el maestro",IF(AND(N(D154)&gt;0,N(VLOOKUP(C154,MAESTRO!$A:$D,4,FALSE))=0),"Ese código no tiene cajas por estiba: escribe cajas",IF(AND(IFERROR(VLOOKUP(A154,TIPOS!$A:$C,3,FALSE),"")="Sí",B154=""),"Falta el N° de entrega",IF(N(I154)&lt;=0,"Falta la cantidad","OK")))))))</f>
        <v/>
      </c>
    </row>
    <row r="155">
      <c r="A155" s="7" t="n"/>
      <c r="B155" s="7" t="n"/>
      <c r="C155" s="7" t="n"/>
      <c r="D155" s="8" t="n"/>
      <c r="E155" s="8" t="n"/>
      <c r="F155" s="8" t="n"/>
      <c r="G155" s="9">
        <f>IF(C155="","",IFERROR(VLOOKUP(C155,MAESTRO!$A:$B,2,FALSE),"—"))</f>
        <v/>
      </c>
      <c r="H155" s="9">
        <f>IF(A155="","",IFERROR(VLOOKUP(A155,TIPOS!$A:$B,2,FALSE),""))</f>
        <v/>
      </c>
      <c r="I155" s="10">
        <f>IF(C155="","",IFERROR((N(D155)*N(VLOOKUP(C155,MAESTRO!$A:$D,4,FALSE))+N(E155))*VLOOKUP(C155,MAESTRO!$A:$C,3,FALSE)+N(F155),""))</f>
        <v/>
      </c>
      <c r="J155" s="9">
        <f>IF(OR(C155="",IFERROR(VLOOKUP(A155,TIPOS!$A:$E,5,FALSE),"No")&lt;&gt;"Sí"),"",IFERROR(IF(VLOOKUP(C155,MAESTRO!$A:$E,5,FALSE)=0,"",VLOOKUP(C155,MAESTRO!$A:$E,5,FALSE)),""))</f>
        <v/>
      </c>
      <c r="K155" s="10">
        <f>IF(OR(J155="",N(I155)=0,IFERROR(VLOOKUP(A155,TIPOS!$A:$E,5,FALSE),"No")&lt;&gt;"Sí"),"",INT(I155/VLOOKUP(C155,MAESTRO!$A:$C,3,FALSE)))</f>
        <v/>
      </c>
      <c r="L155" s="9">
        <f>IF(AND(A155="",C155=""),"",IF(A155="","Falta el tipo",IF(C155="","Falta el código",IF(ISNA(MATCH(C155,MAESTRO!$A:$A,0)),"El código no está en el maestro",IF(AND(N(D155)&gt;0,N(VLOOKUP(C155,MAESTRO!$A:$D,4,FALSE))=0),"Ese código no tiene cajas por estiba: escribe cajas",IF(AND(IFERROR(VLOOKUP(A155,TIPOS!$A:$C,3,FALSE),"")="Sí",B155=""),"Falta el N° de entrega",IF(N(I155)&lt;=0,"Falta la cantidad","OK")))))))</f>
        <v/>
      </c>
    </row>
    <row r="156">
      <c r="A156" s="7" t="n"/>
      <c r="B156" s="7" t="n"/>
      <c r="C156" s="7" t="n"/>
      <c r="D156" s="8" t="n"/>
      <c r="E156" s="8" t="n"/>
      <c r="F156" s="8" t="n"/>
      <c r="G156" s="9">
        <f>IF(C156="","",IFERROR(VLOOKUP(C156,MAESTRO!$A:$B,2,FALSE),"—"))</f>
        <v/>
      </c>
      <c r="H156" s="9">
        <f>IF(A156="","",IFERROR(VLOOKUP(A156,TIPOS!$A:$B,2,FALSE),""))</f>
        <v/>
      </c>
      <c r="I156" s="10">
        <f>IF(C156="","",IFERROR((N(D156)*N(VLOOKUP(C156,MAESTRO!$A:$D,4,FALSE))+N(E156))*VLOOKUP(C156,MAESTRO!$A:$C,3,FALSE)+N(F156),""))</f>
        <v/>
      </c>
      <c r="J156" s="9">
        <f>IF(OR(C156="",IFERROR(VLOOKUP(A156,TIPOS!$A:$E,5,FALSE),"No")&lt;&gt;"Sí"),"",IFERROR(IF(VLOOKUP(C156,MAESTRO!$A:$E,5,FALSE)=0,"",VLOOKUP(C156,MAESTRO!$A:$E,5,FALSE)),""))</f>
        <v/>
      </c>
      <c r="K156" s="10">
        <f>IF(OR(J156="",N(I156)=0,IFERROR(VLOOKUP(A156,TIPOS!$A:$E,5,FALSE),"No")&lt;&gt;"Sí"),"",INT(I156/VLOOKUP(C156,MAESTRO!$A:$C,3,FALSE)))</f>
        <v/>
      </c>
      <c r="L156" s="9">
        <f>IF(AND(A156="",C156=""),"",IF(A156="","Falta el tipo",IF(C156="","Falta el código",IF(ISNA(MATCH(C156,MAESTRO!$A:$A,0)),"El código no está en el maestro",IF(AND(N(D156)&gt;0,N(VLOOKUP(C156,MAESTRO!$A:$D,4,FALSE))=0),"Ese código no tiene cajas por estiba: escribe cajas",IF(AND(IFERROR(VLOOKUP(A156,TIPOS!$A:$C,3,FALSE),"")="Sí",B156=""),"Falta el N° de entrega",IF(N(I156)&lt;=0,"Falta la cantidad","OK")))))))</f>
        <v/>
      </c>
    </row>
    <row r="157">
      <c r="A157" s="7" t="n"/>
      <c r="B157" s="7" t="n"/>
      <c r="C157" s="7" t="n"/>
      <c r="D157" s="8" t="n"/>
      <c r="E157" s="8" t="n"/>
      <c r="F157" s="8" t="n"/>
      <c r="G157" s="9">
        <f>IF(C157="","",IFERROR(VLOOKUP(C157,MAESTRO!$A:$B,2,FALSE),"—"))</f>
        <v/>
      </c>
      <c r="H157" s="9">
        <f>IF(A157="","",IFERROR(VLOOKUP(A157,TIPOS!$A:$B,2,FALSE),""))</f>
        <v/>
      </c>
      <c r="I157" s="10">
        <f>IF(C157="","",IFERROR((N(D157)*N(VLOOKUP(C157,MAESTRO!$A:$D,4,FALSE))+N(E157))*VLOOKUP(C157,MAESTRO!$A:$C,3,FALSE)+N(F157),""))</f>
        <v/>
      </c>
      <c r="J157" s="9">
        <f>IF(OR(C157="",IFERROR(VLOOKUP(A157,TIPOS!$A:$E,5,FALSE),"No")&lt;&gt;"Sí"),"",IFERROR(IF(VLOOKUP(C157,MAESTRO!$A:$E,5,FALSE)=0,"",VLOOKUP(C157,MAESTRO!$A:$E,5,FALSE)),""))</f>
        <v/>
      </c>
      <c r="K157" s="10">
        <f>IF(OR(J157="",N(I157)=0,IFERROR(VLOOKUP(A157,TIPOS!$A:$E,5,FALSE),"No")&lt;&gt;"Sí"),"",INT(I157/VLOOKUP(C157,MAESTRO!$A:$C,3,FALSE)))</f>
        <v/>
      </c>
      <c r="L157" s="9">
        <f>IF(AND(A157="",C157=""),"",IF(A157="","Falta el tipo",IF(C157="","Falta el código",IF(ISNA(MATCH(C157,MAESTRO!$A:$A,0)),"El código no está en el maestro",IF(AND(N(D157)&gt;0,N(VLOOKUP(C157,MAESTRO!$A:$D,4,FALSE))=0),"Ese código no tiene cajas por estiba: escribe cajas",IF(AND(IFERROR(VLOOKUP(A157,TIPOS!$A:$C,3,FALSE),"")="Sí",B157=""),"Falta el N° de entrega",IF(N(I157)&lt;=0,"Falta la cantidad","OK")))))))</f>
        <v/>
      </c>
    </row>
    <row r="158">
      <c r="A158" s="7" t="n"/>
      <c r="B158" s="7" t="n"/>
      <c r="C158" s="7" t="n"/>
      <c r="D158" s="8" t="n"/>
      <c r="E158" s="8" t="n"/>
      <c r="F158" s="8" t="n"/>
      <c r="G158" s="9">
        <f>IF(C158="","",IFERROR(VLOOKUP(C158,MAESTRO!$A:$B,2,FALSE),"—"))</f>
        <v/>
      </c>
      <c r="H158" s="9">
        <f>IF(A158="","",IFERROR(VLOOKUP(A158,TIPOS!$A:$B,2,FALSE),""))</f>
        <v/>
      </c>
      <c r="I158" s="10">
        <f>IF(C158="","",IFERROR((N(D158)*N(VLOOKUP(C158,MAESTRO!$A:$D,4,FALSE))+N(E158))*VLOOKUP(C158,MAESTRO!$A:$C,3,FALSE)+N(F158),""))</f>
        <v/>
      </c>
      <c r="J158" s="9">
        <f>IF(OR(C158="",IFERROR(VLOOKUP(A158,TIPOS!$A:$E,5,FALSE),"No")&lt;&gt;"Sí"),"",IFERROR(IF(VLOOKUP(C158,MAESTRO!$A:$E,5,FALSE)=0,"",VLOOKUP(C158,MAESTRO!$A:$E,5,FALSE)),""))</f>
        <v/>
      </c>
      <c r="K158" s="10">
        <f>IF(OR(J158="",N(I158)=0,IFERROR(VLOOKUP(A158,TIPOS!$A:$E,5,FALSE),"No")&lt;&gt;"Sí"),"",INT(I158/VLOOKUP(C158,MAESTRO!$A:$C,3,FALSE)))</f>
        <v/>
      </c>
      <c r="L158" s="9">
        <f>IF(AND(A158="",C158=""),"",IF(A158="","Falta el tipo",IF(C158="","Falta el código",IF(ISNA(MATCH(C158,MAESTRO!$A:$A,0)),"El código no está en el maestro",IF(AND(N(D158)&gt;0,N(VLOOKUP(C158,MAESTRO!$A:$D,4,FALSE))=0),"Ese código no tiene cajas por estiba: escribe cajas",IF(AND(IFERROR(VLOOKUP(A158,TIPOS!$A:$C,3,FALSE),"")="Sí",B158=""),"Falta el N° de entrega",IF(N(I158)&lt;=0,"Falta la cantidad","OK")))))))</f>
        <v/>
      </c>
    </row>
    <row r="159">
      <c r="A159" s="7" t="n"/>
      <c r="B159" s="7" t="n"/>
      <c r="C159" s="7" t="n"/>
      <c r="D159" s="8" t="n"/>
      <c r="E159" s="8" t="n"/>
      <c r="F159" s="8" t="n"/>
      <c r="G159" s="9">
        <f>IF(C159="","",IFERROR(VLOOKUP(C159,MAESTRO!$A:$B,2,FALSE),"—"))</f>
        <v/>
      </c>
      <c r="H159" s="9">
        <f>IF(A159="","",IFERROR(VLOOKUP(A159,TIPOS!$A:$B,2,FALSE),""))</f>
        <v/>
      </c>
      <c r="I159" s="10">
        <f>IF(C159="","",IFERROR((N(D159)*N(VLOOKUP(C159,MAESTRO!$A:$D,4,FALSE))+N(E159))*VLOOKUP(C159,MAESTRO!$A:$C,3,FALSE)+N(F159),""))</f>
        <v/>
      </c>
      <c r="J159" s="9">
        <f>IF(OR(C159="",IFERROR(VLOOKUP(A159,TIPOS!$A:$E,5,FALSE),"No")&lt;&gt;"Sí"),"",IFERROR(IF(VLOOKUP(C159,MAESTRO!$A:$E,5,FALSE)=0,"",VLOOKUP(C159,MAESTRO!$A:$E,5,FALSE)),""))</f>
        <v/>
      </c>
      <c r="K159" s="10">
        <f>IF(OR(J159="",N(I159)=0,IFERROR(VLOOKUP(A159,TIPOS!$A:$E,5,FALSE),"No")&lt;&gt;"Sí"),"",INT(I159/VLOOKUP(C159,MAESTRO!$A:$C,3,FALSE)))</f>
        <v/>
      </c>
      <c r="L159" s="9">
        <f>IF(AND(A159="",C159=""),"",IF(A159="","Falta el tipo",IF(C159="","Falta el código",IF(ISNA(MATCH(C159,MAESTRO!$A:$A,0)),"El código no está en el maestro",IF(AND(N(D159)&gt;0,N(VLOOKUP(C159,MAESTRO!$A:$D,4,FALSE))=0),"Ese código no tiene cajas por estiba: escribe cajas",IF(AND(IFERROR(VLOOKUP(A159,TIPOS!$A:$C,3,FALSE),"")="Sí",B159=""),"Falta el N° de entrega",IF(N(I159)&lt;=0,"Falta la cantidad","OK")))))))</f>
        <v/>
      </c>
    </row>
    <row r="160">
      <c r="A160" s="7" t="n"/>
      <c r="B160" s="7" t="n"/>
      <c r="C160" s="7" t="n"/>
      <c r="D160" s="8" t="n"/>
      <c r="E160" s="8" t="n"/>
      <c r="F160" s="8" t="n"/>
      <c r="G160" s="9">
        <f>IF(C160="","",IFERROR(VLOOKUP(C160,MAESTRO!$A:$B,2,FALSE),"—"))</f>
        <v/>
      </c>
      <c r="H160" s="9">
        <f>IF(A160="","",IFERROR(VLOOKUP(A160,TIPOS!$A:$B,2,FALSE),""))</f>
        <v/>
      </c>
      <c r="I160" s="10">
        <f>IF(C160="","",IFERROR((N(D160)*N(VLOOKUP(C160,MAESTRO!$A:$D,4,FALSE))+N(E160))*VLOOKUP(C160,MAESTRO!$A:$C,3,FALSE)+N(F160),""))</f>
        <v/>
      </c>
      <c r="J160" s="9">
        <f>IF(OR(C160="",IFERROR(VLOOKUP(A160,TIPOS!$A:$E,5,FALSE),"No")&lt;&gt;"Sí"),"",IFERROR(IF(VLOOKUP(C160,MAESTRO!$A:$E,5,FALSE)=0,"",VLOOKUP(C160,MAESTRO!$A:$E,5,FALSE)),""))</f>
        <v/>
      </c>
      <c r="K160" s="10">
        <f>IF(OR(J160="",N(I160)=0,IFERROR(VLOOKUP(A160,TIPOS!$A:$E,5,FALSE),"No")&lt;&gt;"Sí"),"",INT(I160/VLOOKUP(C160,MAESTRO!$A:$C,3,FALSE)))</f>
        <v/>
      </c>
      <c r="L160" s="9">
        <f>IF(AND(A160="",C160=""),"",IF(A160="","Falta el tipo",IF(C160="","Falta el código",IF(ISNA(MATCH(C160,MAESTRO!$A:$A,0)),"El código no está en el maestro",IF(AND(N(D160)&gt;0,N(VLOOKUP(C160,MAESTRO!$A:$D,4,FALSE))=0),"Ese código no tiene cajas por estiba: escribe cajas",IF(AND(IFERROR(VLOOKUP(A160,TIPOS!$A:$C,3,FALSE),"")="Sí",B160=""),"Falta el N° de entrega",IF(N(I160)&lt;=0,"Falta la cantidad","OK")))))))</f>
        <v/>
      </c>
    </row>
    <row r="161">
      <c r="A161" s="7" t="n"/>
      <c r="B161" s="7" t="n"/>
      <c r="C161" s="7" t="n"/>
      <c r="D161" s="8" t="n"/>
      <c r="E161" s="8" t="n"/>
      <c r="F161" s="8" t="n"/>
      <c r="G161" s="9">
        <f>IF(C161="","",IFERROR(VLOOKUP(C161,MAESTRO!$A:$B,2,FALSE),"—"))</f>
        <v/>
      </c>
      <c r="H161" s="9">
        <f>IF(A161="","",IFERROR(VLOOKUP(A161,TIPOS!$A:$B,2,FALSE),""))</f>
        <v/>
      </c>
      <c r="I161" s="10">
        <f>IF(C161="","",IFERROR((N(D161)*N(VLOOKUP(C161,MAESTRO!$A:$D,4,FALSE))+N(E161))*VLOOKUP(C161,MAESTRO!$A:$C,3,FALSE)+N(F161),""))</f>
        <v/>
      </c>
      <c r="J161" s="9">
        <f>IF(OR(C161="",IFERROR(VLOOKUP(A161,TIPOS!$A:$E,5,FALSE),"No")&lt;&gt;"Sí"),"",IFERROR(IF(VLOOKUP(C161,MAESTRO!$A:$E,5,FALSE)=0,"",VLOOKUP(C161,MAESTRO!$A:$E,5,FALSE)),""))</f>
        <v/>
      </c>
      <c r="K161" s="10">
        <f>IF(OR(J161="",N(I161)=0,IFERROR(VLOOKUP(A161,TIPOS!$A:$E,5,FALSE),"No")&lt;&gt;"Sí"),"",INT(I161/VLOOKUP(C161,MAESTRO!$A:$C,3,FALSE)))</f>
        <v/>
      </c>
      <c r="L161" s="9">
        <f>IF(AND(A161="",C161=""),"",IF(A161="","Falta el tipo",IF(C161="","Falta el código",IF(ISNA(MATCH(C161,MAESTRO!$A:$A,0)),"El código no está en el maestro",IF(AND(N(D161)&gt;0,N(VLOOKUP(C161,MAESTRO!$A:$D,4,FALSE))=0),"Ese código no tiene cajas por estiba: escribe cajas",IF(AND(IFERROR(VLOOKUP(A161,TIPOS!$A:$C,3,FALSE),"")="Sí",B161=""),"Falta el N° de entrega",IF(N(I161)&lt;=0,"Falta la cantidad","OK")))))))</f>
        <v/>
      </c>
    </row>
    <row r="162">
      <c r="A162" s="7" t="n"/>
      <c r="B162" s="7" t="n"/>
      <c r="C162" s="7" t="n"/>
      <c r="D162" s="8" t="n"/>
      <c r="E162" s="8" t="n"/>
      <c r="F162" s="8" t="n"/>
      <c r="G162" s="9">
        <f>IF(C162="","",IFERROR(VLOOKUP(C162,MAESTRO!$A:$B,2,FALSE),"—"))</f>
        <v/>
      </c>
      <c r="H162" s="9">
        <f>IF(A162="","",IFERROR(VLOOKUP(A162,TIPOS!$A:$B,2,FALSE),""))</f>
        <v/>
      </c>
      <c r="I162" s="10">
        <f>IF(C162="","",IFERROR((N(D162)*N(VLOOKUP(C162,MAESTRO!$A:$D,4,FALSE))+N(E162))*VLOOKUP(C162,MAESTRO!$A:$C,3,FALSE)+N(F162),""))</f>
        <v/>
      </c>
      <c r="J162" s="9">
        <f>IF(OR(C162="",IFERROR(VLOOKUP(A162,TIPOS!$A:$E,5,FALSE),"No")&lt;&gt;"Sí"),"",IFERROR(IF(VLOOKUP(C162,MAESTRO!$A:$E,5,FALSE)=0,"",VLOOKUP(C162,MAESTRO!$A:$E,5,FALSE)),""))</f>
        <v/>
      </c>
      <c r="K162" s="10">
        <f>IF(OR(J162="",N(I162)=0,IFERROR(VLOOKUP(A162,TIPOS!$A:$E,5,FALSE),"No")&lt;&gt;"Sí"),"",INT(I162/VLOOKUP(C162,MAESTRO!$A:$C,3,FALSE)))</f>
        <v/>
      </c>
      <c r="L162" s="9">
        <f>IF(AND(A162="",C162=""),"",IF(A162="","Falta el tipo",IF(C162="","Falta el código",IF(ISNA(MATCH(C162,MAESTRO!$A:$A,0)),"El código no está en el maestro",IF(AND(N(D162)&gt;0,N(VLOOKUP(C162,MAESTRO!$A:$D,4,FALSE))=0),"Ese código no tiene cajas por estiba: escribe cajas",IF(AND(IFERROR(VLOOKUP(A162,TIPOS!$A:$C,3,FALSE),"")="Sí",B162=""),"Falta el N° de entrega",IF(N(I162)&lt;=0,"Falta la cantidad","OK")))))))</f>
        <v/>
      </c>
    </row>
    <row r="163">
      <c r="A163" s="7" t="n"/>
      <c r="B163" s="7" t="n"/>
      <c r="C163" s="7" t="n"/>
      <c r="D163" s="8" t="n"/>
      <c r="E163" s="8" t="n"/>
      <c r="F163" s="8" t="n"/>
      <c r="G163" s="9">
        <f>IF(C163="","",IFERROR(VLOOKUP(C163,MAESTRO!$A:$B,2,FALSE),"—"))</f>
        <v/>
      </c>
      <c r="H163" s="9">
        <f>IF(A163="","",IFERROR(VLOOKUP(A163,TIPOS!$A:$B,2,FALSE),""))</f>
        <v/>
      </c>
      <c r="I163" s="10">
        <f>IF(C163="","",IFERROR((N(D163)*N(VLOOKUP(C163,MAESTRO!$A:$D,4,FALSE))+N(E163))*VLOOKUP(C163,MAESTRO!$A:$C,3,FALSE)+N(F163),""))</f>
        <v/>
      </c>
      <c r="J163" s="9">
        <f>IF(OR(C163="",IFERROR(VLOOKUP(A163,TIPOS!$A:$E,5,FALSE),"No")&lt;&gt;"Sí"),"",IFERROR(IF(VLOOKUP(C163,MAESTRO!$A:$E,5,FALSE)=0,"",VLOOKUP(C163,MAESTRO!$A:$E,5,FALSE)),""))</f>
        <v/>
      </c>
      <c r="K163" s="10">
        <f>IF(OR(J163="",N(I163)=0,IFERROR(VLOOKUP(A163,TIPOS!$A:$E,5,FALSE),"No")&lt;&gt;"Sí"),"",INT(I163/VLOOKUP(C163,MAESTRO!$A:$C,3,FALSE)))</f>
        <v/>
      </c>
      <c r="L163" s="9">
        <f>IF(AND(A163="",C163=""),"",IF(A163="","Falta el tipo",IF(C163="","Falta el código",IF(ISNA(MATCH(C163,MAESTRO!$A:$A,0)),"El código no está en el maestro",IF(AND(N(D163)&gt;0,N(VLOOKUP(C163,MAESTRO!$A:$D,4,FALSE))=0),"Ese código no tiene cajas por estiba: escribe cajas",IF(AND(IFERROR(VLOOKUP(A163,TIPOS!$A:$C,3,FALSE),"")="Sí",B163=""),"Falta el N° de entrega",IF(N(I163)&lt;=0,"Falta la cantidad","OK")))))))</f>
        <v/>
      </c>
    </row>
    <row r="164">
      <c r="A164" s="7" t="n"/>
      <c r="B164" s="7" t="n"/>
      <c r="C164" s="7" t="n"/>
      <c r="D164" s="8" t="n"/>
      <c r="E164" s="8" t="n"/>
      <c r="F164" s="8" t="n"/>
      <c r="G164" s="9">
        <f>IF(C164="","",IFERROR(VLOOKUP(C164,MAESTRO!$A:$B,2,FALSE),"—"))</f>
        <v/>
      </c>
      <c r="H164" s="9">
        <f>IF(A164="","",IFERROR(VLOOKUP(A164,TIPOS!$A:$B,2,FALSE),""))</f>
        <v/>
      </c>
      <c r="I164" s="10">
        <f>IF(C164="","",IFERROR((N(D164)*N(VLOOKUP(C164,MAESTRO!$A:$D,4,FALSE))+N(E164))*VLOOKUP(C164,MAESTRO!$A:$C,3,FALSE)+N(F164),""))</f>
        <v/>
      </c>
      <c r="J164" s="9">
        <f>IF(OR(C164="",IFERROR(VLOOKUP(A164,TIPOS!$A:$E,5,FALSE),"No")&lt;&gt;"Sí"),"",IFERROR(IF(VLOOKUP(C164,MAESTRO!$A:$E,5,FALSE)=0,"",VLOOKUP(C164,MAESTRO!$A:$E,5,FALSE)),""))</f>
        <v/>
      </c>
      <c r="K164" s="10">
        <f>IF(OR(J164="",N(I164)=0,IFERROR(VLOOKUP(A164,TIPOS!$A:$E,5,FALSE),"No")&lt;&gt;"Sí"),"",INT(I164/VLOOKUP(C164,MAESTRO!$A:$C,3,FALSE)))</f>
        <v/>
      </c>
      <c r="L164" s="9">
        <f>IF(AND(A164="",C164=""),"",IF(A164="","Falta el tipo",IF(C164="","Falta el código",IF(ISNA(MATCH(C164,MAESTRO!$A:$A,0)),"El código no está en el maestro",IF(AND(N(D164)&gt;0,N(VLOOKUP(C164,MAESTRO!$A:$D,4,FALSE))=0),"Ese código no tiene cajas por estiba: escribe cajas",IF(AND(IFERROR(VLOOKUP(A164,TIPOS!$A:$C,3,FALSE),"")="Sí",B164=""),"Falta el N° de entrega",IF(N(I164)&lt;=0,"Falta la cantidad","OK")))))))</f>
        <v/>
      </c>
    </row>
    <row r="165">
      <c r="A165" s="7" t="n"/>
      <c r="B165" s="7" t="n"/>
      <c r="C165" s="7" t="n"/>
      <c r="D165" s="8" t="n"/>
      <c r="E165" s="8" t="n"/>
      <c r="F165" s="8" t="n"/>
      <c r="G165" s="9">
        <f>IF(C165="","",IFERROR(VLOOKUP(C165,MAESTRO!$A:$B,2,FALSE),"—"))</f>
        <v/>
      </c>
      <c r="H165" s="9">
        <f>IF(A165="","",IFERROR(VLOOKUP(A165,TIPOS!$A:$B,2,FALSE),""))</f>
        <v/>
      </c>
      <c r="I165" s="10">
        <f>IF(C165="","",IFERROR((N(D165)*N(VLOOKUP(C165,MAESTRO!$A:$D,4,FALSE))+N(E165))*VLOOKUP(C165,MAESTRO!$A:$C,3,FALSE)+N(F165),""))</f>
        <v/>
      </c>
      <c r="J165" s="9">
        <f>IF(OR(C165="",IFERROR(VLOOKUP(A165,TIPOS!$A:$E,5,FALSE),"No")&lt;&gt;"Sí"),"",IFERROR(IF(VLOOKUP(C165,MAESTRO!$A:$E,5,FALSE)=0,"",VLOOKUP(C165,MAESTRO!$A:$E,5,FALSE)),""))</f>
        <v/>
      </c>
      <c r="K165" s="10">
        <f>IF(OR(J165="",N(I165)=0,IFERROR(VLOOKUP(A165,TIPOS!$A:$E,5,FALSE),"No")&lt;&gt;"Sí"),"",INT(I165/VLOOKUP(C165,MAESTRO!$A:$C,3,FALSE)))</f>
        <v/>
      </c>
      <c r="L165" s="9">
        <f>IF(AND(A165="",C165=""),"",IF(A165="","Falta el tipo",IF(C165="","Falta el código",IF(ISNA(MATCH(C165,MAESTRO!$A:$A,0)),"El código no está en el maestro",IF(AND(N(D165)&gt;0,N(VLOOKUP(C165,MAESTRO!$A:$D,4,FALSE))=0),"Ese código no tiene cajas por estiba: escribe cajas",IF(AND(IFERROR(VLOOKUP(A165,TIPOS!$A:$C,3,FALSE),"")="Sí",B165=""),"Falta el N° de entrega",IF(N(I165)&lt;=0,"Falta la cantidad","OK")))))))</f>
        <v/>
      </c>
    </row>
    <row r="166">
      <c r="A166" s="7" t="n"/>
      <c r="B166" s="7" t="n"/>
      <c r="C166" s="7" t="n"/>
      <c r="D166" s="8" t="n"/>
      <c r="E166" s="8" t="n"/>
      <c r="F166" s="8" t="n"/>
      <c r="G166" s="9">
        <f>IF(C166="","",IFERROR(VLOOKUP(C166,MAESTRO!$A:$B,2,FALSE),"—"))</f>
        <v/>
      </c>
      <c r="H166" s="9">
        <f>IF(A166="","",IFERROR(VLOOKUP(A166,TIPOS!$A:$B,2,FALSE),""))</f>
        <v/>
      </c>
      <c r="I166" s="10">
        <f>IF(C166="","",IFERROR((N(D166)*N(VLOOKUP(C166,MAESTRO!$A:$D,4,FALSE))+N(E166))*VLOOKUP(C166,MAESTRO!$A:$C,3,FALSE)+N(F166),""))</f>
        <v/>
      </c>
      <c r="J166" s="9">
        <f>IF(OR(C166="",IFERROR(VLOOKUP(A166,TIPOS!$A:$E,5,FALSE),"No")&lt;&gt;"Sí"),"",IFERROR(IF(VLOOKUP(C166,MAESTRO!$A:$E,5,FALSE)=0,"",VLOOKUP(C166,MAESTRO!$A:$E,5,FALSE)),""))</f>
        <v/>
      </c>
      <c r="K166" s="10">
        <f>IF(OR(J166="",N(I166)=0,IFERROR(VLOOKUP(A166,TIPOS!$A:$E,5,FALSE),"No")&lt;&gt;"Sí"),"",INT(I166/VLOOKUP(C166,MAESTRO!$A:$C,3,FALSE)))</f>
        <v/>
      </c>
      <c r="L166" s="9">
        <f>IF(AND(A166="",C166=""),"",IF(A166="","Falta el tipo",IF(C166="","Falta el código",IF(ISNA(MATCH(C166,MAESTRO!$A:$A,0)),"El código no está en el maestro",IF(AND(N(D166)&gt;0,N(VLOOKUP(C166,MAESTRO!$A:$D,4,FALSE))=0),"Ese código no tiene cajas por estiba: escribe cajas",IF(AND(IFERROR(VLOOKUP(A166,TIPOS!$A:$C,3,FALSE),"")="Sí",B166=""),"Falta el N° de entrega",IF(N(I166)&lt;=0,"Falta la cantidad","OK")))))))</f>
        <v/>
      </c>
    </row>
    <row r="167">
      <c r="A167" s="7" t="n"/>
      <c r="B167" s="7" t="n"/>
      <c r="C167" s="7" t="n"/>
      <c r="D167" s="8" t="n"/>
      <c r="E167" s="8" t="n"/>
      <c r="F167" s="8" t="n"/>
      <c r="G167" s="9">
        <f>IF(C167="","",IFERROR(VLOOKUP(C167,MAESTRO!$A:$B,2,FALSE),"—"))</f>
        <v/>
      </c>
      <c r="H167" s="9">
        <f>IF(A167="","",IFERROR(VLOOKUP(A167,TIPOS!$A:$B,2,FALSE),""))</f>
        <v/>
      </c>
      <c r="I167" s="10">
        <f>IF(C167="","",IFERROR((N(D167)*N(VLOOKUP(C167,MAESTRO!$A:$D,4,FALSE))+N(E167))*VLOOKUP(C167,MAESTRO!$A:$C,3,FALSE)+N(F167),""))</f>
        <v/>
      </c>
      <c r="J167" s="9">
        <f>IF(OR(C167="",IFERROR(VLOOKUP(A167,TIPOS!$A:$E,5,FALSE),"No")&lt;&gt;"Sí"),"",IFERROR(IF(VLOOKUP(C167,MAESTRO!$A:$E,5,FALSE)=0,"",VLOOKUP(C167,MAESTRO!$A:$E,5,FALSE)),""))</f>
        <v/>
      </c>
      <c r="K167" s="10">
        <f>IF(OR(J167="",N(I167)=0,IFERROR(VLOOKUP(A167,TIPOS!$A:$E,5,FALSE),"No")&lt;&gt;"Sí"),"",INT(I167/VLOOKUP(C167,MAESTRO!$A:$C,3,FALSE)))</f>
        <v/>
      </c>
      <c r="L167" s="9">
        <f>IF(AND(A167="",C167=""),"",IF(A167="","Falta el tipo",IF(C167="","Falta el código",IF(ISNA(MATCH(C167,MAESTRO!$A:$A,0)),"El código no está en el maestro",IF(AND(N(D167)&gt;0,N(VLOOKUP(C167,MAESTRO!$A:$D,4,FALSE))=0),"Ese código no tiene cajas por estiba: escribe cajas",IF(AND(IFERROR(VLOOKUP(A167,TIPOS!$A:$C,3,FALSE),"")="Sí",B167=""),"Falta el N° de entrega",IF(N(I167)&lt;=0,"Falta la cantidad","OK")))))))</f>
        <v/>
      </c>
    </row>
    <row r="168">
      <c r="A168" s="7" t="n"/>
      <c r="B168" s="7" t="n"/>
      <c r="C168" s="7" t="n"/>
      <c r="D168" s="8" t="n"/>
      <c r="E168" s="8" t="n"/>
      <c r="F168" s="8" t="n"/>
      <c r="G168" s="9">
        <f>IF(C168="","",IFERROR(VLOOKUP(C168,MAESTRO!$A:$B,2,FALSE),"—"))</f>
        <v/>
      </c>
      <c r="H168" s="9">
        <f>IF(A168="","",IFERROR(VLOOKUP(A168,TIPOS!$A:$B,2,FALSE),""))</f>
        <v/>
      </c>
      <c r="I168" s="10">
        <f>IF(C168="","",IFERROR((N(D168)*N(VLOOKUP(C168,MAESTRO!$A:$D,4,FALSE))+N(E168))*VLOOKUP(C168,MAESTRO!$A:$C,3,FALSE)+N(F168),""))</f>
        <v/>
      </c>
      <c r="J168" s="9">
        <f>IF(OR(C168="",IFERROR(VLOOKUP(A168,TIPOS!$A:$E,5,FALSE),"No")&lt;&gt;"Sí"),"",IFERROR(IF(VLOOKUP(C168,MAESTRO!$A:$E,5,FALSE)=0,"",VLOOKUP(C168,MAESTRO!$A:$E,5,FALSE)),""))</f>
        <v/>
      </c>
      <c r="K168" s="10">
        <f>IF(OR(J168="",N(I168)=0,IFERROR(VLOOKUP(A168,TIPOS!$A:$E,5,FALSE),"No")&lt;&gt;"Sí"),"",INT(I168/VLOOKUP(C168,MAESTRO!$A:$C,3,FALSE)))</f>
        <v/>
      </c>
      <c r="L168" s="9">
        <f>IF(AND(A168="",C168=""),"",IF(A168="","Falta el tipo",IF(C168="","Falta el código",IF(ISNA(MATCH(C168,MAESTRO!$A:$A,0)),"El código no está en el maestro",IF(AND(N(D168)&gt;0,N(VLOOKUP(C168,MAESTRO!$A:$D,4,FALSE))=0),"Ese código no tiene cajas por estiba: escribe cajas",IF(AND(IFERROR(VLOOKUP(A168,TIPOS!$A:$C,3,FALSE),"")="Sí",B168=""),"Falta el N° de entrega",IF(N(I168)&lt;=0,"Falta la cantidad","OK")))))))</f>
        <v/>
      </c>
    </row>
    <row r="169">
      <c r="A169" s="7" t="n"/>
      <c r="B169" s="7" t="n"/>
      <c r="C169" s="7" t="n"/>
      <c r="D169" s="8" t="n"/>
      <c r="E169" s="8" t="n"/>
      <c r="F169" s="8" t="n"/>
      <c r="G169" s="9">
        <f>IF(C169="","",IFERROR(VLOOKUP(C169,MAESTRO!$A:$B,2,FALSE),"—"))</f>
        <v/>
      </c>
      <c r="H169" s="9">
        <f>IF(A169="","",IFERROR(VLOOKUP(A169,TIPOS!$A:$B,2,FALSE),""))</f>
        <v/>
      </c>
      <c r="I169" s="10">
        <f>IF(C169="","",IFERROR((N(D169)*N(VLOOKUP(C169,MAESTRO!$A:$D,4,FALSE))+N(E169))*VLOOKUP(C169,MAESTRO!$A:$C,3,FALSE)+N(F169),""))</f>
        <v/>
      </c>
      <c r="J169" s="9">
        <f>IF(OR(C169="",IFERROR(VLOOKUP(A169,TIPOS!$A:$E,5,FALSE),"No")&lt;&gt;"Sí"),"",IFERROR(IF(VLOOKUP(C169,MAESTRO!$A:$E,5,FALSE)=0,"",VLOOKUP(C169,MAESTRO!$A:$E,5,FALSE)),""))</f>
        <v/>
      </c>
      <c r="K169" s="10">
        <f>IF(OR(J169="",N(I169)=0,IFERROR(VLOOKUP(A169,TIPOS!$A:$E,5,FALSE),"No")&lt;&gt;"Sí"),"",INT(I169/VLOOKUP(C169,MAESTRO!$A:$C,3,FALSE)))</f>
        <v/>
      </c>
      <c r="L169" s="9">
        <f>IF(AND(A169="",C169=""),"",IF(A169="","Falta el tipo",IF(C169="","Falta el código",IF(ISNA(MATCH(C169,MAESTRO!$A:$A,0)),"El código no está en el maestro",IF(AND(N(D169)&gt;0,N(VLOOKUP(C169,MAESTRO!$A:$D,4,FALSE))=0),"Ese código no tiene cajas por estiba: escribe cajas",IF(AND(IFERROR(VLOOKUP(A169,TIPOS!$A:$C,3,FALSE),"")="Sí",B169=""),"Falta el N° de entrega",IF(N(I169)&lt;=0,"Falta la cantidad","OK")))))))</f>
        <v/>
      </c>
    </row>
    <row r="170">
      <c r="A170" s="7" t="n"/>
      <c r="B170" s="7" t="n"/>
      <c r="C170" s="7" t="n"/>
      <c r="D170" s="8" t="n"/>
      <c r="E170" s="8" t="n"/>
      <c r="F170" s="8" t="n"/>
      <c r="G170" s="9">
        <f>IF(C170="","",IFERROR(VLOOKUP(C170,MAESTRO!$A:$B,2,FALSE),"—"))</f>
        <v/>
      </c>
      <c r="H170" s="9">
        <f>IF(A170="","",IFERROR(VLOOKUP(A170,TIPOS!$A:$B,2,FALSE),""))</f>
        <v/>
      </c>
      <c r="I170" s="10">
        <f>IF(C170="","",IFERROR((N(D170)*N(VLOOKUP(C170,MAESTRO!$A:$D,4,FALSE))+N(E170))*VLOOKUP(C170,MAESTRO!$A:$C,3,FALSE)+N(F170),""))</f>
        <v/>
      </c>
      <c r="J170" s="9">
        <f>IF(OR(C170="",IFERROR(VLOOKUP(A170,TIPOS!$A:$E,5,FALSE),"No")&lt;&gt;"Sí"),"",IFERROR(IF(VLOOKUP(C170,MAESTRO!$A:$E,5,FALSE)=0,"",VLOOKUP(C170,MAESTRO!$A:$E,5,FALSE)),""))</f>
        <v/>
      </c>
      <c r="K170" s="10">
        <f>IF(OR(J170="",N(I170)=0,IFERROR(VLOOKUP(A170,TIPOS!$A:$E,5,FALSE),"No")&lt;&gt;"Sí"),"",INT(I170/VLOOKUP(C170,MAESTRO!$A:$C,3,FALSE)))</f>
        <v/>
      </c>
      <c r="L170" s="9">
        <f>IF(AND(A170="",C170=""),"",IF(A170="","Falta el tipo",IF(C170="","Falta el código",IF(ISNA(MATCH(C170,MAESTRO!$A:$A,0)),"El código no está en el maestro",IF(AND(N(D170)&gt;0,N(VLOOKUP(C170,MAESTRO!$A:$D,4,FALSE))=0),"Ese código no tiene cajas por estiba: escribe cajas",IF(AND(IFERROR(VLOOKUP(A170,TIPOS!$A:$C,3,FALSE),"")="Sí",B170=""),"Falta el N° de entrega",IF(N(I170)&lt;=0,"Falta la cantidad","OK")))))))</f>
        <v/>
      </c>
    </row>
    <row r="171">
      <c r="A171" s="7" t="n"/>
      <c r="B171" s="7" t="n"/>
      <c r="C171" s="7" t="n"/>
      <c r="D171" s="8" t="n"/>
      <c r="E171" s="8" t="n"/>
      <c r="F171" s="8" t="n"/>
      <c r="G171" s="9">
        <f>IF(C171="","",IFERROR(VLOOKUP(C171,MAESTRO!$A:$B,2,FALSE),"—"))</f>
        <v/>
      </c>
      <c r="H171" s="9">
        <f>IF(A171="","",IFERROR(VLOOKUP(A171,TIPOS!$A:$B,2,FALSE),""))</f>
        <v/>
      </c>
      <c r="I171" s="10">
        <f>IF(C171="","",IFERROR((N(D171)*N(VLOOKUP(C171,MAESTRO!$A:$D,4,FALSE))+N(E171))*VLOOKUP(C171,MAESTRO!$A:$C,3,FALSE)+N(F171),""))</f>
        <v/>
      </c>
      <c r="J171" s="9">
        <f>IF(OR(C171="",IFERROR(VLOOKUP(A171,TIPOS!$A:$E,5,FALSE),"No")&lt;&gt;"Sí"),"",IFERROR(IF(VLOOKUP(C171,MAESTRO!$A:$E,5,FALSE)=0,"",VLOOKUP(C171,MAESTRO!$A:$E,5,FALSE)),""))</f>
        <v/>
      </c>
      <c r="K171" s="10">
        <f>IF(OR(J171="",N(I171)=0,IFERROR(VLOOKUP(A171,TIPOS!$A:$E,5,FALSE),"No")&lt;&gt;"Sí"),"",INT(I171/VLOOKUP(C171,MAESTRO!$A:$C,3,FALSE)))</f>
        <v/>
      </c>
      <c r="L171" s="9">
        <f>IF(AND(A171="",C171=""),"",IF(A171="","Falta el tipo",IF(C171="","Falta el código",IF(ISNA(MATCH(C171,MAESTRO!$A:$A,0)),"El código no está en el maestro",IF(AND(N(D171)&gt;0,N(VLOOKUP(C171,MAESTRO!$A:$D,4,FALSE))=0),"Ese código no tiene cajas por estiba: escribe cajas",IF(AND(IFERROR(VLOOKUP(A171,TIPOS!$A:$C,3,FALSE),"")="Sí",B171=""),"Falta el N° de entrega",IF(N(I171)&lt;=0,"Falta la cantidad","OK")))))))</f>
        <v/>
      </c>
    </row>
    <row r="172">
      <c r="A172" s="7" t="n"/>
      <c r="B172" s="7" t="n"/>
      <c r="C172" s="7" t="n"/>
      <c r="D172" s="8" t="n"/>
      <c r="E172" s="8" t="n"/>
      <c r="F172" s="8" t="n"/>
      <c r="G172" s="9">
        <f>IF(C172="","",IFERROR(VLOOKUP(C172,MAESTRO!$A:$B,2,FALSE),"—"))</f>
        <v/>
      </c>
      <c r="H172" s="9">
        <f>IF(A172="","",IFERROR(VLOOKUP(A172,TIPOS!$A:$B,2,FALSE),""))</f>
        <v/>
      </c>
      <c r="I172" s="10">
        <f>IF(C172="","",IFERROR((N(D172)*N(VLOOKUP(C172,MAESTRO!$A:$D,4,FALSE))+N(E172))*VLOOKUP(C172,MAESTRO!$A:$C,3,FALSE)+N(F172),""))</f>
        <v/>
      </c>
      <c r="J172" s="9">
        <f>IF(OR(C172="",IFERROR(VLOOKUP(A172,TIPOS!$A:$E,5,FALSE),"No")&lt;&gt;"Sí"),"",IFERROR(IF(VLOOKUP(C172,MAESTRO!$A:$E,5,FALSE)=0,"",VLOOKUP(C172,MAESTRO!$A:$E,5,FALSE)),""))</f>
        <v/>
      </c>
      <c r="K172" s="10">
        <f>IF(OR(J172="",N(I172)=0,IFERROR(VLOOKUP(A172,TIPOS!$A:$E,5,FALSE),"No")&lt;&gt;"Sí"),"",INT(I172/VLOOKUP(C172,MAESTRO!$A:$C,3,FALSE)))</f>
        <v/>
      </c>
      <c r="L172" s="9">
        <f>IF(AND(A172="",C172=""),"",IF(A172="","Falta el tipo",IF(C172="","Falta el código",IF(ISNA(MATCH(C172,MAESTRO!$A:$A,0)),"El código no está en el maestro",IF(AND(N(D172)&gt;0,N(VLOOKUP(C172,MAESTRO!$A:$D,4,FALSE))=0),"Ese código no tiene cajas por estiba: escribe cajas",IF(AND(IFERROR(VLOOKUP(A172,TIPOS!$A:$C,3,FALSE),"")="Sí",B172=""),"Falta el N° de entrega",IF(N(I172)&lt;=0,"Falta la cantidad","OK")))))))</f>
        <v/>
      </c>
    </row>
    <row r="173">
      <c r="A173" s="7" t="n"/>
      <c r="B173" s="7" t="n"/>
      <c r="C173" s="7" t="n"/>
      <c r="D173" s="8" t="n"/>
      <c r="E173" s="8" t="n"/>
      <c r="F173" s="8" t="n"/>
      <c r="G173" s="9">
        <f>IF(C173="","",IFERROR(VLOOKUP(C173,MAESTRO!$A:$B,2,FALSE),"—"))</f>
        <v/>
      </c>
      <c r="H173" s="9">
        <f>IF(A173="","",IFERROR(VLOOKUP(A173,TIPOS!$A:$B,2,FALSE),""))</f>
        <v/>
      </c>
      <c r="I173" s="10">
        <f>IF(C173="","",IFERROR((N(D173)*N(VLOOKUP(C173,MAESTRO!$A:$D,4,FALSE))+N(E173))*VLOOKUP(C173,MAESTRO!$A:$C,3,FALSE)+N(F173),""))</f>
        <v/>
      </c>
      <c r="J173" s="9">
        <f>IF(OR(C173="",IFERROR(VLOOKUP(A173,TIPOS!$A:$E,5,FALSE),"No")&lt;&gt;"Sí"),"",IFERROR(IF(VLOOKUP(C173,MAESTRO!$A:$E,5,FALSE)=0,"",VLOOKUP(C173,MAESTRO!$A:$E,5,FALSE)),""))</f>
        <v/>
      </c>
      <c r="K173" s="10">
        <f>IF(OR(J173="",N(I173)=0,IFERROR(VLOOKUP(A173,TIPOS!$A:$E,5,FALSE),"No")&lt;&gt;"Sí"),"",INT(I173/VLOOKUP(C173,MAESTRO!$A:$C,3,FALSE)))</f>
        <v/>
      </c>
      <c r="L173" s="9">
        <f>IF(AND(A173="",C173=""),"",IF(A173="","Falta el tipo",IF(C173="","Falta el código",IF(ISNA(MATCH(C173,MAESTRO!$A:$A,0)),"El código no está en el maestro",IF(AND(N(D173)&gt;0,N(VLOOKUP(C173,MAESTRO!$A:$D,4,FALSE))=0),"Ese código no tiene cajas por estiba: escribe cajas",IF(AND(IFERROR(VLOOKUP(A173,TIPOS!$A:$C,3,FALSE),"")="Sí",B173=""),"Falta el N° de entrega",IF(N(I173)&lt;=0,"Falta la cantidad","OK")))))))</f>
        <v/>
      </c>
    </row>
    <row r="174">
      <c r="A174" s="7" t="n"/>
      <c r="B174" s="7" t="n"/>
      <c r="C174" s="7" t="n"/>
      <c r="D174" s="8" t="n"/>
      <c r="E174" s="8" t="n"/>
      <c r="F174" s="8" t="n"/>
      <c r="G174" s="9">
        <f>IF(C174="","",IFERROR(VLOOKUP(C174,MAESTRO!$A:$B,2,FALSE),"—"))</f>
        <v/>
      </c>
      <c r="H174" s="9">
        <f>IF(A174="","",IFERROR(VLOOKUP(A174,TIPOS!$A:$B,2,FALSE),""))</f>
        <v/>
      </c>
      <c r="I174" s="10">
        <f>IF(C174="","",IFERROR((N(D174)*N(VLOOKUP(C174,MAESTRO!$A:$D,4,FALSE))+N(E174))*VLOOKUP(C174,MAESTRO!$A:$C,3,FALSE)+N(F174),""))</f>
        <v/>
      </c>
      <c r="J174" s="9">
        <f>IF(OR(C174="",IFERROR(VLOOKUP(A174,TIPOS!$A:$E,5,FALSE),"No")&lt;&gt;"Sí"),"",IFERROR(IF(VLOOKUP(C174,MAESTRO!$A:$E,5,FALSE)=0,"",VLOOKUP(C174,MAESTRO!$A:$E,5,FALSE)),""))</f>
        <v/>
      </c>
      <c r="K174" s="10">
        <f>IF(OR(J174="",N(I174)=0,IFERROR(VLOOKUP(A174,TIPOS!$A:$E,5,FALSE),"No")&lt;&gt;"Sí"),"",INT(I174/VLOOKUP(C174,MAESTRO!$A:$C,3,FALSE)))</f>
        <v/>
      </c>
      <c r="L174" s="9">
        <f>IF(AND(A174="",C174=""),"",IF(A174="","Falta el tipo",IF(C174="","Falta el código",IF(ISNA(MATCH(C174,MAESTRO!$A:$A,0)),"El código no está en el maestro",IF(AND(N(D174)&gt;0,N(VLOOKUP(C174,MAESTRO!$A:$D,4,FALSE))=0),"Ese código no tiene cajas por estiba: escribe cajas",IF(AND(IFERROR(VLOOKUP(A174,TIPOS!$A:$C,3,FALSE),"")="Sí",B174=""),"Falta el N° de entrega",IF(N(I174)&lt;=0,"Falta la cantidad","OK")))))))</f>
        <v/>
      </c>
    </row>
    <row r="175">
      <c r="A175" s="7" t="n"/>
      <c r="B175" s="7" t="n"/>
      <c r="C175" s="7" t="n"/>
      <c r="D175" s="8" t="n"/>
      <c r="E175" s="8" t="n"/>
      <c r="F175" s="8" t="n"/>
      <c r="G175" s="9">
        <f>IF(C175="","",IFERROR(VLOOKUP(C175,MAESTRO!$A:$B,2,FALSE),"—"))</f>
        <v/>
      </c>
      <c r="H175" s="9">
        <f>IF(A175="","",IFERROR(VLOOKUP(A175,TIPOS!$A:$B,2,FALSE),""))</f>
        <v/>
      </c>
      <c r="I175" s="10">
        <f>IF(C175="","",IFERROR((N(D175)*N(VLOOKUP(C175,MAESTRO!$A:$D,4,FALSE))+N(E175))*VLOOKUP(C175,MAESTRO!$A:$C,3,FALSE)+N(F175),""))</f>
        <v/>
      </c>
      <c r="J175" s="9">
        <f>IF(OR(C175="",IFERROR(VLOOKUP(A175,TIPOS!$A:$E,5,FALSE),"No")&lt;&gt;"Sí"),"",IFERROR(IF(VLOOKUP(C175,MAESTRO!$A:$E,5,FALSE)=0,"",VLOOKUP(C175,MAESTRO!$A:$E,5,FALSE)),""))</f>
        <v/>
      </c>
      <c r="K175" s="10">
        <f>IF(OR(J175="",N(I175)=0,IFERROR(VLOOKUP(A175,TIPOS!$A:$E,5,FALSE),"No")&lt;&gt;"Sí"),"",INT(I175/VLOOKUP(C175,MAESTRO!$A:$C,3,FALSE)))</f>
        <v/>
      </c>
      <c r="L175" s="9">
        <f>IF(AND(A175="",C175=""),"",IF(A175="","Falta el tipo",IF(C175="","Falta el código",IF(ISNA(MATCH(C175,MAESTRO!$A:$A,0)),"El código no está en el maestro",IF(AND(N(D175)&gt;0,N(VLOOKUP(C175,MAESTRO!$A:$D,4,FALSE))=0),"Ese código no tiene cajas por estiba: escribe cajas",IF(AND(IFERROR(VLOOKUP(A175,TIPOS!$A:$C,3,FALSE),"")="Sí",B175=""),"Falta el N° de entrega",IF(N(I175)&lt;=0,"Falta la cantidad","OK")))))))</f>
        <v/>
      </c>
    </row>
    <row r="176">
      <c r="A176" s="7" t="n"/>
      <c r="B176" s="7" t="n"/>
      <c r="C176" s="7" t="n"/>
      <c r="D176" s="8" t="n"/>
      <c r="E176" s="8" t="n"/>
      <c r="F176" s="8" t="n"/>
      <c r="G176" s="9">
        <f>IF(C176="","",IFERROR(VLOOKUP(C176,MAESTRO!$A:$B,2,FALSE),"—"))</f>
        <v/>
      </c>
      <c r="H176" s="9">
        <f>IF(A176="","",IFERROR(VLOOKUP(A176,TIPOS!$A:$B,2,FALSE),""))</f>
        <v/>
      </c>
      <c r="I176" s="10">
        <f>IF(C176="","",IFERROR((N(D176)*N(VLOOKUP(C176,MAESTRO!$A:$D,4,FALSE))+N(E176))*VLOOKUP(C176,MAESTRO!$A:$C,3,FALSE)+N(F176),""))</f>
        <v/>
      </c>
      <c r="J176" s="9">
        <f>IF(OR(C176="",IFERROR(VLOOKUP(A176,TIPOS!$A:$E,5,FALSE),"No")&lt;&gt;"Sí"),"",IFERROR(IF(VLOOKUP(C176,MAESTRO!$A:$E,5,FALSE)=0,"",VLOOKUP(C176,MAESTRO!$A:$E,5,FALSE)),""))</f>
        <v/>
      </c>
      <c r="K176" s="10">
        <f>IF(OR(J176="",N(I176)=0,IFERROR(VLOOKUP(A176,TIPOS!$A:$E,5,FALSE),"No")&lt;&gt;"Sí"),"",INT(I176/VLOOKUP(C176,MAESTRO!$A:$C,3,FALSE)))</f>
        <v/>
      </c>
      <c r="L176" s="9">
        <f>IF(AND(A176="",C176=""),"",IF(A176="","Falta el tipo",IF(C176="","Falta el código",IF(ISNA(MATCH(C176,MAESTRO!$A:$A,0)),"El código no está en el maestro",IF(AND(N(D176)&gt;0,N(VLOOKUP(C176,MAESTRO!$A:$D,4,FALSE))=0),"Ese código no tiene cajas por estiba: escribe cajas",IF(AND(IFERROR(VLOOKUP(A176,TIPOS!$A:$C,3,FALSE),"")="Sí",B176=""),"Falta el N° de entrega",IF(N(I176)&lt;=0,"Falta la cantidad","OK")))))))</f>
        <v/>
      </c>
    </row>
    <row r="177">
      <c r="A177" s="7" t="n"/>
      <c r="B177" s="7" t="n"/>
      <c r="C177" s="7" t="n"/>
      <c r="D177" s="8" t="n"/>
      <c r="E177" s="8" t="n"/>
      <c r="F177" s="8" t="n"/>
      <c r="G177" s="9">
        <f>IF(C177="","",IFERROR(VLOOKUP(C177,MAESTRO!$A:$B,2,FALSE),"—"))</f>
        <v/>
      </c>
      <c r="H177" s="9">
        <f>IF(A177="","",IFERROR(VLOOKUP(A177,TIPOS!$A:$B,2,FALSE),""))</f>
        <v/>
      </c>
      <c r="I177" s="10">
        <f>IF(C177="","",IFERROR((N(D177)*N(VLOOKUP(C177,MAESTRO!$A:$D,4,FALSE))+N(E177))*VLOOKUP(C177,MAESTRO!$A:$C,3,FALSE)+N(F177),""))</f>
        <v/>
      </c>
      <c r="J177" s="9">
        <f>IF(OR(C177="",IFERROR(VLOOKUP(A177,TIPOS!$A:$E,5,FALSE),"No")&lt;&gt;"Sí"),"",IFERROR(IF(VLOOKUP(C177,MAESTRO!$A:$E,5,FALSE)=0,"",VLOOKUP(C177,MAESTRO!$A:$E,5,FALSE)),""))</f>
        <v/>
      </c>
      <c r="K177" s="10">
        <f>IF(OR(J177="",N(I177)=0,IFERROR(VLOOKUP(A177,TIPOS!$A:$E,5,FALSE),"No")&lt;&gt;"Sí"),"",INT(I177/VLOOKUP(C177,MAESTRO!$A:$C,3,FALSE)))</f>
        <v/>
      </c>
      <c r="L177" s="9">
        <f>IF(AND(A177="",C177=""),"",IF(A177="","Falta el tipo",IF(C177="","Falta el código",IF(ISNA(MATCH(C177,MAESTRO!$A:$A,0)),"El código no está en el maestro",IF(AND(N(D177)&gt;0,N(VLOOKUP(C177,MAESTRO!$A:$D,4,FALSE))=0),"Ese código no tiene cajas por estiba: escribe cajas",IF(AND(IFERROR(VLOOKUP(A177,TIPOS!$A:$C,3,FALSE),"")="Sí",B177=""),"Falta el N° de entrega",IF(N(I177)&lt;=0,"Falta la cantidad","OK")))))))</f>
        <v/>
      </c>
    </row>
    <row r="178">
      <c r="A178" s="7" t="n"/>
      <c r="B178" s="7" t="n"/>
      <c r="C178" s="7" t="n"/>
      <c r="D178" s="8" t="n"/>
      <c r="E178" s="8" t="n"/>
      <c r="F178" s="8" t="n"/>
      <c r="G178" s="9">
        <f>IF(C178="","",IFERROR(VLOOKUP(C178,MAESTRO!$A:$B,2,FALSE),"—"))</f>
        <v/>
      </c>
      <c r="H178" s="9">
        <f>IF(A178="","",IFERROR(VLOOKUP(A178,TIPOS!$A:$B,2,FALSE),""))</f>
        <v/>
      </c>
      <c r="I178" s="10">
        <f>IF(C178="","",IFERROR((N(D178)*N(VLOOKUP(C178,MAESTRO!$A:$D,4,FALSE))+N(E178))*VLOOKUP(C178,MAESTRO!$A:$C,3,FALSE)+N(F178),""))</f>
        <v/>
      </c>
      <c r="J178" s="9">
        <f>IF(OR(C178="",IFERROR(VLOOKUP(A178,TIPOS!$A:$E,5,FALSE),"No")&lt;&gt;"Sí"),"",IFERROR(IF(VLOOKUP(C178,MAESTRO!$A:$E,5,FALSE)=0,"",VLOOKUP(C178,MAESTRO!$A:$E,5,FALSE)),""))</f>
        <v/>
      </c>
      <c r="K178" s="10">
        <f>IF(OR(J178="",N(I178)=0,IFERROR(VLOOKUP(A178,TIPOS!$A:$E,5,FALSE),"No")&lt;&gt;"Sí"),"",INT(I178/VLOOKUP(C178,MAESTRO!$A:$C,3,FALSE)))</f>
        <v/>
      </c>
      <c r="L178" s="9">
        <f>IF(AND(A178="",C178=""),"",IF(A178="","Falta el tipo",IF(C178="","Falta el código",IF(ISNA(MATCH(C178,MAESTRO!$A:$A,0)),"El código no está en el maestro",IF(AND(N(D178)&gt;0,N(VLOOKUP(C178,MAESTRO!$A:$D,4,FALSE))=0),"Ese código no tiene cajas por estiba: escribe cajas",IF(AND(IFERROR(VLOOKUP(A178,TIPOS!$A:$C,3,FALSE),"")="Sí",B178=""),"Falta el N° de entrega",IF(N(I178)&lt;=0,"Falta la cantidad","OK")))))))</f>
        <v/>
      </c>
    </row>
    <row r="179">
      <c r="A179" s="7" t="n"/>
      <c r="B179" s="7" t="n"/>
      <c r="C179" s="7" t="n"/>
      <c r="D179" s="8" t="n"/>
      <c r="E179" s="8" t="n"/>
      <c r="F179" s="8" t="n"/>
      <c r="G179" s="9">
        <f>IF(C179="","",IFERROR(VLOOKUP(C179,MAESTRO!$A:$B,2,FALSE),"—"))</f>
        <v/>
      </c>
      <c r="H179" s="9">
        <f>IF(A179="","",IFERROR(VLOOKUP(A179,TIPOS!$A:$B,2,FALSE),""))</f>
        <v/>
      </c>
      <c r="I179" s="10">
        <f>IF(C179="","",IFERROR((N(D179)*N(VLOOKUP(C179,MAESTRO!$A:$D,4,FALSE))+N(E179))*VLOOKUP(C179,MAESTRO!$A:$C,3,FALSE)+N(F179),""))</f>
        <v/>
      </c>
      <c r="J179" s="9">
        <f>IF(OR(C179="",IFERROR(VLOOKUP(A179,TIPOS!$A:$E,5,FALSE),"No")&lt;&gt;"Sí"),"",IFERROR(IF(VLOOKUP(C179,MAESTRO!$A:$E,5,FALSE)=0,"",VLOOKUP(C179,MAESTRO!$A:$E,5,FALSE)),""))</f>
        <v/>
      </c>
      <c r="K179" s="10">
        <f>IF(OR(J179="",N(I179)=0,IFERROR(VLOOKUP(A179,TIPOS!$A:$E,5,FALSE),"No")&lt;&gt;"Sí"),"",INT(I179/VLOOKUP(C179,MAESTRO!$A:$C,3,FALSE)))</f>
        <v/>
      </c>
      <c r="L179" s="9">
        <f>IF(AND(A179="",C179=""),"",IF(A179="","Falta el tipo",IF(C179="","Falta el código",IF(ISNA(MATCH(C179,MAESTRO!$A:$A,0)),"El código no está en el maestro",IF(AND(N(D179)&gt;0,N(VLOOKUP(C179,MAESTRO!$A:$D,4,FALSE))=0),"Ese código no tiene cajas por estiba: escribe cajas",IF(AND(IFERROR(VLOOKUP(A179,TIPOS!$A:$C,3,FALSE),"")="Sí",B179=""),"Falta el N° de entrega",IF(N(I179)&lt;=0,"Falta la cantidad","OK")))))))</f>
        <v/>
      </c>
    </row>
    <row r="180">
      <c r="A180" s="7" t="n"/>
      <c r="B180" s="7" t="n"/>
      <c r="C180" s="7" t="n"/>
      <c r="D180" s="8" t="n"/>
      <c r="E180" s="8" t="n"/>
      <c r="F180" s="8" t="n"/>
      <c r="G180" s="9">
        <f>IF(C180="","",IFERROR(VLOOKUP(C180,MAESTRO!$A:$B,2,FALSE),"—"))</f>
        <v/>
      </c>
      <c r="H180" s="9">
        <f>IF(A180="","",IFERROR(VLOOKUP(A180,TIPOS!$A:$B,2,FALSE),""))</f>
        <v/>
      </c>
      <c r="I180" s="10">
        <f>IF(C180="","",IFERROR((N(D180)*N(VLOOKUP(C180,MAESTRO!$A:$D,4,FALSE))+N(E180))*VLOOKUP(C180,MAESTRO!$A:$C,3,FALSE)+N(F180),""))</f>
        <v/>
      </c>
      <c r="J180" s="9">
        <f>IF(OR(C180="",IFERROR(VLOOKUP(A180,TIPOS!$A:$E,5,FALSE),"No")&lt;&gt;"Sí"),"",IFERROR(IF(VLOOKUP(C180,MAESTRO!$A:$E,5,FALSE)=0,"",VLOOKUP(C180,MAESTRO!$A:$E,5,FALSE)),""))</f>
        <v/>
      </c>
      <c r="K180" s="10">
        <f>IF(OR(J180="",N(I180)=0,IFERROR(VLOOKUP(A180,TIPOS!$A:$E,5,FALSE),"No")&lt;&gt;"Sí"),"",INT(I180/VLOOKUP(C180,MAESTRO!$A:$C,3,FALSE)))</f>
        <v/>
      </c>
      <c r="L180" s="9">
        <f>IF(AND(A180="",C180=""),"",IF(A180="","Falta el tipo",IF(C180="","Falta el código",IF(ISNA(MATCH(C180,MAESTRO!$A:$A,0)),"El código no está en el maestro",IF(AND(N(D180)&gt;0,N(VLOOKUP(C180,MAESTRO!$A:$D,4,FALSE))=0),"Ese código no tiene cajas por estiba: escribe cajas",IF(AND(IFERROR(VLOOKUP(A180,TIPOS!$A:$C,3,FALSE),"")="Sí",B180=""),"Falta el N° de entrega",IF(N(I180)&lt;=0,"Falta la cantidad","OK")))))))</f>
        <v/>
      </c>
    </row>
    <row r="181">
      <c r="A181" s="7" t="n"/>
      <c r="B181" s="7" t="n"/>
      <c r="C181" s="7" t="n"/>
      <c r="D181" s="8" t="n"/>
      <c r="E181" s="8" t="n"/>
      <c r="F181" s="8" t="n"/>
      <c r="G181" s="9">
        <f>IF(C181="","",IFERROR(VLOOKUP(C181,MAESTRO!$A:$B,2,FALSE),"—"))</f>
        <v/>
      </c>
      <c r="H181" s="9">
        <f>IF(A181="","",IFERROR(VLOOKUP(A181,TIPOS!$A:$B,2,FALSE),""))</f>
        <v/>
      </c>
      <c r="I181" s="10">
        <f>IF(C181="","",IFERROR((N(D181)*N(VLOOKUP(C181,MAESTRO!$A:$D,4,FALSE))+N(E181))*VLOOKUP(C181,MAESTRO!$A:$C,3,FALSE)+N(F181),""))</f>
        <v/>
      </c>
      <c r="J181" s="9">
        <f>IF(OR(C181="",IFERROR(VLOOKUP(A181,TIPOS!$A:$E,5,FALSE),"No")&lt;&gt;"Sí"),"",IFERROR(IF(VLOOKUP(C181,MAESTRO!$A:$E,5,FALSE)=0,"",VLOOKUP(C181,MAESTRO!$A:$E,5,FALSE)),""))</f>
        <v/>
      </c>
      <c r="K181" s="10">
        <f>IF(OR(J181="",N(I181)=0,IFERROR(VLOOKUP(A181,TIPOS!$A:$E,5,FALSE),"No")&lt;&gt;"Sí"),"",INT(I181/VLOOKUP(C181,MAESTRO!$A:$C,3,FALSE)))</f>
        <v/>
      </c>
      <c r="L181" s="9">
        <f>IF(AND(A181="",C181=""),"",IF(A181="","Falta el tipo",IF(C181="","Falta el código",IF(ISNA(MATCH(C181,MAESTRO!$A:$A,0)),"El código no está en el maestro",IF(AND(N(D181)&gt;0,N(VLOOKUP(C181,MAESTRO!$A:$D,4,FALSE))=0),"Ese código no tiene cajas por estiba: escribe cajas",IF(AND(IFERROR(VLOOKUP(A181,TIPOS!$A:$C,3,FALSE),"")="Sí",B181=""),"Falta el N° de entrega",IF(N(I181)&lt;=0,"Falta la cantidad","OK")))))))</f>
        <v/>
      </c>
    </row>
    <row r="182">
      <c r="A182" s="7" t="n"/>
      <c r="B182" s="7" t="n"/>
      <c r="C182" s="7" t="n"/>
      <c r="D182" s="8" t="n"/>
      <c r="E182" s="8" t="n"/>
      <c r="F182" s="8" t="n"/>
      <c r="G182" s="9">
        <f>IF(C182="","",IFERROR(VLOOKUP(C182,MAESTRO!$A:$B,2,FALSE),"—"))</f>
        <v/>
      </c>
      <c r="H182" s="9">
        <f>IF(A182="","",IFERROR(VLOOKUP(A182,TIPOS!$A:$B,2,FALSE),""))</f>
        <v/>
      </c>
      <c r="I182" s="10">
        <f>IF(C182="","",IFERROR((N(D182)*N(VLOOKUP(C182,MAESTRO!$A:$D,4,FALSE))+N(E182))*VLOOKUP(C182,MAESTRO!$A:$C,3,FALSE)+N(F182),""))</f>
        <v/>
      </c>
      <c r="J182" s="9">
        <f>IF(OR(C182="",IFERROR(VLOOKUP(A182,TIPOS!$A:$E,5,FALSE),"No")&lt;&gt;"Sí"),"",IFERROR(IF(VLOOKUP(C182,MAESTRO!$A:$E,5,FALSE)=0,"",VLOOKUP(C182,MAESTRO!$A:$E,5,FALSE)),""))</f>
        <v/>
      </c>
      <c r="K182" s="10">
        <f>IF(OR(J182="",N(I182)=0,IFERROR(VLOOKUP(A182,TIPOS!$A:$E,5,FALSE),"No")&lt;&gt;"Sí"),"",INT(I182/VLOOKUP(C182,MAESTRO!$A:$C,3,FALSE)))</f>
        <v/>
      </c>
      <c r="L182" s="9">
        <f>IF(AND(A182="",C182=""),"",IF(A182="","Falta el tipo",IF(C182="","Falta el código",IF(ISNA(MATCH(C182,MAESTRO!$A:$A,0)),"El código no está en el maestro",IF(AND(N(D182)&gt;0,N(VLOOKUP(C182,MAESTRO!$A:$D,4,FALSE))=0),"Ese código no tiene cajas por estiba: escribe cajas",IF(AND(IFERROR(VLOOKUP(A182,TIPOS!$A:$C,3,FALSE),"")="Sí",B182=""),"Falta el N° de entrega",IF(N(I182)&lt;=0,"Falta la cantidad","OK")))))))</f>
        <v/>
      </c>
    </row>
    <row r="183">
      <c r="A183" s="7" t="n"/>
      <c r="B183" s="7" t="n"/>
      <c r="C183" s="7" t="n"/>
      <c r="D183" s="8" t="n"/>
      <c r="E183" s="8" t="n"/>
      <c r="F183" s="8" t="n"/>
      <c r="G183" s="9">
        <f>IF(C183="","",IFERROR(VLOOKUP(C183,MAESTRO!$A:$B,2,FALSE),"—"))</f>
        <v/>
      </c>
      <c r="H183" s="9">
        <f>IF(A183="","",IFERROR(VLOOKUP(A183,TIPOS!$A:$B,2,FALSE),""))</f>
        <v/>
      </c>
      <c r="I183" s="10">
        <f>IF(C183="","",IFERROR((N(D183)*N(VLOOKUP(C183,MAESTRO!$A:$D,4,FALSE))+N(E183))*VLOOKUP(C183,MAESTRO!$A:$C,3,FALSE)+N(F183),""))</f>
        <v/>
      </c>
      <c r="J183" s="9">
        <f>IF(OR(C183="",IFERROR(VLOOKUP(A183,TIPOS!$A:$E,5,FALSE),"No")&lt;&gt;"Sí"),"",IFERROR(IF(VLOOKUP(C183,MAESTRO!$A:$E,5,FALSE)=0,"",VLOOKUP(C183,MAESTRO!$A:$E,5,FALSE)),""))</f>
        <v/>
      </c>
      <c r="K183" s="10">
        <f>IF(OR(J183="",N(I183)=0,IFERROR(VLOOKUP(A183,TIPOS!$A:$E,5,FALSE),"No")&lt;&gt;"Sí"),"",INT(I183/VLOOKUP(C183,MAESTRO!$A:$C,3,FALSE)))</f>
        <v/>
      </c>
      <c r="L183" s="9">
        <f>IF(AND(A183="",C183=""),"",IF(A183="","Falta el tipo",IF(C183="","Falta el código",IF(ISNA(MATCH(C183,MAESTRO!$A:$A,0)),"El código no está en el maestro",IF(AND(N(D183)&gt;0,N(VLOOKUP(C183,MAESTRO!$A:$D,4,FALSE))=0),"Ese código no tiene cajas por estiba: escribe cajas",IF(AND(IFERROR(VLOOKUP(A183,TIPOS!$A:$C,3,FALSE),"")="Sí",B183=""),"Falta el N° de entrega",IF(N(I183)&lt;=0,"Falta la cantidad","OK")))))))</f>
        <v/>
      </c>
    </row>
    <row r="184">
      <c r="A184" s="7" t="n"/>
      <c r="B184" s="7" t="n"/>
      <c r="C184" s="7" t="n"/>
      <c r="D184" s="8" t="n"/>
      <c r="E184" s="8" t="n"/>
      <c r="F184" s="8" t="n"/>
      <c r="G184" s="9">
        <f>IF(C184="","",IFERROR(VLOOKUP(C184,MAESTRO!$A:$B,2,FALSE),"—"))</f>
        <v/>
      </c>
      <c r="H184" s="9">
        <f>IF(A184="","",IFERROR(VLOOKUP(A184,TIPOS!$A:$B,2,FALSE),""))</f>
        <v/>
      </c>
      <c r="I184" s="10">
        <f>IF(C184="","",IFERROR((N(D184)*N(VLOOKUP(C184,MAESTRO!$A:$D,4,FALSE))+N(E184))*VLOOKUP(C184,MAESTRO!$A:$C,3,FALSE)+N(F184),""))</f>
        <v/>
      </c>
      <c r="J184" s="9">
        <f>IF(OR(C184="",IFERROR(VLOOKUP(A184,TIPOS!$A:$E,5,FALSE),"No")&lt;&gt;"Sí"),"",IFERROR(IF(VLOOKUP(C184,MAESTRO!$A:$E,5,FALSE)=0,"",VLOOKUP(C184,MAESTRO!$A:$E,5,FALSE)),""))</f>
        <v/>
      </c>
      <c r="K184" s="10">
        <f>IF(OR(J184="",N(I184)=0,IFERROR(VLOOKUP(A184,TIPOS!$A:$E,5,FALSE),"No")&lt;&gt;"Sí"),"",INT(I184/VLOOKUP(C184,MAESTRO!$A:$C,3,FALSE)))</f>
        <v/>
      </c>
      <c r="L184" s="9">
        <f>IF(AND(A184="",C184=""),"",IF(A184="","Falta el tipo",IF(C184="","Falta el código",IF(ISNA(MATCH(C184,MAESTRO!$A:$A,0)),"El código no está en el maestro",IF(AND(N(D184)&gt;0,N(VLOOKUP(C184,MAESTRO!$A:$D,4,FALSE))=0),"Ese código no tiene cajas por estiba: escribe cajas",IF(AND(IFERROR(VLOOKUP(A184,TIPOS!$A:$C,3,FALSE),"")="Sí",B184=""),"Falta el N° de entrega",IF(N(I184)&lt;=0,"Falta la cantidad","OK")))))))</f>
        <v/>
      </c>
    </row>
    <row r="185">
      <c r="A185" s="7" t="n"/>
      <c r="B185" s="7" t="n"/>
      <c r="C185" s="7" t="n"/>
      <c r="D185" s="8" t="n"/>
      <c r="E185" s="8" t="n"/>
      <c r="F185" s="8" t="n"/>
      <c r="G185" s="9">
        <f>IF(C185="","",IFERROR(VLOOKUP(C185,MAESTRO!$A:$B,2,FALSE),"—"))</f>
        <v/>
      </c>
      <c r="H185" s="9">
        <f>IF(A185="","",IFERROR(VLOOKUP(A185,TIPOS!$A:$B,2,FALSE),""))</f>
        <v/>
      </c>
      <c r="I185" s="10">
        <f>IF(C185="","",IFERROR((N(D185)*N(VLOOKUP(C185,MAESTRO!$A:$D,4,FALSE))+N(E185))*VLOOKUP(C185,MAESTRO!$A:$C,3,FALSE)+N(F185),""))</f>
        <v/>
      </c>
      <c r="J185" s="9">
        <f>IF(OR(C185="",IFERROR(VLOOKUP(A185,TIPOS!$A:$E,5,FALSE),"No")&lt;&gt;"Sí"),"",IFERROR(IF(VLOOKUP(C185,MAESTRO!$A:$E,5,FALSE)=0,"",VLOOKUP(C185,MAESTRO!$A:$E,5,FALSE)),""))</f>
        <v/>
      </c>
      <c r="K185" s="10">
        <f>IF(OR(J185="",N(I185)=0,IFERROR(VLOOKUP(A185,TIPOS!$A:$E,5,FALSE),"No")&lt;&gt;"Sí"),"",INT(I185/VLOOKUP(C185,MAESTRO!$A:$C,3,FALSE)))</f>
        <v/>
      </c>
      <c r="L185" s="9">
        <f>IF(AND(A185="",C185=""),"",IF(A185="","Falta el tipo",IF(C185="","Falta el código",IF(ISNA(MATCH(C185,MAESTRO!$A:$A,0)),"El código no está en el maestro",IF(AND(N(D185)&gt;0,N(VLOOKUP(C185,MAESTRO!$A:$D,4,FALSE))=0),"Ese código no tiene cajas por estiba: escribe cajas",IF(AND(IFERROR(VLOOKUP(A185,TIPOS!$A:$C,3,FALSE),"")="Sí",B185=""),"Falta el N° de entrega",IF(N(I185)&lt;=0,"Falta la cantidad","OK")))))))</f>
        <v/>
      </c>
    </row>
    <row r="186">
      <c r="A186" s="7" t="n"/>
      <c r="B186" s="7" t="n"/>
      <c r="C186" s="7" t="n"/>
      <c r="D186" s="8" t="n"/>
      <c r="E186" s="8" t="n"/>
      <c r="F186" s="8" t="n"/>
      <c r="G186" s="9">
        <f>IF(C186="","",IFERROR(VLOOKUP(C186,MAESTRO!$A:$B,2,FALSE),"—"))</f>
        <v/>
      </c>
      <c r="H186" s="9">
        <f>IF(A186="","",IFERROR(VLOOKUP(A186,TIPOS!$A:$B,2,FALSE),""))</f>
        <v/>
      </c>
      <c r="I186" s="10">
        <f>IF(C186="","",IFERROR((N(D186)*N(VLOOKUP(C186,MAESTRO!$A:$D,4,FALSE))+N(E186))*VLOOKUP(C186,MAESTRO!$A:$C,3,FALSE)+N(F186),""))</f>
        <v/>
      </c>
      <c r="J186" s="9">
        <f>IF(OR(C186="",IFERROR(VLOOKUP(A186,TIPOS!$A:$E,5,FALSE),"No")&lt;&gt;"Sí"),"",IFERROR(IF(VLOOKUP(C186,MAESTRO!$A:$E,5,FALSE)=0,"",VLOOKUP(C186,MAESTRO!$A:$E,5,FALSE)),""))</f>
        <v/>
      </c>
      <c r="K186" s="10">
        <f>IF(OR(J186="",N(I186)=0,IFERROR(VLOOKUP(A186,TIPOS!$A:$E,5,FALSE),"No")&lt;&gt;"Sí"),"",INT(I186/VLOOKUP(C186,MAESTRO!$A:$C,3,FALSE)))</f>
        <v/>
      </c>
      <c r="L186" s="9">
        <f>IF(AND(A186="",C186=""),"",IF(A186="","Falta el tipo",IF(C186="","Falta el código",IF(ISNA(MATCH(C186,MAESTRO!$A:$A,0)),"El código no está en el maestro",IF(AND(N(D186)&gt;0,N(VLOOKUP(C186,MAESTRO!$A:$D,4,FALSE))=0),"Ese código no tiene cajas por estiba: escribe cajas",IF(AND(IFERROR(VLOOKUP(A186,TIPOS!$A:$C,3,FALSE),"")="Sí",B186=""),"Falta el N° de entrega",IF(N(I186)&lt;=0,"Falta la cantidad","OK")))))))</f>
        <v/>
      </c>
    </row>
    <row r="187">
      <c r="A187" s="7" t="n"/>
      <c r="B187" s="7" t="n"/>
      <c r="C187" s="7" t="n"/>
      <c r="D187" s="8" t="n"/>
      <c r="E187" s="8" t="n"/>
      <c r="F187" s="8" t="n"/>
      <c r="G187" s="9">
        <f>IF(C187="","",IFERROR(VLOOKUP(C187,MAESTRO!$A:$B,2,FALSE),"—"))</f>
        <v/>
      </c>
      <c r="H187" s="9">
        <f>IF(A187="","",IFERROR(VLOOKUP(A187,TIPOS!$A:$B,2,FALSE),""))</f>
        <v/>
      </c>
      <c r="I187" s="10">
        <f>IF(C187="","",IFERROR((N(D187)*N(VLOOKUP(C187,MAESTRO!$A:$D,4,FALSE))+N(E187))*VLOOKUP(C187,MAESTRO!$A:$C,3,FALSE)+N(F187),""))</f>
        <v/>
      </c>
      <c r="J187" s="9">
        <f>IF(OR(C187="",IFERROR(VLOOKUP(A187,TIPOS!$A:$E,5,FALSE),"No")&lt;&gt;"Sí"),"",IFERROR(IF(VLOOKUP(C187,MAESTRO!$A:$E,5,FALSE)=0,"",VLOOKUP(C187,MAESTRO!$A:$E,5,FALSE)),""))</f>
        <v/>
      </c>
      <c r="K187" s="10">
        <f>IF(OR(J187="",N(I187)=0,IFERROR(VLOOKUP(A187,TIPOS!$A:$E,5,FALSE),"No")&lt;&gt;"Sí"),"",INT(I187/VLOOKUP(C187,MAESTRO!$A:$C,3,FALSE)))</f>
        <v/>
      </c>
      <c r="L187" s="9">
        <f>IF(AND(A187="",C187=""),"",IF(A187="","Falta el tipo",IF(C187="","Falta el código",IF(ISNA(MATCH(C187,MAESTRO!$A:$A,0)),"El código no está en el maestro",IF(AND(N(D187)&gt;0,N(VLOOKUP(C187,MAESTRO!$A:$D,4,FALSE))=0),"Ese código no tiene cajas por estiba: escribe cajas",IF(AND(IFERROR(VLOOKUP(A187,TIPOS!$A:$C,3,FALSE),"")="Sí",B187=""),"Falta el N° de entrega",IF(N(I187)&lt;=0,"Falta la cantidad","OK")))))))</f>
        <v/>
      </c>
    </row>
    <row r="188">
      <c r="A188" s="7" t="n"/>
      <c r="B188" s="7" t="n"/>
      <c r="C188" s="7" t="n"/>
      <c r="D188" s="8" t="n"/>
      <c r="E188" s="8" t="n"/>
      <c r="F188" s="8" t="n"/>
      <c r="G188" s="9">
        <f>IF(C188="","",IFERROR(VLOOKUP(C188,MAESTRO!$A:$B,2,FALSE),"—"))</f>
        <v/>
      </c>
      <c r="H188" s="9">
        <f>IF(A188="","",IFERROR(VLOOKUP(A188,TIPOS!$A:$B,2,FALSE),""))</f>
        <v/>
      </c>
      <c r="I188" s="10">
        <f>IF(C188="","",IFERROR((N(D188)*N(VLOOKUP(C188,MAESTRO!$A:$D,4,FALSE))+N(E188))*VLOOKUP(C188,MAESTRO!$A:$C,3,FALSE)+N(F188),""))</f>
        <v/>
      </c>
      <c r="J188" s="9">
        <f>IF(OR(C188="",IFERROR(VLOOKUP(A188,TIPOS!$A:$E,5,FALSE),"No")&lt;&gt;"Sí"),"",IFERROR(IF(VLOOKUP(C188,MAESTRO!$A:$E,5,FALSE)=0,"",VLOOKUP(C188,MAESTRO!$A:$E,5,FALSE)),""))</f>
        <v/>
      </c>
      <c r="K188" s="10">
        <f>IF(OR(J188="",N(I188)=0,IFERROR(VLOOKUP(A188,TIPOS!$A:$E,5,FALSE),"No")&lt;&gt;"Sí"),"",INT(I188/VLOOKUP(C188,MAESTRO!$A:$C,3,FALSE)))</f>
        <v/>
      </c>
      <c r="L188" s="9">
        <f>IF(AND(A188="",C188=""),"",IF(A188="","Falta el tipo",IF(C188="","Falta el código",IF(ISNA(MATCH(C188,MAESTRO!$A:$A,0)),"El código no está en el maestro",IF(AND(N(D188)&gt;0,N(VLOOKUP(C188,MAESTRO!$A:$D,4,FALSE))=0),"Ese código no tiene cajas por estiba: escribe cajas",IF(AND(IFERROR(VLOOKUP(A188,TIPOS!$A:$C,3,FALSE),"")="Sí",B188=""),"Falta el N° de entrega",IF(N(I188)&lt;=0,"Falta la cantidad","OK")))))))</f>
        <v/>
      </c>
    </row>
    <row r="189">
      <c r="A189" s="7" t="n"/>
      <c r="B189" s="7" t="n"/>
      <c r="C189" s="7" t="n"/>
      <c r="D189" s="8" t="n"/>
      <c r="E189" s="8" t="n"/>
      <c r="F189" s="8" t="n"/>
      <c r="G189" s="9">
        <f>IF(C189="","",IFERROR(VLOOKUP(C189,MAESTRO!$A:$B,2,FALSE),"—"))</f>
        <v/>
      </c>
      <c r="H189" s="9">
        <f>IF(A189="","",IFERROR(VLOOKUP(A189,TIPOS!$A:$B,2,FALSE),""))</f>
        <v/>
      </c>
      <c r="I189" s="10">
        <f>IF(C189="","",IFERROR((N(D189)*N(VLOOKUP(C189,MAESTRO!$A:$D,4,FALSE))+N(E189))*VLOOKUP(C189,MAESTRO!$A:$C,3,FALSE)+N(F189),""))</f>
        <v/>
      </c>
      <c r="J189" s="9">
        <f>IF(OR(C189="",IFERROR(VLOOKUP(A189,TIPOS!$A:$E,5,FALSE),"No")&lt;&gt;"Sí"),"",IFERROR(IF(VLOOKUP(C189,MAESTRO!$A:$E,5,FALSE)=0,"",VLOOKUP(C189,MAESTRO!$A:$E,5,FALSE)),""))</f>
        <v/>
      </c>
      <c r="K189" s="10">
        <f>IF(OR(J189="",N(I189)=0,IFERROR(VLOOKUP(A189,TIPOS!$A:$E,5,FALSE),"No")&lt;&gt;"Sí"),"",INT(I189/VLOOKUP(C189,MAESTRO!$A:$C,3,FALSE)))</f>
        <v/>
      </c>
      <c r="L189" s="9">
        <f>IF(AND(A189="",C189=""),"",IF(A189="","Falta el tipo",IF(C189="","Falta el código",IF(ISNA(MATCH(C189,MAESTRO!$A:$A,0)),"El código no está en el maestro",IF(AND(N(D189)&gt;0,N(VLOOKUP(C189,MAESTRO!$A:$D,4,FALSE))=0),"Ese código no tiene cajas por estiba: escribe cajas",IF(AND(IFERROR(VLOOKUP(A189,TIPOS!$A:$C,3,FALSE),"")="Sí",B189=""),"Falta el N° de entrega",IF(N(I189)&lt;=0,"Falta la cantidad","OK")))))))</f>
        <v/>
      </c>
    </row>
    <row r="190">
      <c r="A190" s="7" t="n"/>
      <c r="B190" s="7" t="n"/>
      <c r="C190" s="7" t="n"/>
      <c r="D190" s="8" t="n"/>
      <c r="E190" s="8" t="n"/>
      <c r="F190" s="8" t="n"/>
      <c r="G190" s="9">
        <f>IF(C190="","",IFERROR(VLOOKUP(C190,MAESTRO!$A:$B,2,FALSE),"—"))</f>
        <v/>
      </c>
      <c r="H190" s="9">
        <f>IF(A190="","",IFERROR(VLOOKUP(A190,TIPOS!$A:$B,2,FALSE),""))</f>
        <v/>
      </c>
      <c r="I190" s="10">
        <f>IF(C190="","",IFERROR((N(D190)*N(VLOOKUP(C190,MAESTRO!$A:$D,4,FALSE))+N(E190))*VLOOKUP(C190,MAESTRO!$A:$C,3,FALSE)+N(F190),""))</f>
        <v/>
      </c>
      <c r="J190" s="9">
        <f>IF(OR(C190="",IFERROR(VLOOKUP(A190,TIPOS!$A:$E,5,FALSE),"No")&lt;&gt;"Sí"),"",IFERROR(IF(VLOOKUP(C190,MAESTRO!$A:$E,5,FALSE)=0,"",VLOOKUP(C190,MAESTRO!$A:$E,5,FALSE)),""))</f>
        <v/>
      </c>
      <c r="K190" s="10">
        <f>IF(OR(J190="",N(I190)=0,IFERROR(VLOOKUP(A190,TIPOS!$A:$E,5,FALSE),"No")&lt;&gt;"Sí"),"",INT(I190/VLOOKUP(C190,MAESTRO!$A:$C,3,FALSE)))</f>
        <v/>
      </c>
      <c r="L190" s="9">
        <f>IF(AND(A190="",C190=""),"",IF(A190="","Falta el tipo",IF(C190="","Falta el código",IF(ISNA(MATCH(C190,MAESTRO!$A:$A,0)),"El código no está en el maestro",IF(AND(N(D190)&gt;0,N(VLOOKUP(C190,MAESTRO!$A:$D,4,FALSE))=0),"Ese código no tiene cajas por estiba: escribe cajas",IF(AND(IFERROR(VLOOKUP(A190,TIPOS!$A:$C,3,FALSE),"")="Sí",B190=""),"Falta el N° de entrega",IF(N(I190)&lt;=0,"Falta la cantidad","OK")))))))</f>
        <v/>
      </c>
    </row>
    <row r="191">
      <c r="A191" s="7" t="n"/>
      <c r="B191" s="7" t="n"/>
      <c r="C191" s="7" t="n"/>
      <c r="D191" s="8" t="n"/>
      <c r="E191" s="8" t="n"/>
      <c r="F191" s="8" t="n"/>
      <c r="G191" s="9">
        <f>IF(C191="","",IFERROR(VLOOKUP(C191,MAESTRO!$A:$B,2,FALSE),"—"))</f>
        <v/>
      </c>
      <c r="H191" s="9">
        <f>IF(A191="","",IFERROR(VLOOKUP(A191,TIPOS!$A:$B,2,FALSE),""))</f>
        <v/>
      </c>
      <c r="I191" s="10">
        <f>IF(C191="","",IFERROR((N(D191)*N(VLOOKUP(C191,MAESTRO!$A:$D,4,FALSE))+N(E191))*VLOOKUP(C191,MAESTRO!$A:$C,3,FALSE)+N(F191),""))</f>
        <v/>
      </c>
      <c r="J191" s="9">
        <f>IF(OR(C191="",IFERROR(VLOOKUP(A191,TIPOS!$A:$E,5,FALSE),"No")&lt;&gt;"Sí"),"",IFERROR(IF(VLOOKUP(C191,MAESTRO!$A:$E,5,FALSE)=0,"",VLOOKUP(C191,MAESTRO!$A:$E,5,FALSE)),""))</f>
        <v/>
      </c>
      <c r="K191" s="10">
        <f>IF(OR(J191="",N(I191)=0,IFERROR(VLOOKUP(A191,TIPOS!$A:$E,5,FALSE),"No")&lt;&gt;"Sí"),"",INT(I191/VLOOKUP(C191,MAESTRO!$A:$C,3,FALSE)))</f>
        <v/>
      </c>
      <c r="L191" s="9">
        <f>IF(AND(A191="",C191=""),"",IF(A191="","Falta el tipo",IF(C191="","Falta el código",IF(ISNA(MATCH(C191,MAESTRO!$A:$A,0)),"El código no está en el maestro",IF(AND(N(D191)&gt;0,N(VLOOKUP(C191,MAESTRO!$A:$D,4,FALSE))=0),"Ese código no tiene cajas por estiba: escribe cajas",IF(AND(IFERROR(VLOOKUP(A191,TIPOS!$A:$C,3,FALSE),"")="Sí",B191=""),"Falta el N° de entrega",IF(N(I191)&lt;=0,"Falta la cantidad","OK")))))))</f>
        <v/>
      </c>
    </row>
    <row r="192">
      <c r="A192" s="7" t="n"/>
      <c r="B192" s="7" t="n"/>
      <c r="C192" s="7" t="n"/>
      <c r="D192" s="8" t="n"/>
      <c r="E192" s="8" t="n"/>
      <c r="F192" s="8" t="n"/>
      <c r="G192" s="9">
        <f>IF(C192="","",IFERROR(VLOOKUP(C192,MAESTRO!$A:$B,2,FALSE),"—"))</f>
        <v/>
      </c>
      <c r="H192" s="9">
        <f>IF(A192="","",IFERROR(VLOOKUP(A192,TIPOS!$A:$B,2,FALSE),""))</f>
        <v/>
      </c>
      <c r="I192" s="10">
        <f>IF(C192="","",IFERROR((N(D192)*N(VLOOKUP(C192,MAESTRO!$A:$D,4,FALSE))+N(E192))*VLOOKUP(C192,MAESTRO!$A:$C,3,FALSE)+N(F192),""))</f>
        <v/>
      </c>
      <c r="J192" s="9">
        <f>IF(OR(C192="",IFERROR(VLOOKUP(A192,TIPOS!$A:$E,5,FALSE),"No")&lt;&gt;"Sí"),"",IFERROR(IF(VLOOKUP(C192,MAESTRO!$A:$E,5,FALSE)=0,"",VLOOKUP(C192,MAESTRO!$A:$E,5,FALSE)),""))</f>
        <v/>
      </c>
      <c r="K192" s="10">
        <f>IF(OR(J192="",N(I192)=0,IFERROR(VLOOKUP(A192,TIPOS!$A:$E,5,FALSE),"No")&lt;&gt;"Sí"),"",INT(I192/VLOOKUP(C192,MAESTRO!$A:$C,3,FALSE)))</f>
        <v/>
      </c>
      <c r="L192" s="9">
        <f>IF(AND(A192="",C192=""),"",IF(A192="","Falta el tipo",IF(C192="","Falta el código",IF(ISNA(MATCH(C192,MAESTRO!$A:$A,0)),"El código no está en el maestro",IF(AND(N(D192)&gt;0,N(VLOOKUP(C192,MAESTRO!$A:$D,4,FALSE))=0),"Ese código no tiene cajas por estiba: escribe cajas",IF(AND(IFERROR(VLOOKUP(A192,TIPOS!$A:$C,3,FALSE),"")="Sí",B192=""),"Falta el N° de entrega",IF(N(I192)&lt;=0,"Falta la cantidad","OK")))))))</f>
        <v/>
      </c>
    </row>
    <row r="193">
      <c r="A193" s="7" t="n"/>
      <c r="B193" s="7" t="n"/>
      <c r="C193" s="7" t="n"/>
      <c r="D193" s="8" t="n"/>
      <c r="E193" s="8" t="n"/>
      <c r="F193" s="8" t="n"/>
      <c r="G193" s="9">
        <f>IF(C193="","",IFERROR(VLOOKUP(C193,MAESTRO!$A:$B,2,FALSE),"—"))</f>
        <v/>
      </c>
      <c r="H193" s="9">
        <f>IF(A193="","",IFERROR(VLOOKUP(A193,TIPOS!$A:$B,2,FALSE),""))</f>
        <v/>
      </c>
      <c r="I193" s="10">
        <f>IF(C193="","",IFERROR((N(D193)*N(VLOOKUP(C193,MAESTRO!$A:$D,4,FALSE))+N(E193))*VLOOKUP(C193,MAESTRO!$A:$C,3,FALSE)+N(F193),""))</f>
        <v/>
      </c>
      <c r="J193" s="9">
        <f>IF(OR(C193="",IFERROR(VLOOKUP(A193,TIPOS!$A:$E,5,FALSE),"No")&lt;&gt;"Sí"),"",IFERROR(IF(VLOOKUP(C193,MAESTRO!$A:$E,5,FALSE)=0,"",VLOOKUP(C193,MAESTRO!$A:$E,5,FALSE)),""))</f>
        <v/>
      </c>
      <c r="K193" s="10">
        <f>IF(OR(J193="",N(I193)=0,IFERROR(VLOOKUP(A193,TIPOS!$A:$E,5,FALSE),"No")&lt;&gt;"Sí"),"",INT(I193/VLOOKUP(C193,MAESTRO!$A:$C,3,FALSE)))</f>
        <v/>
      </c>
      <c r="L193" s="9">
        <f>IF(AND(A193="",C193=""),"",IF(A193="","Falta el tipo",IF(C193="","Falta el código",IF(ISNA(MATCH(C193,MAESTRO!$A:$A,0)),"El código no está en el maestro",IF(AND(N(D193)&gt;0,N(VLOOKUP(C193,MAESTRO!$A:$D,4,FALSE))=0),"Ese código no tiene cajas por estiba: escribe cajas",IF(AND(IFERROR(VLOOKUP(A193,TIPOS!$A:$C,3,FALSE),"")="Sí",B193=""),"Falta el N° de entrega",IF(N(I193)&lt;=0,"Falta la cantidad","OK")))))))</f>
        <v/>
      </c>
    </row>
    <row r="194">
      <c r="A194" s="7" t="n"/>
      <c r="B194" s="7" t="n"/>
      <c r="C194" s="7" t="n"/>
      <c r="D194" s="8" t="n"/>
      <c r="E194" s="8" t="n"/>
      <c r="F194" s="8" t="n"/>
      <c r="G194" s="9">
        <f>IF(C194="","",IFERROR(VLOOKUP(C194,MAESTRO!$A:$B,2,FALSE),"—"))</f>
        <v/>
      </c>
      <c r="H194" s="9">
        <f>IF(A194="","",IFERROR(VLOOKUP(A194,TIPOS!$A:$B,2,FALSE),""))</f>
        <v/>
      </c>
      <c r="I194" s="10">
        <f>IF(C194="","",IFERROR((N(D194)*N(VLOOKUP(C194,MAESTRO!$A:$D,4,FALSE))+N(E194))*VLOOKUP(C194,MAESTRO!$A:$C,3,FALSE)+N(F194),""))</f>
        <v/>
      </c>
      <c r="J194" s="9">
        <f>IF(OR(C194="",IFERROR(VLOOKUP(A194,TIPOS!$A:$E,5,FALSE),"No")&lt;&gt;"Sí"),"",IFERROR(IF(VLOOKUP(C194,MAESTRO!$A:$E,5,FALSE)=0,"",VLOOKUP(C194,MAESTRO!$A:$E,5,FALSE)),""))</f>
        <v/>
      </c>
      <c r="K194" s="10">
        <f>IF(OR(J194="",N(I194)=0,IFERROR(VLOOKUP(A194,TIPOS!$A:$E,5,FALSE),"No")&lt;&gt;"Sí"),"",INT(I194/VLOOKUP(C194,MAESTRO!$A:$C,3,FALSE)))</f>
        <v/>
      </c>
      <c r="L194" s="9">
        <f>IF(AND(A194="",C194=""),"",IF(A194="","Falta el tipo",IF(C194="","Falta el código",IF(ISNA(MATCH(C194,MAESTRO!$A:$A,0)),"El código no está en el maestro",IF(AND(N(D194)&gt;0,N(VLOOKUP(C194,MAESTRO!$A:$D,4,FALSE))=0),"Ese código no tiene cajas por estiba: escribe cajas",IF(AND(IFERROR(VLOOKUP(A194,TIPOS!$A:$C,3,FALSE),"")="Sí",B194=""),"Falta el N° de entrega",IF(N(I194)&lt;=0,"Falta la cantidad","OK")))))))</f>
        <v/>
      </c>
    </row>
    <row r="195">
      <c r="A195" s="7" t="n"/>
      <c r="B195" s="7" t="n"/>
      <c r="C195" s="7" t="n"/>
      <c r="D195" s="8" t="n"/>
      <c r="E195" s="8" t="n"/>
      <c r="F195" s="8" t="n"/>
      <c r="G195" s="9">
        <f>IF(C195="","",IFERROR(VLOOKUP(C195,MAESTRO!$A:$B,2,FALSE),"—"))</f>
        <v/>
      </c>
      <c r="H195" s="9">
        <f>IF(A195="","",IFERROR(VLOOKUP(A195,TIPOS!$A:$B,2,FALSE),""))</f>
        <v/>
      </c>
      <c r="I195" s="10">
        <f>IF(C195="","",IFERROR((N(D195)*N(VLOOKUP(C195,MAESTRO!$A:$D,4,FALSE))+N(E195))*VLOOKUP(C195,MAESTRO!$A:$C,3,FALSE)+N(F195),""))</f>
        <v/>
      </c>
      <c r="J195" s="9">
        <f>IF(OR(C195="",IFERROR(VLOOKUP(A195,TIPOS!$A:$E,5,FALSE),"No")&lt;&gt;"Sí"),"",IFERROR(IF(VLOOKUP(C195,MAESTRO!$A:$E,5,FALSE)=0,"",VLOOKUP(C195,MAESTRO!$A:$E,5,FALSE)),""))</f>
        <v/>
      </c>
      <c r="K195" s="10">
        <f>IF(OR(J195="",N(I195)=0,IFERROR(VLOOKUP(A195,TIPOS!$A:$E,5,FALSE),"No")&lt;&gt;"Sí"),"",INT(I195/VLOOKUP(C195,MAESTRO!$A:$C,3,FALSE)))</f>
        <v/>
      </c>
      <c r="L195" s="9">
        <f>IF(AND(A195="",C195=""),"",IF(A195="","Falta el tipo",IF(C195="","Falta el código",IF(ISNA(MATCH(C195,MAESTRO!$A:$A,0)),"El código no está en el maestro",IF(AND(N(D195)&gt;0,N(VLOOKUP(C195,MAESTRO!$A:$D,4,FALSE))=0),"Ese código no tiene cajas por estiba: escribe cajas",IF(AND(IFERROR(VLOOKUP(A195,TIPOS!$A:$C,3,FALSE),"")="Sí",B195=""),"Falta el N° de entrega",IF(N(I195)&lt;=0,"Falta la cantidad","OK")))))))</f>
        <v/>
      </c>
    </row>
    <row r="196">
      <c r="A196" s="7" t="n"/>
      <c r="B196" s="7" t="n"/>
      <c r="C196" s="7" t="n"/>
      <c r="D196" s="8" t="n"/>
      <c r="E196" s="8" t="n"/>
      <c r="F196" s="8" t="n"/>
      <c r="G196" s="9">
        <f>IF(C196="","",IFERROR(VLOOKUP(C196,MAESTRO!$A:$B,2,FALSE),"—"))</f>
        <v/>
      </c>
      <c r="H196" s="9">
        <f>IF(A196="","",IFERROR(VLOOKUP(A196,TIPOS!$A:$B,2,FALSE),""))</f>
        <v/>
      </c>
      <c r="I196" s="10">
        <f>IF(C196="","",IFERROR((N(D196)*N(VLOOKUP(C196,MAESTRO!$A:$D,4,FALSE))+N(E196))*VLOOKUP(C196,MAESTRO!$A:$C,3,FALSE)+N(F196),""))</f>
        <v/>
      </c>
      <c r="J196" s="9">
        <f>IF(OR(C196="",IFERROR(VLOOKUP(A196,TIPOS!$A:$E,5,FALSE),"No")&lt;&gt;"Sí"),"",IFERROR(IF(VLOOKUP(C196,MAESTRO!$A:$E,5,FALSE)=0,"",VLOOKUP(C196,MAESTRO!$A:$E,5,FALSE)),""))</f>
        <v/>
      </c>
      <c r="K196" s="10">
        <f>IF(OR(J196="",N(I196)=0,IFERROR(VLOOKUP(A196,TIPOS!$A:$E,5,FALSE),"No")&lt;&gt;"Sí"),"",INT(I196/VLOOKUP(C196,MAESTRO!$A:$C,3,FALSE)))</f>
        <v/>
      </c>
      <c r="L196" s="9">
        <f>IF(AND(A196="",C196=""),"",IF(A196="","Falta el tipo",IF(C196="","Falta el código",IF(ISNA(MATCH(C196,MAESTRO!$A:$A,0)),"El código no está en el maestro",IF(AND(N(D196)&gt;0,N(VLOOKUP(C196,MAESTRO!$A:$D,4,FALSE))=0),"Ese código no tiene cajas por estiba: escribe cajas",IF(AND(IFERROR(VLOOKUP(A196,TIPOS!$A:$C,3,FALSE),"")="Sí",B196=""),"Falta el N° de entrega",IF(N(I196)&lt;=0,"Falta la cantidad","OK")))))))</f>
        <v/>
      </c>
    </row>
    <row r="197">
      <c r="A197" s="7" t="n"/>
      <c r="B197" s="7" t="n"/>
      <c r="C197" s="7" t="n"/>
      <c r="D197" s="8" t="n"/>
      <c r="E197" s="8" t="n"/>
      <c r="F197" s="8" t="n"/>
      <c r="G197" s="9">
        <f>IF(C197="","",IFERROR(VLOOKUP(C197,MAESTRO!$A:$B,2,FALSE),"—"))</f>
        <v/>
      </c>
      <c r="H197" s="9">
        <f>IF(A197="","",IFERROR(VLOOKUP(A197,TIPOS!$A:$B,2,FALSE),""))</f>
        <v/>
      </c>
      <c r="I197" s="10">
        <f>IF(C197="","",IFERROR((N(D197)*N(VLOOKUP(C197,MAESTRO!$A:$D,4,FALSE))+N(E197))*VLOOKUP(C197,MAESTRO!$A:$C,3,FALSE)+N(F197),""))</f>
        <v/>
      </c>
      <c r="J197" s="9">
        <f>IF(OR(C197="",IFERROR(VLOOKUP(A197,TIPOS!$A:$E,5,FALSE),"No")&lt;&gt;"Sí"),"",IFERROR(IF(VLOOKUP(C197,MAESTRO!$A:$E,5,FALSE)=0,"",VLOOKUP(C197,MAESTRO!$A:$E,5,FALSE)),""))</f>
        <v/>
      </c>
      <c r="K197" s="10">
        <f>IF(OR(J197="",N(I197)=0,IFERROR(VLOOKUP(A197,TIPOS!$A:$E,5,FALSE),"No")&lt;&gt;"Sí"),"",INT(I197/VLOOKUP(C197,MAESTRO!$A:$C,3,FALSE)))</f>
        <v/>
      </c>
      <c r="L197" s="9">
        <f>IF(AND(A197="",C197=""),"",IF(A197="","Falta el tipo",IF(C197="","Falta el código",IF(ISNA(MATCH(C197,MAESTRO!$A:$A,0)),"El código no está en el maestro",IF(AND(N(D197)&gt;0,N(VLOOKUP(C197,MAESTRO!$A:$D,4,FALSE))=0),"Ese código no tiene cajas por estiba: escribe cajas",IF(AND(IFERROR(VLOOKUP(A197,TIPOS!$A:$C,3,FALSE),"")="Sí",B197=""),"Falta el N° de entrega",IF(N(I197)&lt;=0,"Falta la cantidad","OK")))))))</f>
        <v/>
      </c>
    </row>
    <row r="198">
      <c r="A198" s="7" t="n"/>
      <c r="B198" s="7" t="n"/>
      <c r="C198" s="7" t="n"/>
      <c r="D198" s="8" t="n"/>
      <c r="E198" s="8" t="n"/>
      <c r="F198" s="8" t="n"/>
      <c r="G198" s="9">
        <f>IF(C198="","",IFERROR(VLOOKUP(C198,MAESTRO!$A:$B,2,FALSE),"—"))</f>
        <v/>
      </c>
      <c r="H198" s="9">
        <f>IF(A198="","",IFERROR(VLOOKUP(A198,TIPOS!$A:$B,2,FALSE),""))</f>
        <v/>
      </c>
      <c r="I198" s="10">
        <f>IF(C198="","",IFERROR((N(D198)*N(VLOOKUP(C198,MAESTRO!$A:$D,4,FALSE))+N(E198))*VLOOKUP(C198,MAESTRO!$A:$C,3,FALSE)+N(F198),""))</f>
        <v/>
      </c>
      <c r="J198" s="9">
        <f>IF(OR(C198="",IFERROR(VLOOKUP(A198,TIPOS!$A:$E,5,FALSE),"No")&lt;&gt;"Sí"),"",IFERROR(IF(VLOOKUP(C198,MAESTRO!$A:$E,5,FALSE)=0,"",VLOOKUP(C198,MAESTRO!$A:$E,5,FALSE)),""))</f>
        <v/>
      </c>
      <c r="K198" s="10">
        <f>IF(OR(J198="",N(I198)=0,IFERROR(VLOOKUP(A198,TIPOS!$A:$E,5,FALSE),"No")&lt;&gt;"Sí"),"",INT(I198/VLOOKUP(C198,MAESTRO!$A:$C,3,FALSE)))</f>
        <v/>
      </c>
      <c r="L198" s="9">
        <f>IF(AND(A198="",C198=""),"",IF(A198="","Falta el tipo",IF(C198="","Falta el código",IF(ISNA(MATCH(C198,MAESTRO!$A:$A,0)),"El código no está en el maestro",IF(AND(N(D198)&gt;0,N(VLOOKUP(C198,MAESTRO!$A:$D,4,FALSE))=0),"Ese código no tiene cajas por estiba: escribe cajas",IF(AND(IFERROR(VLOOKUP(A198,TIPOS!$A:$C,3,FALSE),"")="Sí",B198=""),"Falta el N° de entrega",IF(N(I198)&lt;=0,"Falta la cantidad","OK")))))))</f>
        <v/>
      </c>
    </row>
    <row r="199">
      <c r="A199" s="7" t="n"/>
      <c r="B199" s="7" t="n"/>
      <c r="C199" s="7" t="n"/>
      <c r="D199" s="8" t="n"/>
      <c r="E199" s="8" t="n"/>
      <c r="F199" s="8" t="n"/>
      <c r="G199" s="9">
        <f>IF(C199="","",IFERROR(VLOOKUP(C199,MAESTRO!$A:$B,2,FALSE),"—"))</f>
        <v/>
      </c>
      <c r="H199" s="9">
        <f>IF(A199="","",IFERROR(VLOOKUP(A199,TIPOS!$A:$B,2,FALSE),""))</f>
        <v/>
      </c>
      <c r="I199" s="10">
        <f>IF(C199="","",IFERROR((N(D199)*N(VLOOKUP(C199,MAESTRO!$A:$D,4,FALSE))+N(E199))*VLOOKUP(C199,MAESTRO!$A:$C,3,FALSE)+N(F199),""))</f>
        <v/>
      </c>
      <c r="J199" s="9">
        <f>IF(OR(C199="",IFERROR(VLOOKUP(A199,TIPOS!$A:$E,5,FALSE),"No")&lt;&gt;"Sí"),"",IFERROR(IF(VLOOKUP(C199,MAESTRO!$A:$E,5,FALSE)=0,"",VLOOKUP(C199,MAESTRO!$A:$E,5,FALSE)),""))</f>
        <v/>
      </c>
      <c r="K199" s="10">
        <f>IF(OR(J199="",N(I199)=0,IFERROR(VLOOKUP(A199,TIPOS!$A:$E,5,FALSE),"No")&lt;&gt;"Sí"),"",INT(I199/VLOOKUP(C199,MAESTRO!$A:$C,3,FALSE)))</f>
        <v/>
      </c>
      <c r="L199" s="9">
        <f>IF(AND(A199="",C199=""),"",IF(A199="","Falta el tipo",IF(C199="","Falta el código",IF(ISNA(MATCH(C199,MAESTRO!$A:$A,0)),"El código no está en el maestro",IF(AND(N(D199)&gt;0,N(VLOOKUP(C199,MAESTRO!$A:$D,4,FALSE))=0),"Ese código no tiene cajas por estiba: escribe cajas",IF(AND(IFERROR(VLOOKUP(A199,TIPOS!$A:$C,3,FALSE),"")="Sí",B199=""),"Falta el N° de entrega",IF(N(I199)&lt;=0,"Falta la cantidad","OK")))))))</f>
        <v/>
      </c>
    </row>
    <row r="200">
      <c r="A200" s="7" t="n"/>
      <c r="B200" s="7" t="n"/>
      <c r="C200" s="7" t="n"/>
      <c r="D200" s="8" t="n"/>
      <c r="E200" s="8" t="n"/>
      <c r="F200" s="8" t="n"/>
      <c r="G200" s="9">
        <f>IF(C200="","",IFERROR(VLOOKUP(C200,MAESTRO!$A:$B,2,FALSE),"—"))</f>
        <v/>
      </c>
      <c r="H200" s="9">
        <f>IF(A200="","",IFERROR(VLOOKUP(A200,TIPOS!$A:$B,2,FALSE),""))</f>
        <v/>
      </c>
      <c r="I200" s="10">
        <f>IF(C200="","",IFERROR((N(D200)*N(VLOOKUP(C200,MAESTRO!$A:$D,4,FALSE))+N(E200))*VLOOKUP(C200,MAESTRO!$A:$C,3,FALSE)+N(F200),""))</f>
        <v/>
      </c>
      <c r="J200" s="9">
        <f>IF(OR(C200="",IFERROR(VLOOKUP(A200,TIPOS!$A:$E,5,FALSE),"No")&lt;&gt;"Sí"),"",IFERROR(IF(VLOOKUP(C200,MAESTRO!$A:$E,5,FALSE)=0,"",VLOOKUP(C200,MAESTRO!$A:$E,5,FALSE)),""))</f>
        <v/>
      </c>
      <c r="K200" s="10">
        <f>IF(OR(J200="",N(I200)=0,IFERROR(VLOOKUP(A200,TIPOS!$A:$E,5,FALSE),"No")&lt;&gt;"Sí"),"",INT(I200/VLOOKUP(C200,MAESTRO!$A:$C,3,FALSE)))</f>
        <v/>
      </c>
      <c r="L200" s="9">
        <f>IF(AND(A200="",C200=""),"",IF(A200="","Falta el tipo",IF(C200="","Falta el código",IF(ISNA(MATCH(C200,MAESTRO!$A:$A,0)),"El código no está en el maestro",IF(AND(N(D200)&gt;0,N(VLOOKUP(C200,MAESTRO!$A:$D,4,FALSE))=0),"Ese código no tiene cajas por estiba: escribe cajas",IF(AND(IFERROR(VLOOKUP(A200,TIPOS!$A:$C,3,FALSE),"")="Sí",B200=""),"Falta el N° de entrega",IF(N(I200)&lt;=0,"Falta la cantidad","OK")))))))</f>
        <v/>
      </c>
    </row>
    <row r="201">
      <c r="A201" s="7" t="n"/>
      <c r="B201" s="7" t="n"/>
      <c r="C201" s="7" t="n"/>
      <c r="D201" s="8" t="n"/>
      <c r="E201" s="8" t="n"/>
      <c r="F201" s="8" t="n"/>
      <c r="G201" s="9">
        <f>IF(C201="","",IFERROR(VLOOKUP(C201,MAESTRO!$A:$B,2,FALSE),"—"))</f>
        <v/>
      </c>
      <c r="H201" s="9">
        <f>IF(A201="","",IFERROR(VLOOKUP(A201,TIPOS!$A:$B,2,FALSE),""))</f>
        <v/>
      </c>
      <c r="I201" s="10">
        <f>IF(C201="","",IFERROR((N(D201)*N(VLOOKUP(C201,MAESTRO!$A:$D,4,FALSE))+N(E201))*VLOOKUP(C201,MAESTRO!$A:$C,3,FALSE)+N(F201),""))</f>
        <v/>
      </c>
      <c r="J201" s="9">
        <f>IF(OR(C201="",IFERROR(VLOOKUP(A201,TIPOS!$A:$E,5,FALSE),"No")&lt;&gt;"Sí"),"",IFERROR(IF(VLOOKUP(C201,MAESTRO!$A:$E,5,FALSE)=0,"",VLOOKUP(C201,MAESTRO!$A:$E,5,FALSE)),""))</f>
        <v/>
      </c>
      <c r="K201" s="10">
        <f>IF(OR(J201="",N(I201)=0,IFERROR(VLOOKUP(A201,TIPOS!$A:$E,5,FALSE),"No")&lt;&gt;"Sí"),"",INT(I201/VLOOKUP(C201,MAESTRO!$A:$C,3,FALSE)))</f>
        <v/>
      </c>
      <c r="L201" s="9">
        <f>IF(AND(A201="",C201=""),"",IF(A201="","Falta el tipo",IF(C201="","Falta el código",IF(ISNA(MATCH(C201,MAESTRO!$A:$A,0)),"El código no está en el maestro",IF(AND(N(D201)&gt;0,N(VLOOKUP(C201,MAESTRO!$A:$D,4,FALSE))=0),"Ese código no tiene cajas por estiba: escribe cajas",IF(AND(IFERROR(VLOOKUP(A201,TIPOS!$A:$C,3,FALSE),"")="Sí",B201=""),"Falta el N° de entrega",IF(N(I201)&lt;=0,"Falta la cantidad","OK")))))))</f>
        <v/>
      </c>
    </row>
    <row r="202">
      <c r="A202" s="7" t="n"/>
      <c r="B202" s="7" t="n"/>
      <c r="C202" s="7" t="n"/>
      <c r="D202" s="8" t="n"/>
      <c r="E202" s="8" t="n"/>
      <c r="F202" s="8" t="n"/>
      <c r="G202" s="9">
        <f>IF(C202="","",IFERROR(VLOOKUP(C202,MAESTRO!$A:$B,2,FALSE),"—"))</f>
        <v/>
      </c>
      <c r="H202" s="9">
        <f>IF(A202="","",IFERROR(VLOOKUP(A202,TIPOS!$A:$B,2,FALSE),""))</f>
        <v/>
      </c>
      <c r="I202" s="10">
        <f>IF(C202="","",IFERROR((N(D202)*N(VLOOKUP(C202,MAESTRO!$A:$D,4,FALSE))+N(E202))*VLOOKUP(C202,MAESTRO!$A:$C,3,FALSE)+N(F202),""))</f>
        <v/>
      </c>
      <c r="J202" s="9">
        <f>IF(OR(C202="",IFERROR(VLOOKUP(A202,TIPOS!$A:$E,5,FALSE),"No")&lt;&gt;"Sí"),"",IFERROR(IF(VLOOKUP(C202,MAESTRO!$A:$E,5,FALSE)=0,"",VLOOKUP(C202,MAESTRO!$A:$E,5,FALSE)),""))</f>
        <v/>
      </c>
      <c r="K202" s="10">
        <f>IF(OR(J202="",N(I202)=0,IFERROR(VLOOKUP(A202,TIPOS!$A:$E,5,FALSE),"No")&lt;&gt;"Sí"),"",INT(I202/VLOOKUP(C202,MAESTRO!$A:$C,3,FALSE)))</f>
        <v/>
      </c>
      <c r="L202" s="9">
        <f>IF(AND(A202="",C202=""),"",IF(A202="","Falta el tipo",IF(C202="","Falta el código",IF(ISNA(MATCH(C202,MAESTRO!$A:$A,0)),"El código no está en el maestro",IF(AND(N(D202)&gt;0,N(VLOOKUP(C202,MAESTRO!$A:$D,4,FALSE))=0),"Ese código no tiene cajas por estiba: escribe cajas",IF(AND(IFERROR(VLOOKUP(A202,TIPOS!$A:$C,3,FALSE),"")="Sí",B202=""),"Falta el N° de entrega",IF(N(I202)&lt;=0,"Falta la cantidad","OK")))))))</f>
        <v/>
      </c>
    </row>
    <row r="203">
      <c r="A203" s="7" t="n"/>
      <c r="B203" s="7" t="n"/>
      <c r="C203" s="7" t="n"/>
      <c r="D203" s="8" t="n"/>
      <c r="E203" s="8" t="n"/>
      <c r="F203" s="8" t="n"/>
      <c r="G203" s="9">
        <f>IF(C203="","",IFERROR(VLOOKUP(C203,MAESTRO!$A:$B,2,FALSE),"—"))</f>
        <v/>
      </c>
      <c r="H203" s="9">
        <f>IF(A203="","",IFERROR(VLOOKUP(A203,TIPOS!$A:$B,2,FALSE),""))</f>
        <v/>
      </c>
      <c r="I203" s="10">
        <f>IF(C203="","",IFERROR((N(D203)*N(VLOOKUP(C203,MAESTRO!$A:$D,4,FALSE))+N(E203))*VLOOKUP(C203,MAESTRO!$A:$C,3,FALSE)+N(F203),""))</f>
        <v/>
      </c>
      <c r="J203" s="9">
        <f>IF(OR(C203="",IFERROR(VLOOKUP(A203,TIPOS!$A:$E,5,FALSE),"No")&lt;&gt;"Sí"),"",IFERROR(IF(VLOOKUP(C203,MAESTRO!$A:$E,5,FALSE)=0,"",VLOOKUP(C203,MAESTRO!$A:$E,5,FALSE)),""))</f>
        <v/>
      </c>
      <c r="K203" s="10">
        <f>IF(OR(J203="",N(I203)=0,IFERROR(VLOOKUP(A203,TIPOS!$A:$E,5,FALSE),"No")&lt;&gt;"Sí"),"",INT(I203/VLOOKUP(C203,MAESTRO!$A:$C,3,FALSE)))</f>
        <v/>
      </c>
      <c r="L203" s="9">
        <f>IF(AND(A203="",C203=""),"",IF(A203="","Falta el tipo",IF(C203="","Falta el código",IF(ISNA(MATCH(C203,MAESTRO!$A:$A,0)),"El código no está en el maestro",IF(AND(N(D203)&gt;0,N(VLOOKUP(C203,MAESTRO!$A:$D,4,FALSE))=0),"Ese código no tiene cajas por estiba: escribe cajas",IF(AND(IFERROR(VLOOKUP(A203,TIPOS!$A:$C,3,FALSE),"")="Sí",B203=""),"Falta el N° de entrega",IF(N(I203)&lt;=0,"Falta la cantidad","OK")))))))</f>
        <v/>
      </c>
    </row>
    <row r="204">
      <c r="A204" s="7" t="n"/>
      <c r="B204" s="7" t="n"/>
      <c r="C204" s="7" t="n"/>
      <c r="D204" s="8" t="n"/>
      <c r="E204" s="8" t="n"/>
      <c r="F204" s="8" t="n"/>
      <c r="G204" s="9">
        <f>IF(C204="","",IFERROR(VLOOKUP(C204,MAESTRO!$A:$B,2,FALSE),"—"))</f>
        <v/>
      </c>
      <c r="H204" s="9">
        <f>IF(A204="","",IFERROR(VLOOKUP(A204,TIPOS!$A:$B,2,FALSE),""))</f>
        <v/>
      </c>
      <c r="I204" s="10">
        <f>IF(C204="","",IFERROR((N(D204)*N(VLOOKUP(C204,MAESTRO!$A:$D,4,FALSE))+N(E204))*VLOOKUP(C204,MAESTRO!$A:$C,3,FALSE)+N(F204),""))</f>
        <v/>
      </c>
      <c r="J204" s="9">
        <f>IF(OR(C204="",IFERROR(VLOOKUP(A204,TIPOS!$A:$E,5,FALSE),"No")&lt;&gt;"Sí"),"",IFERROR(IF(VLOOKUP(C204,MAESTRO!$A:$E,5,FALSE)=0,"",VLOOKUP(C204,MAESTRO!$A:$E,5,FALSE)),""))</f>
        <v/>
      </c>
      <c r="K204" s="10">
        <f>IF(OR(J204="",N(I204)=0,IFERROR(VLOOKUP(A204,TIPOS!$A:$E,5,FALSE),"No")&lt;&gt;"Sí"),"",INT(I204/VLOOKUP(C204,MAESTRO!$A:$C,3,FALSE)))</f>
        <v/>
      </c>
      <c r="L204" s="9">
        <f>IF(AND(A204="",C204=""),"",IF(A204="","Falta el tipo",IF(C204="","Falta el código",IF(ISNA(MATCH(C204,MAESTRO!$A:$A,0)),"El código no está en el maestro",IF(AND(N(D204)&gt;0,N(VLOOKUP(C204,MAESTRO!$A:$D,4,FALSE))=0),"Ese código no tiene cajas por estiba: escribe cajas",IF(AND(IFERROR(VLOOKUP(A204,TIPOS!$A:$C,3,FALSE),"")="Sí",B204=""),"Falta el N° de entrega",IF(N(I204)&lt;=0,"Falta la cantidad","OK")))))))</f>
        <v/>
      </c>
    </row>
    <row r="205">
      <c r="A205" s="7" t="n"/>
      <c r="B205" s="7" t="n"/>
      <c r="C205" s="7" t="n"/>
      <c r="D205" s="8" t="n"/>
      <c r="E205" s="8" t="n"/>
      <c r="F205" s="8" t="n"/>
      <c r="G205" s="9">
        <f>IF(C205="","",IFERROR(VLOOKUP(C205,MAESTRO!$A:$B,2,FALSE),"—"))</f>
        <v/>
      </c>
      <c r="H205" s="9">
        <f>IF(A205="","",IFERROR(VLOOKUP(A205,TIPOS!$A:$B,2,FALSE),""))</f>
        <v/>
      </c>
      <c r="I205" s="10">
        <f>IF(C205="","",IFERROR((N(D205)*N(VLOOKUP(C205,MAESTRO!$A:$D,4,FALSE))+N(E205))*VLOOKUP(C205,MAESTRO!$A:$C,3,FALSE)+N(F205),""))</f>
        <v/>
      </c>
      <c r="J205" s="9">
        <f>IF(OR(C205="",IFERROR(VLOOKUP(A205,TIPOS!$A:$E,5,FALSE),"No")&lt;&gt;"Sí"),"",IFERROR(IF(VLOOKUP(C205,MAESTRO!$A:$E,5,FALSE)=0,"",VLOOKUP(C205,MAESTRO!$A:$E,5,FALSE)),""))</f>
        <v/>
      </c>
      <c r="K205" s="10">
        <f>IF(OR(J205="",N(I205)=0,IFERROR(VLOOKUP(A205,TIPOS!$A:$E,5,FALSE),"No")&lt;&gt;"Sí"),"",INT(I205/VLOOKUP(C205,MAESTRO!$A:$C,3,FALSE)))</f>
        <v/>
      </c>
      <c r="L205" s="9">
        <f>IF(AND(A205="",C205=""),"",IF(A205="","Falta el tipo",IF(C205="","Falta el código",IF(ISNA(MATCH(C205,MAESTRO!$A:$A,0)),"El código no está en el maestro",IF(AND(N(D205)&gt;0,N(VLOOKUP(C205,MAESTRO!$A:$D,4,FALSE))=0),"Ese código no tiene cajas por estiba: escribe cajas",IF(AND(IFERROR(VLOOKUP(A205,TIPOS!$A:$C,3,FALSE),"")="Sí",B205=""),"Falta el N° de entrega",IF(N(I205)&lt;=0,"Falta la cantidad","OK")))))))</f>
        <v/>
      </c>
    </row>
    <row r="206">
      <c r="A206" s="7" t="n"/>
      <c r="B206" s="7" t="n"/>
      <c r="C206" s="7" t="n"/>
      <c r="D206" s="8" t="n"/>
      <c r="E206" s="8" t="n"/>
      <c r="F206" s="8" t="n"/>
      <c r="G206" s="9">
        <f>IF(C206="","",IFERROR(VLOOKUP(C206,MAESTRO!$A:$B,2,FALSE),"—"))</f>
        <v/>
      </c>
      <c r="H206" s="9">
        <f>IF(A206="","",IFERROR(VLOOKUP(A206,TIPOS!$A:$B,2,FALSE),""))</f>
        <v/>
      </c>
      <c r="I206" s="10">
        <f>IF(C206="","",IFERROR((N(D206)*N(VLOOKUP(C206,MAESTRO!$A:$D,4,FALSE))+N(E206))*VLOOKUP(C206,MAESTRO!$A:$C,3,FALSE)+N(F206),""))</f>
        <v/>
      </c>
      <c r="J206" s="9">
        <f>IF(OR(C206="",IFERROR(VLOOKUP(A206,TIPOS!$A:$E,5,FALSE),"No")&lt;&gt;"Sí"),"",IFERROR(IF(VLOOKUP(C206,MAESTRO!$A:$E,5,FALSE)=0,"",VLOOKUP(C206,MAESTRO!$A:$E,5,FALSE)),""))</f>
        <v/>
      </c>
      <c r="K206" s="10">
        <f>IF(OR(J206="",N(I206)=0,IFERROR(VLOOKUP(A206,TIPOS!$A:$E,5,FALSE),"No")&lt;&gt;"Sí"),"",INT(I206/VLOOKUP(C206,MAESTRO!$A:$C,3,FALSE)))</f>
        <v/>
      </c>
      <c r="L206" s="9">
        <f>IF(AND(A206="",C206=""),"",IF(A206="","Falta el tipo",IF(C206="","Falta el código",IF(ISNA(MATCH(C206,MAESTRO!$A:$A,0)),"El código no está en el maestro",IF(AND(N(D206)&gt;0,N(VLOOKUP(C206,MAESTRO!$A:$D,4,FALSE))=0),"Ese código no tiene cajas por estiba: escribe cajas",IF(AND(IFERROR(VLOOKUP(A206,TIPOS!$A:$C,3,FALSE),"")="Sí",B206=""),"Falta el N° de entrega",IF(N(I206)&lt;=0,"Falta la cantidad","OK")))))))</f>
        <v/>
      </c>
    </row>
    <row r="207">
      <c r="A207" s="7" t="n"/>
      <c r="B207" s="7" t="n"/>
      <c r="C207" s="7" t="n"/>
      <c r="D207" s="8" t="n"/>
      <c r="E207" s="8" t="n"/>
      <c r="F207" s="8" t="n"/>
      <c r="G207" s="9">
        <f>IF(C207="","",IFERROR(VLOOKUP(C207,MAESTRO!$A:$B,2,FALSE),"—"))</f>
        <v/>
      </c>
      <c r="H207" s="9">
        <f>IF(A207="","",IFERROR(VLOOKUP(A207,TIPOS!$A:$B,2,FALSE),""))</f>
        <v/>
      </c>
      <c r="I207" s="10">
        <f>IF(C207="","",IFERROR((N(D207)*N(VLOOKUP(C207,MAESTRO!$A:$D,4,FALSE))+N(E207))*VLOOKUP(C207,MAESTRO!$A:$C,3,FALSE)+N(F207),""))</f>
        <v/>
      </c>
      <c r="J207" s="9">
        <f>IF(OR(C207="",IFERROR(VLOOKUP(A207,TIPOS!$A:$E,5,FALSE),"No")&lt;&gt;"Sí"),"",IFERROR(IF(VLOOKUP(C207,MAESTRO!$A:$E,5,FALSE)=0,"",VLOOKUP(C207,MAESTRO!$A:$E,5,FALSE)),""))</f>
        <v/>
      </c>
      <c r="K207" s="10">
        <f>IF(OR(J207="",N(I207)=0,IFERROR(VLOOKUP(A207,TIPOS!$A:$E,5,FALSE),"No")&lt;&gt;"Sí"),"",INT(I207/VLOOKUP(C207,MAESTRO!$A:$C,3,FALSE)))</f>
        <v/>
      </c>
      <c r="L207" s="9">
        <f>IF(AND(A207="",C207=""),"",IF(A207="","Falta el tipo",IF(C207="","Falta el código",IF(ISNA(MATCH(C207,MAESTRO!$A:$A,0)),"El código no está en el maestro",IF(AND(N(D207)&gt;0,N(VLOOKUP(C207,MAESTRO!$A:$D,4,FALSE))=0),"Ese código no tiene cajas por estiba: escribe cajas",IF(AND(IFERROR(VLOOKUP(A207,TIPOS!$A:$C,3,FALSE),"")="Sí",B207=""),"Falta el N° de entrega",IF(N(I207)&lt;=0,"Falta la cantidad","OK")))))))</f>
        <v/>
      </c>
    </row>
    <row r="208">
      <c r="A208" s="7" t="n"/>
      <c r="B208" s="7" t="n"/>
      <c r="C208" s="7" t="n"/>
      <c r="D208" s="8" t="n"/>
      <c r="E208" s="8" t="n"/>
      <c r="F208" s="8" t="n"/>
      <c r="G208" s="9">
        <f>IF(C208="","",IFERROR(VLOOKUP(C208,MAESTRO!$A:$B,2,FALSE),"—"))</f>
        <v/>
      </c>
      <c r="H208" s="9">
        <f>IF(A208="","",IFERROR(VLOOKUP(A208,TIPOS!$A:$B,2,FALSE),""))</f>
        <v/>
      </c>
      <c r="I208" s="10">
        <f>IF(C208="","",IFERROR((N(D208)*N(VLOOKUP(C208,MAESTRO!$A:$D,4,FALSE))+N(E208))*VLOOKUP(C208,MAESTRO!$A:$C,3,FALSE)+N(F208),""))</f>
        <v/>
      </c>
      <c r="J208" s="9">
        <f>IF(OR(C208="",IFERROR(VLOOKUP(A208,TIPOS!$A:$E,5,FALSE),"No")&lt;&gt;"Sí"),"",IFERROR(IF(VLOOKUP(C208,MAESTRO!$A:$E,5,FALSE)=0,"",VLOOKUP(C208,MAESTRO!$A:$E,5,FALSE)),""))</f>
        <v/>
      </c>
      <c r="K208" s="10">
        <f>IF(OR(J208="",N(I208)=0,IFERROR(VLOOKUP(A208,TIPOS!$A:$E,5,FALSE),"No")&lt;&gt;"Sí"),"",INT(I208/VLOOKUP(C208,MAESTRO!$A:$C,3,FALSE)))</f>
        <v/>
      </c>
      <c r="L208" s="9">
        <f>IF(AND(A208="",C208=""),"",IF(A208="","Falta el tipo",IF(C208="","Falta el código",IF(ISNA(MATCH(C208,MAESTRO!$A:$A,0)),"El código no está en el maestro",IF(AND(N(D208)&gt;0,N(VLOOKUP(C208,MAESTRO!$A:$D,4,FALSE))=0),"Ese código no tiene cajas por estiba: escribe cajas",IF(AND(IFERROR(VLOOKUP(A208,TIPOS!$A:$C,3,FALSE),"")="Sí",B208=""),"Falta el N° de entrega",IF(N(I208)&lt;=0,"Falta la cantidad","OK")))))))</f>
        <v/>
      </c>
    </row>
    <row r="209">
      <c r="A209" s="7" t="n"/>
      <c r="B209" s="7" t="n"/>
      <c r="C209" s="7" t="n"/>
      <c r="D209" s="8" t="n"/>
      <c r="E209" s="8" t="n"/>
      <c r="F209" s="8" t="n"/>
      <c r="G209" s="9">
        <f>IF(C209="","",IFERROR(VLOOKUP(C209,MAESTRO!$A:$B,2,FALSE),"—"))</f>
        <v/>
      </c>
      <c r="H209" s="9">
        <f>IF(A209="","",IFERROR(VLOOKUP(A209,TIPOS!$A:$B,2,FALSE),""))</f>
        <v/>
      </c>
      <c r="I209" s="10">
        <f>IF(C209="","",IFERROR((N(D209)*N(VLOOKUP(C209,MAESTRO!$A:$D,4,FALSE))+N(E209))*VLOOKUP(C209,MAESTRO!$A:$C,3,FALSE)+N(F209),""))</f>
        <v/>
      </c>
      <c r="J209" s="9">
        <f>IF(OR(C209="",IFERROR(VLOOKUP(A209,TIPOS!$A:$E,5,FALSE),"No")&lt;&gt;"Sí"),"",IFERROR(IF(VLOOKUP(C209,MAESTRO!$A:$E,5,FALSE)=0,"",VLOOKUP(C209,MAESTRO!$A:$E,5,FALSE)),""))</f>
        <v/>
      </c>
      <c r="K209" s="10">
        <f>IF(OR(J209="",N(I209)=0,IFERROR(VLOOKUP(A209,TIPOS!$A:$E,5,FALSE),"No")&lt;&gt;"Sí"),"",INT(I209/VLOOKUP(C209,MAESTRO!$A:$C,3,FALSE)))</f>
        <v/>
      </c>
      <c r="L209" s="9">
        <f>IF(AND(A209="",C209=""),"",IF(A209="","Falta el tipo",IF(C209="","Falta el código",IF(ISNA(MATCH(C209,MAESTRO!$A:$A,0)),"El código no está en el maestro",IF(AND(N(D209)&gt;0,N(VLOOKUP(C209,MAESTRO!$A:$D,4,FALSE))=0),"Ese código no tiene cajas por estiba: escribe cajas",IF(AND(IFERROR(VLOOKUP(A209,TIPOS!$A:$C,3,FALSE),"")="Sí",B209=""),"Falta el N° de entrega",IF(N(I209)&lt;=0,"Falta la cantidad","OK")))))))</f>
        <v/>
      </c>
    </row>
    <row r="210">
      <c r="A210" s="7" t="n"/>
      <c r="B210" s="7" t="n"/>
      <c r="C210" s="7" t="n"/>
      <c r="D210" s="8" t="n"/>
      <c r="E210" s="8" t="n"/>
      <c r="F210" s="8" t="n"/>
      <c r="G210" s="9">
        <f>IF(C210="","",IFERROR(VLOOKUP(C210,MAESTRO!$A:$B,2,FALSE),"—"))</f>
        <v/>
      </c>
      <c r="H210" s="9">
        <f>IF(A210="","",IFERROR(VLOOKUP(A210,TIPOS!$A:$B,2,FALSE),""))</f>
        <v/>
      </c>
      <c r="I210" s="10">
        <f>IF(C210="","",IFERROR((N(D210)*N(VLOOKUP(C210,MAESTRO!$A:$D,4,FALSE))+N(E210))*VLOOKUP(C210,MAESTRO!$A:$C,3,FALSE)+N(F210),""))</f>
        <v/>
      </c>
      <c r="J210" s="9">
        <f>IF(OR(C210="",IFERROR(VLOOKUP(A210,TIPOS!$A:$E,5,FALSE),"No")&lt;&gt;"Sí"),"",IFERROR(IF(VLOOKUP(C210,MAESTRO!$A:$E,5,FALSE)=0,"",VLOOKUP(C210,MAESTRO!$A:$E,5,FALSE)),""))</f>
        <v/>
      </c>
      <c r="K210" s="10">
        <f>IF(OR(J210="",N(I210)=0,IFERROR(VLOOKUP(A210,TIPOS!$A:$E,5,FALSE),"No")&lt;&gt;"Sí"),"",INT(I210/VLOOKUP(C210,MAESTRO!$A:$C,3,FALSE)))</f>
        <v/>
      </c>
      <c r="L210" s="9">
        <f>IF(AND(A210="",C210=""),"",IF(A210="","Falta el tipo",IF(C210="","Falta el código",IF(ISNA(MATCH(C210,MAESTRO!$A:$A,0)),"El código no está en el maestro",IF(AND(N(D210)&gt;0,N(VLOOKUP(C210,MAESTRO!$A:$D,4,FALSE))=0),"Ese código no tiene cajas por estiba: escribe cajas",IF(AND(IFERROR(VLOOKUP(A210,TIPOS!$A:$C,3,FALSE),"")="Sí",B210=""),"Falta el N° de entrega",IF(N(I210)&lt;=0,"Falta la cantidad","OK")))))))</f>
        <v/>
      </c>
    </row>
    <row r="211">
      <c r="A211" s="7" t="n"/>
      <c r="B211" s="7" t="n"/>
      <c r="C211" s="7" t="n"/>
      <c r="D211" s="8" t="n"/>
      <c r="E211" s="8" t="n"/>
      <c r="F211" s="8" t="n"/>
      <c r="G211" s="9">
        <f>IF(C211="","",IFERROR(VLOOKUP(C211,MAESTRO!$A:$B,2,FALSE),"—"))</f>
        <v/>
      </c>
      <c r="H211" s="9">
        <f>IF(A211="","",IFERROR(VLOOKUP(A211,TIPOS!$A:$B,2,FALSE),""))</f>
        <v/>
      </c>
      <c r="I211" s="10">
        <f>IF(C211="","",IFERROR((N(D211)*N(VLOOKUP(C211,MAESTRO!$A:$D,4,FALSE))+N(E211))*VLOOKUP(C211,MAESTRO!$A:$C,3,FALSE)+N(F211),""))</f>
        <v/>
      </c>
      <c r="J211" s="9">
        <f>IF(OR(C211="",IFERROR(VLOOKUP(A211,TIPOS!$A:$E,5,FALSE),"No")&lt;&gt;"Sí"),"",IFERROR(IF(VLOOKUP(C211,MAESTRO!$A:$E,5,FALSE)=0,"",VLOOKUP(C211,MAESTRO!$A:$E,5,FALSE)),""))</f>
        <v/>
      </c>
      <c r="K211" s="10">
        <f>IF(OR(J211="",N(I211)=0,IFERROR(VLOOKUP(A211,TIPOS!$A:$E,5,FALSE),"No")&lt;&gt;"Sí"),"",INT(I211/VLOOKUP(C211,MAESTRO!$A:$C,3,FALSE)))</f>
        <v/>
      </c>
      <c r="L211" s="9">
        <f>IF(AND(A211="",C211=""),"",IF(A211="","Falta el tipo",IF(C211="","Falta el código",IF(ISNA(MATCH(C211,MAESTRO!$A:$A,0)),"El código no está en el maestro",IF(AND(N(D211)&gt;0,N(VLOOKUP(C211,MAESTRO!$A:$D,4,FALSE))=0),"Ese código no tiene cajas por estiba: escribe cajas",IF(AND(IFERROR(VLOOKUP(A211,TIPOS!$A:$C,3,FALSE),"")="Sí",B211=""),"Falta el N° de entrega",IF(N(I211)&lt;=0,"Falta la cantidad","OK")))))))</f>
        <v/>
      </c>
    </row>
    <row r="212">
      <c r="A212" s="7" t="n"/>
      <c r="B212" s="7" t="n"/>
      <c r="C212" s="7" t="n"/>
      <c r="D212" s="8" t="n"/>
      <c r="E212" s="8" t="n"/>
      <c r="F212" s="8" t="n"/>
      <c r="G212" s="9">
        <f>IF(C212="","",IFERROR(VLOOKUP(C212,MAESTRO!$A:$B,2,FALSE),"—"))</f>
        <v/>
      </c>
      <c r="H212" s="9">
        <f>IF(A212="","",IFERROR(VLOOKUP(A212,TIPOS!$A:$B,2,FALSE),""))</f>
        <v/>
      </c>
      <c r="I212" s="10">
        <f>IF(C212="","",IFERROR((N(D212)*N(VLOOKUP(C212,MAESTRO!$A:$D,4,FALSE))+N(E212))*VLOOKUP(C212,MAESTRO!$A:$C,3,FALSE)+N(F212),""))</f>
        <v/>
      </c>
      <c r="J212" s="9">
        <f>IF(OR(C212="",IFERROR(VLOOKUP(A212,TIPOS!$A:$E,5,FALSE),"No")&lt;&gt;"Sí"),"",IFERROR(IF(VLOOKUP(C212,MAESTRO!$A:$E,5,FALSE)=0,"",VLOOKUP(C212,MAESTRO!$A:$E,5,FALSE)),""))</f>
        <v/>
      </c>
      <c r="K212" s="10">
        <f>IF(OR(J212="",N(I212)=0,IFERROR(VLOOKUP(A212,TIPOS!$A:$E,5,FALSE),"No")&lt;&gt;"Sí"),"",INT(I212/VLOOKUP(C212,MAESTRO!$A:$C,3,FALSE)))</f>
        <v/>
      </c>
      <c r="L212" s="9">
        <f>IF(AND(A212="",C212=""),"",IF(A212="","Falta el tipo",IF(C212="","Falta el código",IF(ISNA(MATCH(C212,MAESTRO!$A:$A,0)),"El código no está en el maestro",IF(AND(N(D212)&gt;0,N(VLOOKUP(C212,MAESTRO!$A:$D,4,FALSE))=0),"Ese código no tiene cajas por estiba: escribe cajas",IF(AND(IFERROR(VLOOKUP(A212,TIPOS!$A:$C,3,FALSE),"")="Sí",B212=""),"Falta el N° de entrega",IF(N(I212)&lt;=0,"Falta la cantidad","OK")))))))</f>
        <v/>
      </c>
    </row>
    <row r="213">
      <c r="A213" s="7" t="n"/>
      <c r="B213" s="7" t="n"/>
      <c r="C213" s="7" t="n"/>
      <c r="D213" s="8" t="n"/>
      <c r="E213" s="8" t="n"/>
      <c r="F213" s="8" t="n"/>
      <c r="G213" s="9">
        <f>IF(C213="","",IFERROR(VLOOKUP(C213,MAESTRO!$A:$B,2,FALSE),"—"))</f>
        <v/>
      </c>
      <c r="H213" s="9">
        <f>IF(A213="","",IFERROR(VLOOKUP(A213,TIPOS!$A:$B,2,FALSE),""))</f>
        <v/>
      </c>
      <c r="I213" s="10">
        <f>IF(C213="","",IFERROR((N(D213)*N(VLOOKUP(C213,MAESTRO!$A:$D,4,FALSE))+N(E213))*VLOOKUP(C213,MAESTRO!$A:$C,3,FALSE)+N(F213),""))</f>
        <v/>
      </c>
      <c r="J213" s="9">
        <f>IF(OR(C213="",IFERROR(VLOOKUP(A213,TIPOS!$A:$E,5,FALSE),"No")&lt;&gt;"Sí"),"",IFERROR(IF(VLOOKUP(C213,MAESTRO!$A:$E,5,FALSE)=0,"",VLOOKUP(C213,MAESTRO!$A:$E,5,FALSE)),""))</f>
        <v/>
      </c>
      <c r="K213" s="10">
        <f>IF(OR(J213="",N(I213)=0,IFERROR(VLOOKUP(A213,TIPOS!$A:$E,5,FALSE),"No")&lt;&gt;"Sí"),"",INT(I213/VLOOKUP(C213,MAESTRO!$A:$C,3,FALSE)))</f>
        <v/>
      </c>
      <c r="L213" s="9">
        <f>IF(AND(A213="",C213=""),"",IF(A213="","Falta el tipo",IF(C213="","Falta el código",IF(ISNA(MATCH(C213,MAESTRO!$A:$A,0)),"El código no está en el maestro",IF(AND(N(D213)&gt;0,N(VLOOKUP(C213,MAESTRO!$A:$D,4,FALSE))=0),"Ese código no tiene cajas por estiba: escribe cajas",IF(AND(IFERROR(VLOOKUP(A213,TIPOS!$A:$C,3,FALSE),"")="Sí",B213=""),"Falta el N° de entrega",IF(N(I213)&lt;=0,"Falta la cantidad","OK")))))))</f>
        <v/>
      </c>
    </row>
    <row r="214">
      <c r="A214" s="7" t="n"/>
      <c r="B214" s="7" t="n"/>
      <c r="C214" s="7" t="n"/>
      <c r="D214" s="8" t="n"/>
      <c r="E214" s="8" t="n"/>
      <c r="F214" s="8" t="n"/>
      <c r="G214" s="9">
        <f>IF(C214="","",IFERROR(VLOOKUP(C214,MAESTRO!$A:$B,2,FALSE),"—"))</f>
        <v/>
      </c>
      <c r="H214" s="9">
        <f>IF(A214="","",IFERROR(VLOOKUP(A214,TIPOS!$A:$B,2,FALSE),""))</f>
        <v/>
      </c>
      <c r="I214" s="10">
        <f>IF(C214="","",IFERROR((N(D214)*N(VLOOKUP(C214,MAESTRO!$A:$D,4,FALSE))+N(E214))*VLOOKUP(C214,MAESTRO!$A:$C,3,FALSE)+N(F214),""))</f>
        <v/>
      </c>
      <c r="J214" s="9">
        <f>IF(OR(C214="",IFERROR(VLOOKUP(A214,TIPOS!$A:$E,5,FALSE),"No")&lt;&gt;"Sí"),"",IFERROR(IF(VLOOKUP(C214,MAESTRO!$A:$E,5,FALSE)=0,"",VLOOKUP(C214,MAESTRO!$A:$E,5,FALSE)),""))</f>
        <v/>
      </c>
      <c r="K214" s="10">
        <f>IF(OR(J214="",N(I214)=0,IFERROR(VLOOKUP(A214,TIPOS!$A:$E,5,FALSE),"No")&lt;&gt;"Sí"),"",INT(I214/VLOOKUP(C214,MAESTRO!$A:$C,3,FALSE)))</f>
        <v/>
      </c>
      <c r="L214" s="9">
        <f>IF(AND(A214="",C214=""),"",IF(A214="","Falta el tipo",IF(C214="","Falta el código",IF(ISNA(MATCH(C214,MAESTRO!$A:$A,0)),"El código no está en el maestro",IF(AND(N(D214)&gt;0,N(VLOOKUP(C214,MAESTRO!$A:$D,4,FALSE))=0),"Ese código no tiene cajas por estiba: escribe cajas",IF(AND(IFERROR(VLOOKUP(A214,TIPOS!$A:$C,3,FALSE),"")="Sí",B214=""),"Falta el N° de entrega",IF(N(I214)&lt;=0,"Falta la cantidad","OK")))))))</f>
        <v/>
      </c>
    </row>
    <row r="215">
      <c r="A215" s="7" t="n"/>
      <c r="B215" s="7" t="n"/>
      <c r="C215" s="7" t="n"/>
      <c r="D215" s="8" t="n"/>
      <c r="E215" s="8" t="n"/>
      <c r="F215" s="8" t="n"/>
      <c r="G215" s="9">
        <f>IF(C215="","",IFERROR(VLOOKUP(C215,MAESTRO!$A:$B,2,FALSE),"—"))</f>
        <v/>
      </c>
      <c r="H215" s="9">
        <f>IF(A215="","",IFERROR(VLOOKUP(A215,TIPOS!$A:$B,2,FALSE),""))</f>
        <v/>
      </c>
      <c r="I215" s="10">
        <f>IF(C215="","",IFERROR((N(D215)*N(VLOOKUP(C215,MAESTRO!$A:$D,4,FALSE))+N(E215))*VLOOKUP(C215,MAESTRO!$A:$C,3,FALSE)+N(F215),""))</f>
        <v/>
      </c>
      <c r="J215" s="9">
        <f>IF(OR(C215="",IFERROR(VLOOKUP(A215,TIPOS!$A:$E,5,FALSE),"No")&lt;&gt;"Sí"),"",IFERROR(IF(VLOOKUP(C215,MAESTRO!$A:$E,5,FALSE)=0,"",VLOOKUP(C215,MAESTRO!$A:$E,5,FALSE)),""))</f>
        <v/>
      </c>
      <c r="K215" s="10">
        <f>IF(OR(J215="",N(I215)=0,IFERROR(VLOOKUP(A215,TIPOS!$A:$E,5,FALSE),"No")&lt;&gt;"Sí"),"",INT(I215/VLOOKUP(C215,MAESTRO!$A:$C,3,FALSE)))</f>
        <v/>
      </c>
      <c r="L215" s="9">
        <f>IF(AND(A215="",C215=""),"",IF(A215="","Falta el tipo",IF(C215="","Falta el código",IF(ISNA(MATCH(C215,MAESTRO!$A:$A,0)),"El código no está en el maestro",IF(AND(N(D215)&gt;0,N(VLOOKUP(C215,MAESTRO!$A:$D,4,FALSE))=0),"Ese código no tiene cajas por estiba: escribe cajas",IF(AND(IFERROR(VLOOKUP(A215,TIPOS!$A:$C,3,FALSE),"")="Sí",B215=""),"Falta el N° de entrega",IF(N(I215)&lt;=0,"Falta la cantidad","OK")))))))</f>
        <v/>
      </c>
    </row>
    <row r="216">
      <c r="A216" s="7" t="n"/>
      <c r="B216" s="7" t="n"/>
      <c r="C216" s="7" t="n"/>
      <c r="D216" s="8" t="n"/>
      <c r="E216" s="8" t="n"/>
      <c r="F216" s="8" t="n"/>
      <c r="G216" s="9">
        <f>IF(C216="","",IFERROR(VLOOKUP(C216,MAESTRO!$A:$B,2,FALSE),"—"))</f>
        <v/>
      </c>
      <c r="H216" s="9">
        <f>IF(A216="","",IFERROR(VLOOKUP(A216,TIPOS!$A:$B,2,FALSE),""))</f>
        <v/>
      </c>
      <c r="I216" s="10">
        <f>IF(C216="","",IFERROR((N(D216)*N(VLOOKUP(C216,MAESTRO!$A:$D,4,FALSE))+N(E216))*VLOOKUP(C216,MAESTRO!$A:$C,3,FALSE)+N(F216),""))</f>
        <v/>
      </c>
      <c r="J216" s="9">
        <f>IF(OR(C216="",IFERROR(VLOOKUP(A216,TIPOS!$A:$E,5,FALSE),"No")&lt;&gt;"Sí"),"",IFERROR(IF(VLOOKUP(C216,MAESTRO!$A:$E,5,FALSE)=0,"",VLOOKUP(C216,MAESTRO!$A:$E,5,FALSE)),""))</f>
        <v/>
      </c>
      <c r="K216" s="10">
        <f>IF(OR(J216="",N(I216)=0,IFERROR(VLOOKUP(A216,TIPOS!$A:$E,5,FALSE),"No")&lt;&gt;"Sí"),"",INT(I216/VLOOKUP(C216,MAESTRO!$A:$C,3,FALSE)))</f>
        <v/>
      </c>
      <c r="L216" s="9">
        <f>IF(AND(A216="",C216=""),"",IF(A216="","Falta el tipo",IF(C216="","Falta el código",IF(ISNA(MATCH(C216,MAESTRO!$A:$A,0)),"El código no está en el maestro",IF(AND(N(D216)&gt;0,N(VLOOKUP(C216,MAESTRO!$A:$D,4,FALSE))=0),"Ese código no tiene cajas por estiba: escribe cajas",IF(AND(IFERROR(VLOOKUP(A216,TIPOS!$A:$C,3,FALSE),"")="Sí",B216=""),"Falta el N° de entrega",IF(N(I216)&lt;=0,"Falta la cantidad","OK")))))))</f>
        <v/>
      </c>
    </row>
    <row r="217">
      <c r="A217" s="7" t="n"/>
      <c r="B217" s="7" t="n"/>
      <c r="C217" s="7" t="n"/>
      <c r="D217" s="8" t="n"/>
      <c r="E217" s="8" t="n"/>
      <c r="F217" s="8" t="n"/>
      <c r="G217" s="9">
        <f>IF(C217="","",IFERROR(VLOOKUP(C217,MAESTRO!$A:$B,2,FALSE),"—"))</f>
        <v/>
      </c>
      <c r="H217" s="9">
        <f>IF(A217="","",IFERROR(VLOOKUP(A217,TIPOS!$A:$B,2,FALSE),""))</f>
        <v/>
      </c>
      <c r="I217" s="10">
        <f>IF(C217="","",IFERROR((N(D217)*N(VLOOKUP(C217,MAESTRO!$A:$D,4,FALSE))+N(E217))*VLOOKUP(C217,MAESTRO!$A:$C,3,FALSE)+N(F217),""))</f>
        <v/>
      </c>
      <c r="J217" s="9">
        <f>IF(OR(C217="",IFERROR(VLOOKUP(A217,TIPOS!$A:$E,5,FALSE),"No")&lt;&gt;"Sí"),"",IFERROR(IF(VLOOKUP(C217,MAESTRO!$A:$E,5,FALSE)=0,"",VLOOKUP(C217,MAESTRO!$A:$E,5,FALSE)),""))</f>
        <v/>
      </c>
      <c r="K217" s="10">
        <f>IF(OR(J217="",N(I217)=0,IFERROR(VLOOKUP(A217,TIPOS!$A:$E,5,FALSE),"No")&lt;&gt;"Sí"),"",INT(I217/VLOOKUP(C217,MAESTRO!$A:$C,3,FALSE)))</f>
        <v/>
      </c>
      <c r="L217" s="9">
        <f>IF(AND(A217="",C217=""),"",IF(A217="","Falta el tipo",IF(C217="","Falta el código",IF(ISNA(MATCH(C217,MAESTRO!$A:$A,0)),"El código no está en el maestro",IF(AND(N(D217)&gt;0,N(VLOOKUP(C217,MAESTRO!$A:$D,4,FALSE))=0),"Ese código no tiene cajas por estiba: escribe cajas",IF(AND(IFERROR(VLOOKUP(A217,TIPOS!$A:$C,3,FALSE),"")="Sí",B217=""),"Falta el N° de entrega",IF(N(I217)&lt;=0,"Falta la cantidad","OK")))))))</f>
        <v/>
      </c>
    </row>
    <row r="218">
      <c r="A218" s="7" t="n"/>
      <c r="B218" s="7" t="n"/>
      <c r="C218" s="7" t="n"/>
      <c r="D218" s="8" t="n"/>
      <c r="E218" s="8" t="n"/>
      <c r="F218" s="8" t="n"/>
      <c r="G218" s="9">
        <f>IF(C218="","",IFERROR(VLOOKUP(C218,MAESTRO!$A:$B,2,FALSE),"—"))</f>
        <v/>
      </c>
      <c r="H218" s="9">
        <f>IF(A218="","",IFERROR(VLOOKUP(A218,TIPOS!$A:$B,2,FALSE),""))</f>
        <v/>
      </c>
      <c r="I218" s="10">
        <f>IF(C218="","",IFERROR((N(D218)*N(VLOOKUP(C218,MAESTRO!$A:$D,4,FALSE))+N(E218))*VLOOKUP(C218,MAESTRO!$A:$C,3,FALSE)+N(F218),""))</f>
        <v/>
      </c>
      <c r="J218" s="9">
        <f>IF(OR(C218="",IFERROR(VLOOKUP(A218,TIPOS!$A:$E,5,FALSE),"No")&lt;&gt;"Sí"),"",IFERROR(IF(VLOOKUP(C218,MAESTRO!$A:$E,5,FALSE)=0,"",VLOOKUP(C218,MAESTRO!$A:$E,5,FALSE)),""))</f>
        <v/>
      </c>
      <c r="K218" s="10">
        <f>IF(OR(J218="",N(I218)=0,IFERROR(VLOOKUP(A218,TIPOS!$A:$E,5,FALSE),"No")&lt;&gt;"Sí"),"",INT(I218/VLOOKUP(C218,MAESTRO!$A:$C,3,FALSE)))</f>
        <v/>
      </c>
      <c r="L218" s="9">
        <f>IF(AND(A218="",C218=""),"",IF(A218="","Falta el tipo",IF(C218="","Falta el código",IF(ISNA(MATCH(C218,MAESTRO!$A:$A,0)),"El código no está en el maestro",IF(AND(N(D218)&gt;0,N(VLOOKUP(C218,MAESTRO!$A:$D,4,FALSE))=0),"Ese código no tiene cajas por estiba: escribe cajas",IF(AND(IFERROR(VLOOKUP(A218,TIPOS!$A:$C,3,FALSE),"")="Sí",B218=""),"Falta el N° de entrega",IF(N(I218)&lt;=0,"Falta la cantidad","OK")))))))</f>
        <v/>
      </c>
    </row>
    <row r="219">
      <c r="A219" s="7" t="n"/>
      <c r="B219" s="7" t="n"/>
      <c r="C219" s="7" t="n"/>
      <c r="D219" s="8" t="n"/>
      <c r="E219" s="8" t="n"/>
      <c r="F219" s="8" t="n"/>
      <c r="G219" s="9">
        <f>IF(C219="","",IFERROR(VLOOKUP(C219,MAESTRO!$A:$B,2,FALSE),"—"))</f>
        <v/>
      </c>
      <c r="H219" s="9">
        <f>IF(A219="","",IFERROR(VLOOKUP(A219,TIPOS!$A:$B,2,FALSE),""))</f>
        <v/>
      </c>
      <c r="I219" s="10">
        <f>IF(C219="","",IFERROR((N(D219)*N(VLOOKUP(C219,MAESTRO!$A:$D,4,FALSE))+N(E219))*VLOOKUP(C219,MAESTRO!$A:$C,3,FALSE)+N(F219),""))</f>
        <v/>
      </c>
      <c r="J219" s="9">
        <f>IF(OR(C219="",IFERROR(VLOOKUP(A219,TIPOS!$A:$E,5,FALSE),"No")&lt;&gt;"Sí"),"",IFERROR(IF(VLOOKUP(C219,MAESTRO!$A:$E,5,FALSE)=0,"",VLOOKUP(C219,MAESTRO!$A:$E,5,FALSE)),""))</f>
        <v/>
      </c>
      <c r="K219" s="10">
        <f>IF(OR(J219="",N(I219)=0,IFERROR(VLOOKUP(A219,TIPOS!$A:$E,5,FALSE),"No")&lt;&gt;"Sí"),"",INT(I219/VLOOKUP(C219,MAESTRO!$A:$C,3,FALSE)))</f>
        <v/>
      </c>
      <c r="L219" s="9">
        <f>IF(AND(A219="",C219=""),"",IF(A219="","Falta el tipo",IF(C219="","Falta el código",IF(ISNA(MATCH(C219,MAESTRO!$A:$A,0)),"El código no está en el maestro",IF(AND(N(D219)&gt;0,N(VLOOKUP(C219,MAESTRO!$A:$D,4,FALSE))=0),"Ese código no tiene cajas por estiba: escribe cajas",IF(AND(IFERROR(VLOOKUP(A219,TIPOS!$A:$C,3,FALSE),"")="Sí",B219=""),"Falta el N° de entrega",IF(N(I219)&lt;=0,"Falta la cantidad","OK")))))))</f>
        <v/>
      </c>
    </row>
    <row r="220">
      <c r="A220" s="7" t="n"/>
      <c r="B220" s="7" t="n"/>
      <c r="C220" s="7" t="n"/>
      <c r="D220" s="8" t="n"/>
      <c r="E220" s="8" t="n"/>
      <c r="F220" s="8" t="n"/>
      <c r="G220" s="9">
        <f>IF(C220="","",IFERROR(VLOOKUP(C220,MAESTRO!$A:$B,2,FALSE),"—"))</f>
        <v/>
      </c>
      <c r="H220" s="9">
        <f>IF(A220="","",IFERROR(VLOOKUP(A220,TIPOS!$A:$B,2,FALSE),""))</f>
        <v/>
      </c>
      <c r="I220" s="10">
        <f>IF(C220="","",IFERROR((N(D220)*N(VLOOKUP(C220,MAESTRO!$A:$D,4,FALSE))+N(E220))*VLOOKUP(C220,MAESTRO!$A:$C,3,FALSE)+N(F220),""))</f>
        <v/>
      </c>
      <c r="J220" s="9">
        <f>IF(OR(C220="",IFERROR(VLOOKUP(A220,TIPOS!$A:$E,5,FALSE),"No")&lt;&gt;"Sí"),"",IFERROR(IF(VLOOKUP(C220,MAESTRO!$A:$E,5,FALSE)=0,"",VLOOKUP(C220,MAESTRO!$A:$E,5,FALSE)),""))</f>
        <v/>
      </c>
      <c r="K220" s="10">
        <f>IF(OR(J220="",N(I220)=0,IFERROR(VLOOKUP(A220,TIPOS!$A:$E,5,FALSE),"No")&lt;&gt;"Sí"),"",INT(I220/VLOOKUP(C220,MAESTRO!$A:$C,3,FALSE)))</f>
        <v/>
      </c>
      <c r="L220" s="9">
        <f>IF(AND(A220="",C220=""),"",IF(A220="","Falta el tipo",IF(C220="","Falta el código",IF(ISNA(MATCH(C220,MAESTRO!$A:$A,0)),"El código no está en el maestro",IF(AND(N(D220)&gt;0,N(VLOOKUP(C220,MAESTRO!$A:$D,4,FALSE))=0),"Ese código no tiene cajas por estiba: escribe cajas",IF(AND(IFERROR(VLOOKUP(A220,TIPOS!$A:$C,3,FALSE),"")="Sí",B220=""),"Falta el N° de entrega",IF(N(I220)&lt;=0,"Falta la cantidad","OK")))))))</f>
        <v/>
      </c>
    </row>
    <row r="221">
      <c r="A221" s="7" t="n"/>
      <c r="B221" s="7" t="n"/>
      <c r="C221" s="7" t="n"/>
      <c r="D221" s="8" t="n"/>
      <c r="E221" s="8" t="n"/>
      <c r="F221" s="8" t="n"/>
      <c r="G221" s="9">
        <f>IF(C221="","",IFERROR(VLOOKUP(C221,MAESTRO!$A:$B,2,FALSE),"—"))</f>
        <v/>
      </c>
      <c r="H221" s="9">
        <f>IF(A221="","",IFERROR(VLOOKUP(A221,TIPOS!$A:$B,2,FALSE),""))</f>
        <v/>
      </c>
      <c r="I221" s="10">
        <f>IF(C221="","",IFERROR((N(D221)*N(VLOOKUP(C221,MAESTRO!$A:$D,4,FALSE))+N(E221))*VLOOKUP(C221,MAESTRO!$A:$C,3,FALSE)+N(F221),""))</f>
        <v/>
      </c>
      <c r="J221" s="9">
        <f>IF(OR(C221="",IFERROR(VLOOKUP(A221,TIPOS!$A:$E,5,FALSE),"No")&lt;&gt;"Sí"),"",IFERROR(IF(VLOOKUP(C221,MAESTRO!$A:$E,5,FALSE)=0,"",VLOOKUP(C221,MAESTRO!$A:$E,5,FALSE)),""))</f>
        <v/>
      </c>
      <c r="K221" s="10">
        <f>IF(OR(J221="",N(I221)=0,IFERROR(VLOOKUP(A221,TIPOS!$A:$E,5,FALSE),"No")&lt;&gt;"Sí"),"",INT(I221/VLOOKUP(C221,MAESTRO!$A:$C,3,FALSE)))</f>
        <v/>
      </c>
      <c r="L221" s="9">
        <f>IF(AND(A221="",C221=""),"",IF(A221="","Falta el tipo",IF(C221="","Falta el código",IF(ISNA(MATCH(C221,MAESTRO!$A:$A,0)),"El código no está en el maestro",IF(AND(N(D221)&gt;0,N(VLOOKUP(C221,MAESTRO!$A:$D,4,FALSE))=0),"Ese código no tiene cajas por estiba: escribe cajas",IF(AND(IFERROR(VLOOKUP(A221,TIPOS!$A:$C,3,FALSE),"")="Sí",B221=""),"Falta el N° de entrega",IF(N(I221)&lt;=0,"Falta la cantidad","OK")))))))</f>
        <v/>
      </c>
    </row>
    <row r="222">
      <c r="A222" s="7" t="n"/>
      <c r="B222" s="7" t="n"/>
      <c r="C222" s="7" t="n"/>
      <c r="D222" s="8" t="n"/>
      <c r="E222" s="8" t="n"/>
      <c r="F222" s="8" t="n"/>
      <c r="G222" s="9">
        <f>IF(C222="","",IFERROR(VLOOKUP(C222,MAESTRO!$A:$B,2,FALSE),"—"))</f>
        <v/>
      </c>
      <c r="H222" s="9">
        <f>IF(A222="","",IFERROR(VLOOKUP(A222,TIPOS!$A:$B,2,FALSE),""))</f>
        <v/>
      </c>
      <c r="I222" s="10">
        <f>IF(C222="","",IFERROR((N(D222)*N(VLOOKUP(C222,MAESTRO!$A:$D,4,FALSE))+N(E222))*VLOOKUP(C222,MAESTRO!$A:$C,3,FALSE)+N(F222),""))</f>
        <v/>
      </c>
      <c r="J222" s="9">
        <f>IF(OR(C222="",IFERROR(VLOOKUP(A222,TIPOS!$A:$E,5,FALSE),"No")&lt;&gt;"Sí"),"",IFERROR(IF(VLOOKUP(C222,MAESTRO!$A:$E,5,FALSE)=0,"",VLOOKUP(C222,MAESTRO!$A:$E,5,FALSE)),""))</f>
        <v/>
      </c>
      <c r="K222" s="10">
        <f>IF(OR(J222="",N(I222)=0,IFERROR(VLOOKUP(A222,TIPOS!$A:$E,5,FALSE),"No")&lt;&gt;"Sí"),"",INT(I222/VLOOKUP(C222,MAESTRO!$A:$C,3,FALSE)))</f>
        <v/>
      </c>
      <c r="L222" s="9">
        <f>IF(AND(A222="",C222=""),"",IF(A222="","Falta el tipo",IF(C222="","Falta el código",IF(ISNA(MATCH(C222,MAESTRO!$A:$A,0)),"El código no está en el maestro",IF(AND(N(D222)&gt;0,N(VLOOKUP(C222,MAESTRO!$A:$D,4,FALSE))=0),"Ese código no tiene cajas por estiba: escribe cajas",IF(AND(IFERROR(VLOOKUP(A222,TIPOS!$A:$C,3,FALSE),"")="Sí",B222=""),"Falta el N° de entrega",IF(N(I222)&lt;=0,"Falta la cantidad","OK")))))))</f>
        <v/>
      </c>
    </row>
    <row r="223">
      <c r="A223" s="7" t="n"/>
      <c r="B223" s="7" t="n"/>
      <c r="C223" s="7" t="n"/>
      <c r="D223" s="8" t="n"/>
      <c r="E223" s="8" t="n"/>
      <c r="F223" s="8" t="n"/>
      <c r="G223" s="9">
        <f>IF(C223="","",IFERROR(VLOOKUP(C223,MAESTRO!$A:$B,2,FALSE),"—"))</f>
        <v/>
      </c>
      <c r="H223" s="9">
        <f>IF(A223="","",IFERROR(VLOOKUP(A223,TIPOS!$A:$B,2,FALSE),""))</f>
        <v/>
      </c>
      <c r="I223" s="10">
        <f>IF(C223="","",IFERROR((N(D223)*N(VLOOKUP(C223,MAESTRO!$A:$D,4,FALSE))+N(E223))*VLOOKUP(C223,MAESTRO!$A:$C,3,FALSE)+N(F223),""))</f>
        <v/>
      </c>
      <c r="J223" s="9">
        <f>IF(OR(C223="",IFERROR(VLOOKUP(A223,TIPOS!$A:$E,5,FALSE),"No")&lt;&gt;"Sí"),"",IFERROR(IF(VLOOKUP(C223,MAESTRO!$A:$E,5,FALSE)=0,"",VLOOKUP(C223,MAESTRO!$A:$E,5,FALSE)),""))</f>
        <v/>
      </c>
      <c r="K223" s="10">
        <f>IF(OR(J223="",N(I223)=0,IFERROR(VLOOKUP(A223,TIPOS!$A:$E,5,FALSE),"No")&lt;&gt;"Sí"),"",INT(I223/VLOOKUP(C223,MAESTRO!$A:$C,3,FALSE)))</f>
        <v/>
      </c>
      <c r="L223" s="9">
        <f>IF(AND(A223="",C223=""),"",IF(A223="","Falta el tipo",IF(C223="","Falta el código",IF(ISNA(MATCH(C223,MAESTRO!$A:$A,0)),"El código no está en el maestro",IF(AND(N(D223)&gt;0,N(VLOOKUP(C223,MAESTRO!$A:$D,4,FALSE))=0),"Ese código no tiene cajas por estiba: escribe cajas",IF(AND(IFERROR(VLOOKUP(A223,TIPOS!$A:$C,3,FALSE),"")="Sí",B223=""),"Falta el N° de entrega",IF(N(I223)&lt;=0,"Falta la cantidad","OK")))))))</f>
        <v/>
      </c>
    </row>
    <row r="224">
      <c r="A224" s="7" t="n"/>
      <c r="B224" s="7" t="n"/>
      <c r="C224" s="7" t="n"/>
      <c r="D224" s="8" t="n"/>
      <c r="E224" s="8" t="n"/>
      <c r="F224" s="8" t="n"/>
      <c r="G224" s="9">
        <f>IF(C224="","",IFERROR(VLOOKUP(C224,MAESTRO!$A:$B,2,FALSE),"—"))</f>
        <v/>
      </c>
      <c r="H224" s="9">
        <f>IF(A224="","",IFERROR(VLOOKUP(A224,TIPOS!$A:$B,2,FALSE),""))</f>
        <v/>
      </c>
      <c r="I224" s="10">
        <f>IF(C224="","",IFERROR((N(D224)*N(VLOOKUP(C224,MAESTRO!$A:$D,4,FALSE))+N(E224))*VLOOKUP(C224,MAESTRO!$A:$C,3,FALSE)+N(F224),""))</f>
        <v/>
      </c>
      <c r="J224" s="9">
        <f>IF(OR(C224="",IFERROR(VLOOKUP(A224,TIPOS!$A:$E,5,FALSE),"No")&lt;&gt;"Sí"),"",IFERROR(IF(VLOOKUP(C224,MAESTRO!$A:$E,5,FALSE)=0,"",VLOOKUP(C224,MAESTRO!$A:$E,5,FALSE)),""))</f>
        <v/>
      </c>
      <c r="K224" s="10">
        <f>IF(OR(J224="",N(I224)=0,IFERROR(VLOOKUP(A224,TIPOS!$A:$E,5,FALSE),"No")&lt;&gt;"Sí"),"",INT(I224/VLOOKUP(C224,MAESTRO!$A:$C,3,FALSE)))</f>
        <v/>
      </c>
      <c r="L224" s="9">
        <f>IF(AND(A224="",C224=""),"",IF(A224="","Falta el tipo",IF(C224="","Falta el código",IF(ISNA(MATCH(C224,MAESTRO!$A:$A,0)),"El código no está en el maestro",IF(AND(N(D224)&gt;0,N(VLOOKUP(C224,MAESTRO!$A:$D,4,FALSE))=0),"Ese código no tiene cajas por estiba: escribe cajas",IF(AND(IFERROR(VLOOKUP(A224,TIPOS!$A:$C,3,FALSE),"")="Sí",B224=""),"Falta el N° de entrega",IF(N(I224)&lt;=0,"Falta la cantidad","OK")))))))</f>
        <v/>
      </c>
    </row>
    <row r="225">
      <c r="A225" s="7" t="n"/>
      <c r="B225" s="7" t="n"/>
      <c r="C225" s="7" t="n"/>
      <c r="D225" s="8" t="n"/>
      <c r="E225" s="8" t="n"/>
      <c r="F225" s="8" t="n"/>
      <c r="G225" s="9">
        <f>IF(C225="","",IFERROR(VLOOKUP(C225,MAESTRO!$A:$B,2,FALSE),"—"))</f>
        <v/>
      </c>
      <c r="H225" s="9">
        <f>IF(A225="","",IFERROR(VLOOKUP(A225,TIPOS!$A:$B,2,FALSE),""))</f>
        <v/>
      </c>
      <c r="I225" s="10">
        <f>IF(C225="","",IFERROR((N(D225)*N(VLOOKUP(C225,MAESTRO!$A:$D,4,FALSE))+N(E225))*VLOOKUP(C225,MAESTRO!$A:$C,3,FALSE)+N(F225),""))</f>
        <v/>
      </c>
      <c r="J225" s="9">
        <f>IF(OR(C225="",IFERROR(VLOOKUP(A225,TIPOS!$A:$E,5,FALSE),"No")&lt;&gt;"Sí"),"",IFERROR(IF(VLOOKUP(C225,MAESTRO!$A:$E,5,FALSE)=0,"",VLOOKUP(C225,MAESTRO!$A:$E,5,FALSE)),""))</f>
        <v/>
      </c>
      <c r="K225" s="10">
        <f>IF(OR(J225="",N(I225)=0,IFERROR(VLOOKUP(A225,TIPOS!$A:$E,5,FALSE),"No")&lt;&gt;"Sí"),"",INT(I225/VLOOKUP(C225,MAESTRO!$A:$C,3,FALSE)))</f>
        <v/>
      </c>
      <c r="L225" s="9">
        <f>IF(AND(A225="",C225=""),"",IF(A225="","Falta el tipo",IF(C225="","Falta el código",IF(ISNA(MATCH(C225,MAESTRO!$A:$A,0)),"El código no está en el maestro",IF(AND(N(D225)&gt;0,N(VLOOKUP(C225,MAESTRO!$A:$D,4,FALSE))=0),"Ese código no tiene cajas por estiba: escribe cajas",IF(AND(IFERROR(VLOOKUP(A225,TIPOS!$A:$C,3,FALSE),"")="Sí",B225=""),"Falta el N° de entrega",IF(N(I225)&lt;=0,"Falta la cantidad","OK")))))))</f>
        <v/>
      </c>
    </row>
    <row r="226">
      <c r="A226" s="7" t="n"/>
      <c r="B226" s="7" t="n"/>
      <c r="C226" s="7" t="n"/>
      <c r="D226" s="8" t="n"/>
      <c r="E226" s="8" t="n"/>
      <c r="F226" s="8" t="n"/>
      <c r="G226" s="9">
        <f>IF(C226="","",IFERROR(VLOOKUP(C226,MAESTRO!$A:$B,2,FALSE),"—"))</f>
        <v/>
      </c>
      <c r="H226" s="9">
        <f>IF(A226="","",IFERROR(VLOOKUP(A226,TIPOS!$A:$B,2,FALSE),""))</f>
        <v/>
      </c>
      <c r="I226" s="10">
        <f>IF(C226="","",IFERROR((N(D226)*N(VLOOKUP(C226,MAESTRO!$A:$D,4,FALSE))+N(E226))*VLOOKUP(C226,MAESTRO!$A:$C,3,FALSE)+N(F226),""))</f>
        <v/>
      </c>
      <c r="J226" s="9">
        <f>IF(OR(C226="",IFERROR(VLOOKUP(A226,TIPOS!$A:$E,5,FALSE),"No")&lt;&gt;"Sí"),"",IFERROR(IF(VLOOKUP(C226,MAESTRO!$A:$E,5,FALSE)=0,"",VLOOKUP(C226,MAESTRO!$A:$E,5,FALSE)),""))</f>
        <v/>
      </c>
      <c r="K226" s="10">
        <f>IF(OR(J226="",N(I226)=0,IFERROR(VLOOKUP(A226,TIPOS!$A:$E,5,FALSE),"No")&lt;&gt;"Sí"),"",INT(I226/VLOOKUP(C226,MAESTRO!$A:$C,3,FALSE)))</f>
        <v/>
      </c>
      <c r="L226" s="9">
        <f>IF(AND(A226="",C226=""),"",IF(A226="","Falta el tipo",IF(C226="","Falta el código",IF(ISNA(MATCH(C226,MAESTRO!$A:$A,0)),"El código no está en el maestro",IF(AND(N(D226)&gt;0,N(VLOOKUP(C226,MAESTRO!$A:$D,4,FALSE))=0),"Ese código no tiene cajas por estiba: escribe cajas",IF(AND(IFERROR(VLOOKUP(A226,TIPOS!$A:$C,3,FALSE),"")="Sí",B226=""),"Falta el N° de entrega",IF(N(I226)&lt;=0,"Falta la cantidad","OK")))))))</f>
        <v/>
      </c>
    </row>
    <row r="227">
      <c r="A227" s="7" t="n"/>
      <c r="B227" s="7" t="n"/>
      <c r="C227" s="7" t="n"/>
      <c r="D227" s="8" t="n"/>
      <c r="E227" s="8" t="n"/>
      <c r="F227" s="8" t="n"/>
      <c r="G227" s="9">
        <f>IF(C227="","",IFERROR(VLOOKUP(C227,MAESTRO!$A:$B,2,FALSE),"—"))</f>
        <v/>
      </c>
      <c r="H227" s="9">
        <f>IF(A227="","",IFERROR(VLOOKUP(A227,TIPOS!$A:$B,2,FALSE),""))</f>
        <v/>
      </c>
      <c r="I227" s="10">
        <f>IF(C227="","",IFERROR((N(D227)*N(VLOOKUP(C227,MAESTRO!$A:$D,4,FALSE))+N(E227))*VLOOKUP(C227,MAESTRO!$A:$C,3,FALSE)+N(F227),""))</f>
        <v/>
      </c>
      <c r="J227" s="9">
        <f>IF(OR(C227="",IFERROR(VLOOKUP(A227,TIPOS!$A:$E,5,FALSE),"No")&lt;&gt;"Sí"),"",IFERROR(IF(VLOOKUP(C227,MAESTRO!$A:$E,5,FALSE)=0,"",VLOOKUP(C227,MAESTRO!$A:$E,5,FALSE)),""))</f>
        <v/>
      </c>
      <c r="K227" s="10">
        <f>IF(OR(J227="",N(I227)=0,IFERROR(VLOOKUP(A227,TIPOS!$A:$E,5,FALSE),"No")&lt;&gt;"Sí"),"",INT(I227/VLOOKUP(C227,MAESTRO!$A:$C,3,FALSE)))</f>
        <v/>
      </c>
      <c r="L227" s="9">
        <f>IF(AND(A227="",C227=""),"",IF(A227="","Falta el tipo",IF(C227="","Falta el código",IF(ISNA(MATCH(C227,MAESTRO!$A:$A,0)),"El código no está en el maestro",IF(AND(N(D227)&gt;0,N(VLOOKUP(C227,MAESTRO!$A:$D,4,FALSE))=0),"Ese código no tiene cajas por estiba: escribe cajas",IF(AND(IFERROR(VLOOKUP(A227,TIPOS!$A:$C,3,FALSE),"")="Sí",B227=""),"Falta el N° de entrega",IF(N(I227)&lt;=0,"Falta la cantidad","OK")))))))</f>
        <v/>
      </c>
    </row>
    <row r="228">
      <c r="A228" s="7" t="n"/>
      <c r="B228" s="7" t="n"/>
      <c r="C228" s="7" t="n"/>
      <c r="D228" s="8" t="n"/>
      <c r="E228" s="8" t="n"/>
      <c r="F228" s="8" t="n"/>
      <c r="G228" s="9">
        <f>IF(C228="","",IFERROR(VLOOKUP(C228,MAESTRO!$A:$B,2,FALSE),"—"))</f>
        <v/>
      </c>
      <c r="H228" s="9">
        <f>IF(A228="","",IFERROR(VLOOKUP(A228,TIPOS!$A:$B,2,FALSE),""))</f>
        <v/>
      </c>
      <c r="I228" s="10">
        <f>IF(C228="","",IFERROR((N(D228)*N(VLOOKUP(C228,MAESTRO!$A:$D,4,FALSE))+N(E228))*VLOOKUP(C228,MAESTRO!$A:$C,3,FALSE)+N(F228),""))</f>
        <v/>
      </c>
      <c r="J228" s="9">
        <f>IF(OR(C228="",IFERROR(VLOOKUP(A228,TIPOS!$A:$E,5,FALSE),"No")&lt;&gt;"Sí"),"",IFERROR(IF(VLOOKUP(C228,MAESTRO!$A:$E,5,FALSE)=0,"",VLOOKUP(C228,MAESTRO!$A:$E,5,FALSE)),""))</f>
        <v/>
      </c>
      <c r="K228" s="10">
        <f>IF(OR(J228="",N(I228)=0,IFERROR(VLOOKUP(A228,TIPOS!$A:$E,5,FALSE),"No")&lt;&gt;"Sí"),"",INT(I228/VLOOKUP(C228,MAESTRO!$A:$C,3,FALSE)))</f>
        <v/>
      </c>
      <c r="L228" s="9">
        <f>IF(AND(A228="",C228=""),"",IF(A228="","Falta el tipo",IF(C228="","Falta el código",IF(ISNA(MATCH(C228,MAESTRO!$A:$A,0)),"El código no está en el maestro",IF(AND(N(D228)&gt;0,N(VLOOKUP(C228,MAESTRO!$A:$D,4,FALSE))=0),"Ese código no tiene cajas por estiba: escribe cajas",IF(AND(IFERROR(VLOOKUP(A228,TIPOS!$A:$C,3,FALSE),"")="Sí",B228=""),"Falta el N° de entrega",IF(N(I228)&lt;=0,"Falta la cantidad","OK")))))))</f>
        <v/>
      </c>
    </row>
    <row r="229">
      <c r="A229" s="7" t="n"/>
      <c r="B229" s="7" t="n"/>
      <c r="C229" s="7" t="n"/>
      <c r="D229" s="8" t="n"/>
      <c r="E229" s="8" t="n"/>
      <c r="F229" s="8" t="n"/>
      <c r="G229" s="9">
        <f>IF(C229="","",IFERROR(VLOOKUP(C229,MAESTRO!$A:$B,2,FALSE),"—"))</f>
        <v/>
      </c>
      <c r="H229" s="9">
        <f>IF(A229="","",IFERROR(VLOOKUP(A229,TIPOS!$A:$B,2,FALSE),""))</f>
        <v/>
      </c>
      <c r="I229" s="10">
        <f>IF(C229="","",IFERROR((N(D229)*N(VLOOKUP(C229,MAESTRO!$A:$D,4,FALSE))+N(E229))*VLOOKUP(C229,MAESTRO!$A:$C,3,FALSE)+N(F229),""))</f>
        <v/>
      </c>
      <c r="J229" s="9">
        <f>IF(OR(C229="",IFERROR(VLOOKUP(A229,TIPOS!$A:$E,5,FALSE),"No")&lt;&gt;"Sí"),"",IFERROR(IF(VLOOKUP(C229,MAESTRO!$A:$E,5,FALSE)=0,"",VLOOKUP(C229,MAESTRO!$A:$E,5,FALSE)),""))</f>
        <v/>
      </c>
      <c r="K229" s="10">
        <f>IF(OR(J229="",N(I229)=0,IFERROR(VLOOKUP(A229,TIPOS!$A:$E,5,FALSE),"No")&lt;&gt;"Sí"),"",INT(I229/VLOOKUP(C229,MAESTRO!$A:$C,3,FALSE)))</f>
        <v/>
      </c>
      <c r="L229" s="9">
        <f>IF(AND(A229="",C229=""),"",IF(A229="","Falta el tipo",IF(C229="","Falta el código",IF(ISNA(MATCH(C229,MAESTRO!$A:$A,0)),"El código no está en el maestro",IF(AND(N(D229)&gt;0,N(VLOOKUP(C229,MAESTRO!$A:$D,4,FALSE))=0),"Ese código no tiene cajas por estiba: escribe cajas",IF(AND(IFERROR(VLOOKUP(A229,TIPOS!$A:$C,3,FALSE),"")="Sí",B229=""),"Falta el N° de entrega",IF(N(I229)&lt;=0,"Falta la cantidad","OK")))))))</f>
        <v/>
      </c>
    </row>
    <row r="230">
      <c r="A230" s="7" t="n"/>
      <c r="B230" s="7" t="n"/>
      <c r="C230" s="7" t="n"/>
      <c r="D230" s="8" t="n"/>
      <c r="E230" s="8" t="n"/>
      <c r="F230" s="8" t="n"/>
      <c r="G230" s="9">
        <f>IF(C230="","",IFERROR(VLOOKUP(C230,MAESTRO!$A:$B,2,FALSE),"—"))</f>
        <v/>
      </c>
      <c r="H230" s="9">
        <f>IF(A230="","",IFERROR(VLOOKUP(A230,TIPOS!$A:$B,2,FALSE),""))</f>
        <v/>
      </c>
      <c r="I230" s="10">
        <f>IF(C230="","",IFERROR((N(D230)*N(VLOOKUP(C230,MAESTRO!$A:$D,4,FALSE))+N(E230))*VLOOKUP(C230,MAESTRO!$A:$C,3,FALSE)+N(F230),""))</f>
        <v/>
      </c>
      <c r="J230" s="9">
        <f>IF(OR(C230="",IFERROR(VLOOKUP(A230,TIPOS!$A:$E,5,FALSE),"No")&lt;&gt;"Sí"),"",IFERROR(IF(VLOOKUP(C230,MAESTRO!$A:$E,5,FALSE)=0,"",VLOOKUP(C230,MAESTRO!$A:$E,5,FALSE)),""))</f>
        <v/>
      </c>
      <c r="K230" s="10">
        <f>IF(OR(J230="",N(I230)=0,IFERROR(VLOOKUP(A230,TIPOS!$A:$E,5,FALSE),"No")&lt;&gt;"Sí"),"",INT(I230/VLOOKUP(C230,MAESTRO!$A:$C,3,FALSE)))</f>
        <v/>
      </c>
      <c r="L230" s="9">
        <f>IF(AND(A230="",C230=""),"",IF(A230="","Falta el tipo",IF(C230="","Falta el código",IF(ISNA(MATCH(C230,MAESTRO!$A:$A,0)),"El código no está en el maestro",IF(AND(N(D230)&gt;0,N(VLOOKUP(C230,MAESTRO!$A:$D,4,FALSE))=0),"Ese código no tiene cajas por estiba: escribe cajas",IF(AND(IFERROR(VLOOKUP(A230,TIPOS!$A:$C,3,FALSE),"")="Sí",B230=""),"Falta el N° de entrega",IF(N(I230)&lt;=0,"Falta la cantidad","OK")))))))</f>
        <v/>
      </c>
    </row>
    <row r="231">
      <c r="A231" s="7" t="n"/>
      <c r="B231" s="7" t="n"/>
      <c r="C231" s="7" t="n"/>
      <c r="D231" s="8" t="n"/>
      <c r="E231" s="8" t="n"/>
      <c r="F231" s="8" t="n"/>
      <c r="G231" s="9">
        <f>IF(C231="","",IFERROR(VLOOKUP(C231,MAESTRO!$A:$B,2,FALSE),"—"))</f>
        <v/>
      </c>
      <c r="H231" s="9">
        <f>IF(A231="","",IFERROR(VLOOKUP(A231,TIPOS!$A:$B,2,FALSE),""))</f>
        <v/>
      </c>
      <c r="I231" s="10">
        <f>IF(C231="","",IFERROR((N(D231)*N(VLOOKUP(C231,MAESTRO!$A:$D,4,FALSE))+N(E231))*VLOOKUP(C231,MAESTRO!$A:$C,3,FALSE)+N(F231),""))</f>
        <v/>
      </c>
      <c r="J231" s="9">
        <f>IF(OR(C231="",IFERROR(VLOOKUP(A231,TIPOS!$A:$E,5,FALSE),"No")&lt;&gt;"Sí"),"",IFERROR(IF(VLOOKUP(C231,MAESTRO!$A:$E,5,FALSE)=0,"",VLOOKUP(C231,MAESTRO!$A:$E,5,FALSE)),""))</f>
        <v/>
      </c>
      <c r="K231" s="10">
        <f>IF(OR(J231="",N(I231)=0,IFERROR(VLOOKUP(A231,TIPOS!$A:$E,5,FALSE),"No")&lt;&gt;"Sí"),"",INT(I231/VLOOKUP(C231,MAESTRO!$A:$C,3,FALSE)))</f>
        <v/>
      </c>
      <c r="L231" s="9">
        <f>IF(AND(A231="",C231=""),"",IF(A231="","Falta el tipo",IF(C231="","Falta el código",IF(ISNA(MATCH(C231,MAESTRO!$A:$A,0)),"El código no está en el maestro",IF(AND(N(D231)&gt;0,N(VLOOKUP(C231,MAESTRO!$A:$D,4,FALSE))=0),"Ese código no tiene cajas por estiba: escribe cajas",IF(AND(IFERROR(VLOOKUP(A231,TIPOS!$A:$C,3,FALSE),"")="Sí",B231=""),"Falta el N° de entrega",IF(N(I231)&lt;=0,"Falta la cantidad","OK")))))))</f>
        <v/>
      </c>
    </row>
    <row r="232">
      <c r="A232" s="7" t="n"/>
      <c r="B232" s="7" t="n"/>
      <c r="C232" s="7" t="n"/>
      <c r="D232" s="8" t="n"/>
      <c r="E232" s="8" t="n"/>
      <c r="F232" s="8" t="n"/>
      <c r="G232" s="9">
        <f>IF(C232="","",IFERROR(VLOOKUP(C232,MAESTRO!$A:$B,2,FALSE),"—"))</f>
        <v/>
      </c>
      <c r="H232" s="9">
        <f>IF(A232="","",IFERROR(VLOOKUP(A232,TIPOS!$A:$B,2,FALSE),""))</f>
        <v/>
      </c>
      <c r="I232" s="10">
        <f>IF(C232="","",IFERROR((N(D232)*N(VLOOKUP(C232,MAESTRO!$A:$D,4,FALSE))+N(E232))*VLOOKUP(C232,MAESTRO!$A:$C,3,FALSE)+N(F232),""))</f>
        <v/>
      </c>
      <c r="J232" s="9">
        <f>IF(OR(C232="",IFERROR(VLOOKUP(A232,TIPOS!$A:$E,5,FALSE),"No")&lt;&gt;"Sí"),"",IFERROR(IF(VLOOKUP(C232,MAESTRO!$A:$E,5,FALSE)=0,"",VLOOKUP(C232,MAESTRO!$A:$E,5,FALSE)),""))</f>
        <v/>
      </c>
      <c r="K232" s="10">
        <f>IF(OR(J232="",N(I232)=0,IFERROR(VLOOKUP(A232,TIPOS!$A:$E,5,FALSE),"No")&lt;&gt;"Sí"),"",INT(I232/VLOOKUP(C232,MAESTRO!$A:$C,3,FALSE)))</f>
        <v/>
      </c>
      <c r="L232" s="9">
        <f>IF(AND(A232="",C232=""),"",IF(A232="","Falta el tipo",IF(C232="","Falta el código",IF(ISNA(MATCH(C232,MAESTRO!$A:$A,0)),"El código no está en el maestro",IF(AND(N(D232)&gt;0,N(VLOOKUP(C232,MAESTRO!$A:$D,4,FALSE))=0),"Ese código no tiene cajas por estiba: escribe cajas",IF(AND(IFERROR(VLOOKUP(A232,TIPOS!$A:$C,3,FALSE),"")="Sí",B232=""),"Falta el N° de entrega",IF(N(I232)&lt;=0,"Falta la cantidad","OK")))))))</f>
        <v/>
      </c>
    </row>
    <row r="233">
      <c r="A233" s="7" t="n"/>
      <c r="B233" s="7" t="n"/>
      <c r="C233" s="7" t="n"/>
      <c r="D233" s="8" t="n"/>
      <c r="E233" s="8" t="n"/>
      <c r="F233" s="8" t="n"/>
      <c r="G233" s="9">
        <f>IF(C233="","",IFERROR(VLOOKUP(C233,MAESTRO!$A:$B,2,FALSE),"—"))</f>
        <v/>
      </c>
      <c r="H233" s="9">
        <f>IF(A233="","",IFERROR(VLOOKUP(A233,TIPOS!$A:$B,2,FALSE),""))</f>
        <v/>
      </c>
      <c r="I233" s="10">
        <f>IF(C233="","",IFERROR((N(D233)*N(VLOOKUP(C233,MAESTRO!$A:$D,4,FALSE))+N(E233))*VLOOKUP(C233,MAESTRO!$A:$C,3,FALSE)+N(F233),""))</f>
        <v/>
      </c>
      <c r="J233" s="9">
        <f>IF(OR(C233="",IFERROR(VLOOKUP(A233,TIPOS!$A:$E,5,FALSE),"No")&lt;&gt;"Sí"),"",IFERROR(IF(VLOOKUP(C233,MAESTRO!$A:$E,5,FALSE)=0,"",VLOOKUP(C233,MAESTRO!$A:$E,5,FALSE)),""))</f>
        <v/>
      </c>
      <c r="K233" s="10">
        <f>IF(OR(J233="",N(I233)=0,IFERROR(VLOOKUP(A233,TIPOS!$A:$E,5,FALSE),"No")&lt;&gt;"Sí"),"",INT(I233/VLOOKUP(C233,MAESTRO!$A:$C,3,FALSE)))</f>
        <v/>
      </c>
      <c r="L233" s="9">
        <f>IF(AND(A233="",C233=""),"",IF(A233="","Falta el tipo",IF(C233="","Falta el código",IF(ISNA(MATCH(C233,MAESTRO!$A:$A,0)),"El código no está en el maestro",IF(AND(N(D233)&gt;0,N(VLOOKUP(C233,MAESTRO!$A:$D,4,FALSE))=0),"Ese código no tiene cajas por estiba: escribe cajas",IF(AND(IFERROR(VLOOKUP(A233,TIPOS!$A:$C,3,FALSE),"")="Sí",B233=""),"Falta el N° de entrega",IF(N(I233)&lt;=0,"Falta la cantidad","OK")))))))</f>
        <v/>
      </c>
    </row>
    <row r="234">
      <c r="A234" s="7" t="n"/>
      <c r="B234" s="7" t="n"/>
      <c r="C234" s="7" t="n"/>
      <c r="D234" s="8" t="n"/>
      <c r="E234" s="8" t="n"/>
      <c r="F234" s="8" t="n"/>
      <c r="G234" s="9">
        <f>IF(C234="","",IFERROR(VLOOKUP(C234,MAESTRO!$A:$B,2,FALSE),"—"))</f>
        <v/>
      </c>
      <c r="H234" s="9">
        <f>IF(A234="","",IFERROR(VLOOKUP(A234,TIPOS!$A:$B,2,FALSE),""))</f>
        <v/>
      </c>
      <c r="I234" s="10">
        <f>IF(C234="","",IFERROR((N(D234)*N(VLOOKUP(C234,MAESTRO!$A:$D,4,FALSE))+N(E234))*VLOOKUP(C234,MAESTRO!$A:$C,3,FALSE)+N(F234),""))</f>
        <v/>
      </c>
      <c r="J234" s="9">
        <f>IF(OR(C234="",IFERROR(VLOOKUP(A234,TIPOS!$A:$E,5,FALSE),"No")&lt;&gt;"Sí"),"",IFERROR(IF(VLOOKUP(C234,MAESTRO!$A:$E,5,FALSE)=0,"",VLOOKUP(C234,MAESTRO!$A:$E,5,FALSE)),""))</f>
        <v/>
      </c>
      <c r="K234" s="10">
        <f>IF(OR(J234="",N(I234)=0,IFERROR(VLOOKUP(A234,TIPOS!$A:$E,5,FALSE),"No")&lt;&gt;"Sí"),"",INT(I234/VLOOKUP(C234,MAESTRO!$A:$C,3,FALSE)))</f>
        <v/>
      </c>
      <c r="L234" s="9">
        <f>IF(AND(A234="",C234=""),"",IF(A234="","Falta el tipo",IF(C234="","Falta el código",IF(ISNA(MATCH(C234,MAESTRO!$A:$A,0)),"El código no está en el maestro",IF(AND(N(D234)&gt;0,N(VLOOKUP(C234,MAESTRO!$A:$D,4,FALSE))=0),"Ese código no tiene cajas por estiba: escribe cajas",IF(AND(IFERROR(VLOOKUP(A234,TIPOS!$A:$C,3,FALSE),"")="Sí",B234=""),"Falta el N° de entrega",IF(N(I234)&lt;=0,"Falta la cantidad","OK")))))))</f>
        <v/>
      </c>
    </row>
    <row r="235">
      <c r="A235" s="7" t="n"/>
      <c r="B235" s="7" t="n"/>
      <c r="C235" s="7" t="n"/>
      <c r="D235" s="8" t="n"/>
      <c r="E235" s="8" t="n"/>
      <c r="F235" s="8" t="n"/>
      <c r="G235" s="9">
        <f>IF(C235="","",IFERROR(VLOOKUP(C235,MAESTRO!$A:$B,2,FALSE),"—"))</f>
        <v/>
      </c>
      <c r="H235" s="9">
        <f>IF(A235="","",IFERROR(VLOOKUP(A235,TIPOS!$A:$B,2,FALSE),""))</f>
        <v/>
      </c>
      <c r="I235" s="10">
        <f>IF(C235="","",IFERROR((N(D235)*N(VLOOKUP(C235,MAESTRO!$A:$D,4,FALSE))+N(E235))*VLOOKUP(C235,MAESTRO!$A:$C,3,FALSE)+N(F235),""))</f>
        <v/>
      </c>
      <c r="J235" s="9">
        <f>IF(OR(C235="",IFERROR(VLOOKUP(A235,TIPOS!$A:$E,5,FALSE),"No")&lt;&gt;"Sí"),"",IFERROR(IF(VLOOKUP(C235,MAESTRO!$A:$E,5,FALSE)=0,"",VLOOKUP(C235,MAESTRO!$A:$E,5,FALSE)),""))</f>
        <v/>
      </c>
      <c r="K235" s="10">
        <f>IF(OR(J235="",N(I235)=0,IFERROR(VLOOKUP(A235,TIPOS!$A:$E,5,FALSE),"No")&lt;&gt;"Sí"),"",INT(I235/VLOOKUP(C235,MAESTRO!$A:$C,3,FALSE)))</f>
        <v/>
      </c>
      <c r="L235" s="9">
        <f>IF(AND(A235="",C235=""),"",IF(A235="","Falta el tipo",IF(C235="","Falta el código",IF(ISNA(MATCH(C235,MAESTRO!$A:$A,0)),"El código no está en el maestro",IF(AND(N(D235)&gt;0,N(VLOOKUP(C235,MAESTRO!$A:$D,4,FALSE))=0),"Ese código no tiene cajas por estiba: escribe cajas",IF(AND(IFERROR(VLOOKUP(A235,TIPOS!$A:$C,3,FALSE),"")="Sí",B235=""),"Falta el N° de entrega",IF(N(I235)&lt;=0,"Falta la cantidad","OK")))))))</f>
        <v/>
      </c>
    </row>
    <row r="236">
      <c r="A236" s="7" t="n"/>
      <c r="B236" s="7" t="n"/>
      <c r="C236" s="7" t="n"/>
      <c r="D236" s="8" t="n"/>
      <c r="E236" s="8" t="n"/>
      <c r="F236" s="8" t="n"/>
      <c r="G236" s="9">
        <f>IF(C236="","",IFERROR(VLOOKUP(C236,MAESTRO!$A:$B,2,FALSE),"—"))</f>
        <v/>
      </c>
      <c r="H236" s="9">
        <f>IF(A236="","",IFERROR(VLOOKUP(A236,TIPOS!$A:$B,2,FALSE),""))</f>
        <v/>
      </c>
      <c r="I236" s="10">
        <f>IF(C236="","",IFERROR((N(D236)*N(VLOOKUP(C236,MAESTRO!$A:$D,4,FALSE))+N(E236))*VLOOKUP(C236,MAESTRO!$A:$C,3,FALSE)+N(F236),""))</f>
        <v/>
      </c>
      <c r="J236" s="9">
        <f>IF(OR(C236="",IFERROR(VLOOKUP(A236,TIPOS!$A:$E,5,FALSE),"No")&lt;&gt;"Sí"),"",IFERROR(IF(VLOOKUP(C236,MAESTRO!$A:$E,5,FALSE)=0,"",VLOOKUP(C236,MAESTRO!$A:$E,5,FALSE)),""))</f>
        <v/>
      </c>
      <c r="K236" s="10">
        <f>IF(OR(J236="",N(I236)=0,IFERROR(VLOOKUP(A236,TIPOS!$A:$E,5,FALSE),"No")&lt;&gt;"Sí"),"",INT(I236/VLOOKUP(C236,MAESTRO!$A:$C,3,FALSE)))</f>
        <v/>
      </c>
      <c r="L236" s="9">
        <f>IF(AND(A236="",C236=""),"",IF(A236="","Falta el tipo",IF(C236="","Falta el código",IF(ISNA(MATCH(C236,MAESTRO!$A:$A,0)),"El código no está en el maestro",IF(AND(N(D236)&gt;0,N(VLOOKUP(C236,MAESTRO!$A:$D,4,FALSE))=0),"Ese código no tiene cajas por estiba: escribe cajas",IF(AND(IFERROR(VLOOKUP(A236,TIPOS!$A:$C,3,FALSE),"")="Sí",B236=""),"Falta el N° de entrega",IF(N(I236)&lt;=0,"Falta la cantidad","OK")))))))</f>
        <v/>
      </c>
    </row>
    <row r="237">
      <c r="A237" s="7" t="n"/>
      <c r="B237" s="7" t="n"/>
      <c r="C237" s="7" t="n"/>
      <c r="D237" s="8" t="n"/>
      <c r="E237" s="8" t="n"/>
      <c r="F237" s="8" t="n"/>
      <c r="G237" s="9">
        <f>IF(C237="","",IFERROR(VLOOKUP(C237,MAESTRO!$A:$B,2,FALSE),"—"))</f>
        <v/>
      </c>
      <c r="H237" s="9">
        <f>IF(A237="","",IFERROR(VLOOKUP(A237,TIPOS!$A:$B,2,FALSE),""))</f>
        <v/>
      </c>
      <c r="I237" s="10">
        <f>IF(C237="","",IFERROR((N(D237)*N(VLOOKUP(C237,MAESTRO!$A:$D,4,FALSE))+N(E237))*VLOOKUP(C237,MAESTRO!$A:$C,3,FALSE)+N(F237),""))</f>
        <v/>
      </c>
      <c r="J237" s="9">
        <f>IF(OR(C237="",IFERROR(VLOOKUP(A237,TIPOS!$A:$E,5,FALSE),"No")&lt;&gt;"Sí"),"",IFERROR(IF(VLOOKUP(C237,MAESTRO!$A:$E,5,FALSE)=0,"",VLOOKUP(C237,MAESTRO!$A:$E,5,FALSE)),""))</f>
        <v/>
      </c>
      <c r="K237" s="10">
        <f>IF(OR(J237="",N(I237)=0,IFERROR(VLOOKUP(A237,TIPOS!$A:$E,5,FALSE),"No")&lt;&gt;"Sí"),"",INT(I237/VLOOKUP(C237,MAESTRO!$A:$C,3,FALSE)))</f>
        <v/>
      </c>
      <c r="L237" s="9">
        <f>IF(AND(A237="",C237=""),"",IF(A237="","Falta el tipo",IF(C237="","Falta el código",IF(ISNA(MATCH(C237,MAESTRO!$A:$A,0)),"El código no está en el maestro",IF(AND(N(D237)&gt;0,N(VLOOKUP(C237,MAESTRO!$A:$D,4,FALSE))=0),"Ese código no tiene cajas por estiba: escribe cajas",IF(AND(IFERROR(VLOOKUP(A237,TIPOS!$A:$C,3,FALSE),"")="Sí",B237=""),"Falta el N° de entrega",IF(N(I237)&lt;=0,"Falta la cantidad","OK")))))))</f>
        <v/>
      </c>
    </row>
    <row r="238">
      <c r="A238" s="7" t="n"/>
      <c r="B238" s="7" t="n"/>
      <c r="C238" s="7" t="n"/>
      <c r="D238" s="8" t="n"/>
      <c r="E238" s="8" t="n"/>
      <c r="F238" s="8" t="n"/>
      <c r="G238" s="9">
        <f>IF(C238="","",IFERROR(VLOOKUP(C238,MAESTRO!$A:$B,2,FALSE),"—"))</f>
        <v/>
      </c>
      <c r="H238" s="9">
        <f>IF(A238="","",IFERROR(VLOOKUP(A238,TIPOS!$A:$B,2,FALSE),""))</f>
        <v/>
      </c>
      <c r="I238" s="10">
        <f>IF(C238="","",IFERROR((N(D238)*N(VLOOKUP(C238,MAESTRO!$A:$D,4,FALSE))+N(E238))*VLOOKUP(C238,MAESTRO!$A:$C,3,FALSE)+N(F238),""))</f>
        <v/>
      </c>
      <c r="J238" s="9">
        <f>IF(OR(C238="",IFERROR(VLOOKUP(A238,TIPOS!$A:$E,5,FALSE),"No")&lt;&gt;"Sí"),"",IFERROR(IF(VLOOKUP(C238,MAESTRO!$A:$E,5,FALSE)=0,"",VLOOKUP(C238,MAESTRO!$A:$E,5,FALSE)),""))</f>
        <v/>
      </c>
      <c r="K238" s="10">
        <f>IF(OR(J238="",N(I238)=0,IFERROR(VLOOKUP(A238,TIPOS!$A:$E,5,FALSE),"No")&lt;&gt;"Sí"),"",INT(I238/VLOOKUP(C238,MAESTRO!$A:$C,3,FALSE)))</f>
        <v/>
      </c>
      <c r="L238" s="9">
        <f>IF(AND(A238="",C238=""),"",IF(A238="","Falta el tipo",IF(C238="","Falta el código",IF(ISNA(MATCH(C238,MAESTRO!$A:$A,0)),"El código no está en el maestro",IF(AND(N(D238)&gt;0,N(VLOOKUP(C238,MAESTRO!$A:$D,4,FALSE))=0),"Ese código no tiene cajas por estiba: escribe cajas",IF(AND(IFERROR(VLOOKUP(A238,TIPOS!$A:$C,3,FALSE),"")="Sí",B238=""),"Falta el N° de entrega",IF(N(I238)&lt;=0,"Falta la cantidad","OK")))))))</f>
        <v/>
      </c>
    </row>
    <row r="239">
      <c r="A239" s="7" t="n"/>
      <c r="B239" s="7" t="n"/>
      <c r="C239" s="7" t="n"/>
      <c r="D239" s="8" t="n"/>
      <c r="E239" s="8" t="n"/>
      <c r="F239" s="8" t="n"/>
      <c r="G239" s="9">
        <f>IF(C239="","",IFERROR(VLOOKUP(C239,MAESTRO!$A:$B,2,FALSE),"—"))</f>
        <v/>
      </c>
      <c r="H239" s="9">
        <f>IF(A239="","",IFERROR(VLOOKUP(A239,TIPOS!$A:$B,2,FALSE),""))</f>
        <v/>
      </c>
      <c r="I239" s="10">
        <f>IF(C239="","",IFERROR((N(D239)*N(VLOOKUP(C239,MAESTRO!$A:$D,4,FALSE))+N(E239))*VLOOKUP(C239,MAESTRO!$A:$C,3,FALSE)+N(F239),""))</f>
        <v/>
      </c>
      <c r="J239" s="9">
        <f>IF(OR(C239="",IFERROR(VLOOKUP(A239,TIPOS!$A:$E,5,FALSE),"No")&lt;&gt;"Sí"),"",IFERROR(IF(VLOOKUP(C239,MAESTRO!$A:$E,5,FALSE)=0,"",VLOOKUP(C239,MAESTRO!$A:$E,5,FALSE)),""))</f>
        <v/>
      </c>
      <c r="K239" s="10">
        <f>IF(OR(J239="",N(I239)=0,IFERROR(VLOOKUP(A239,TIPOS!$A:$E,5,FALSE),"No")&lt;&gt;"Sí"),"",INT(I239/VLOOKUP(C239,MAESTRO!$A:$C,3,FALSE)))</f>
        <v/>
      </c>
      <c r="L239" s="9">
        <f>IF(AND(A239="",C239=""),"",IF(A239="","Falta el tipo",IF(C239="","Falta el código",IF(ISNA(MATCH(C239,MAESTRO!$A:$A,0)),"El código no está en el maestro",IF(AND(N(D239)&gt;0,N(VLOOKUP(C239,MAESTRO!$A:$D,4,FALSE))=0),"Ese código no tiene cajas por estiba: escribe cajas",IF(AND(IFERROR(VLOOKUP(A239,TIPOS!$A:$C,3,FALSE),"")="Sí",B239=""),"Falta el N° de entrega",IF(N(I239)&lt;=0,"Falta la cantidad","OK")))))))</f>
        <v/>
      </c>
    </row>
    <row r="240">
      <c r="A240" s="7" t="n"/>
      <c r="B240" s="7" t="n"/>
      <c r="C240" s="7" t="n"/>
      <c r="D240" s="8" t="n"/>
      <c r="E240" s="8" t="n"/>
      <c r="F240" s="8" t="n"/>
      <c r="G240" s="9">
        <f>IF(C240="","",IFERROR(VLOOKUP(C240,MAESTRO!$A:$B,2,FALSE),"—"))</f>
        <v/>
      </c>
      <c r="H240" s="9">
        <f>IF(A240="","",IFERROR(VLOOKUP(A240,TIPOS!$A:$B,2,FALSE),""))</f>
        <v/>
      </c>
      <c r="I240" s="10">
        <f>IF(C240="","",IFERROR((N(D240)*N(VLOOKUP(C240,MAESTRO!$A:$D,4,FALSE))+N(E240))*VLOOKUP(C240,MAESTRO!$A:$C,3,FALSE)+N(F240),""))</f>
        <v/>
      </c>
      <c r="J240" s="9">
        <f>IF(OR(C240="",IFERROR(VLOOKUP(A240,TIPOS!$A:$E,5,FALSE),"No")&lt;&gt;"Sí"),"",IFERROR(IF(VLOOKUP(C240,MAESTRO!$A:$E,5,FALSE)=0,"",VLOOKUP(C240,MAESTRO!$A:$E,5,FALSE)),""))</f>
        <v/>
      </c>
      <c r="K240" s="10">
        <f>IF(OR(J240="",N(I240)=0,IFERROR(VLOOKUP(A240,TIPOS!$A:$E,5,FALSE),"No")&lt;&gt;"Sí"),"",INT(I240/VLOOKUP(C240,MAESTRO!$A:$C,3,FALSE)))</f>
        <v/>
      </c>
      <c r="L240" s="9">
        <f>IF(AND(A240="",C240=""),"",IF(A240="","Falta el tipo",IF(C240="","Falta el código",IF(ISNA(MATCH(C240,MAESTRO!$A:$A,0)),"El código no está en el maestro",IF(AND(N(D240)&gt;0,N(VLOOKUP(C240,MAESTRO!$A:$D,4,FALSE))=0),"Ese código no tiene cajas por estiba: escribe cajas",IF(AND(IFERROR(VLOOKUP(A240,TIPOS!$A:$C,3,FALSE),"")="Sí",B240=""),"Falta el N° de entrega",IF(N(I240)&lt;=0,"Falta la cantidad","OK")))))))</f>
        <v/>
      </c>
    </row>
    <row r="241">
      <c r="A241" s="7" t="n"/>
      <c r="B241" s="7" t="n"/>
      <c r="C241" s="7" t="n"/>
      <c r="D241" s="8" t="n"/>
      <c r="E241" s="8" t="n"/>
      <c r="F241" s="8" t="n"/>
      <c r="G241" s="9">
        <f>IF(C241="","",IFERROR(VLOOKUP(C241,MAESTRO!$A:$B,2,FALSE),"—"))</f>
        <v/>
      </c>
      <c r="H241" s="9">
        <f>IF(A241="","",IFERROR(VLOOKUP(A241,TIPOS!$A:$B,2,FALSE),""))</f>
        <v/>
      </c>
      <c r="I241" s="10">
        <f>IF(C241="","",IFERROR((N(D241)*N(VLOOKUP(C241,MAESTRO!$A:$D,4,FALSE))+N(E241))*VLOOKUP(C241,MAESTRO!$A:$C,3,FALSE)+N(F241),""))</f>
        <v/>
      </c>
      <c r="J241" s="9">
        <f>IF(OR(C241="",IFERROR(VLOOKUP(A241,TIPOS!$A:$E,5,FALSE),"No")&lt;&gt;"Sí"),"",IFERROR(IF(VLOOKUP(C241,MAESTRO!$A:$E,5,FALSE)=0,"",VLOOKUP(C241,MAESTRO!$A:$E,5,FALSE)),""))</f>
        <v/>
      </c>
      <c r="K241" s="10">
        <f>IF(OR(J241="",N(I241)=0,IFERROR(VLOOKUP(A241,TIPOS!$A:$E,5,FALSE),"No")&lt;&gt;"Sí"),"",INT(I241/VLOOKUP(C241,MAESTRO!$A:$C,3,FALSE)))</f>
        <v/>
      </c>
      <c r="L241" s="9">
        <f>IF(AND(A241="",C241=""),"",IF(A241="","Falta el tipo",IF(C241="","Falta el código",IF(ISNA(MATCH(C241,MAESTRO!$A:$A,0)),"El código no está en el maestro",IF(AND(N(D241)&gt;0,N(VLOOKUP(C241,MAESTRO!$A:$D,4,FALSE))=0),"Ese código no tiene cajas por estiba: escribe cajas",IF(AND(IFERROR(VLOOKUP(A241,TIPOS!$A:$C,3,FALSE),"")="Sí",B241=""),"Falta el N° de entrega",IF(N(I241)&lt;=0,"Falta la cantidad","OK")))))))</f>
        <v/>
      </c>
    </row>
    <row r="242">
      <c r="A242" s="7" t="n"/>
      <c r="B242" s="7" t="n"/>
      <c r="C242" s="7" t="n"/>
      <c r="D242" s="8" t="n"/>
      <c r="E242" s="8" t="n"/>
      <c r="F242" s="8" t="n"/>
      <c r="G242" s="9">
        <f>IF(C242="","",IFERROR(VLOOKUP(C242,MAESTRO!$A:$B,2,FALSE),"—"))</f>
        <v/>
      </c>
      <c r="H242" s="9">
        <f>IF(A242="","",IFERROR(VLOOKUP(A242,TIPOS!$A:$B,2,FALSE),""))</f>
        <v/>
      </c>
      <c r="I242" s="10">
        <f>IF(C242="","",IFERROR((N(D242)*N(VLOOKUP(C242,MAESTRO!$A:$D,4,FALSE))+N(E242))*VLOOKUP(C242,MAESTRO!$A:$C,3,FALSE)+N(F242),""))</f>
        <v/>
      </c>
      <c r="J242" s="9">
        <f>IF(OR(C242="",IFERROR(VLOOKUP(A242,TIPOS!$A:$E,5,FALSE),"No")&lt;&gt;"Sí"),"",IFERROR(IF(VLOOKUP(C242,MAESTRO!$A:$E,5,FALSE)=0,"",VLOOKUP(C242,MAESTRO!$A:$E,5,FALSE)),""))</f>
        <v/>
      </c>
      <c r="K242" s="10">
        <f>IF(OR(J242="",N(I242)=0,IFERROR(VLOOKUP(A242,TIPOS!$A:$E,5,FALSE),"No")&lt;&gt;"Sí"),"",INT(I242/VLOOKUP(C242,MAESTRO!$A:$C,3,FALSE)))</f>
        <v/>
      </c>
      <c r="L242" s="9">
        <f>IF(AND(A242="",C242=""),"",IF(A242="","Falta el tipo",IF(C242="","Falta el código",IF(ISNA(MATCH(C242,MAESTRO!$A:$A,0)),"El código no está en el maestro",IF(AND(N(D242)&gt;0,N(VLOOKUP(C242,MAESTRO!$A:$D,4,FALSE))=0),"Ese código no tiene cajas por estiba: escribe cajas",IF(AND(IFERROR(VLOOKUP(A242,TIPOS!$A:$C,3,FALSE),"")="Sí",B242=""),"Falta el N° de entrega",IF(N(I242)&lt;=0,"Falta la cantidad","OK")))))))</f>
        <v/>
      </c>
    </row>
    <row r="243">
      <c r="A243" s="7" t="n"/>
      <c r="B243" s="7" t="n"/>
      <c r="C243" s="7" t="n"/>
      <c r="D243" s="8" t="n"/>
      <c r="E243" s="8" t="n"/>
      <c r="F243" s="8" t="n"/>
      <c r="G243" s="9">
        <f>IF(C243="","",IFERROR(VLOOKUP(C243,MAESTRO!$A:$B,2,FALSE),"—"))</f>
        <v/>
      </c>
      <c r="H243" s="9">
        <f>IF(A243="","",IFERROR(VLOOKUP(A243,TIPOS!$A:$B,2,FALSE),""))</f>
        <v/>
      </c>
      <c r="I243" s="10">
        <f>IF(C243="","",IFERROR((N(D243)*N(VLOOKUP(C243,MAESTRO!$A:$D,4,FALSE))+N(E243))*VLOOKUP(C243,MAESTRO!$A:$C,3,FALSE)+N(F243),""))</f>
        <v/>
      </c>
      <c r="J243" s="9">
        <f>IF(OR(C243="",IFERROR(VLOOKUP(A243,TIPOS!$A:$E,5,FALSE),"No")&lt;&gt;"Sí"),"",IFERROR(IF(VLOOKUP(C243,MAESTRO!$A:$E,5,FALSE)=0,"",VLOOKUP(C243,MAESTRO!$A:$E,5,FALSE)),""))</f>
        <v/>
      </c>
      <c r="K243" s="10">
        <f>IF(OR(J243="",N(I243)=0,IFERROR(VLOOKUP(A243,TIPOS!$A:$E,5,FALSE),"No")&lt;&gt;"Sí"),"",INT(I243/VLOOKUP(C243,MAESTRO!$A:$C,3,FALSE)))</f>
        <v/>
      </c>
      <c r="L243" s="9">
        <f>IF(AND(A243="",C243=""),"",IF(A243="","Falta el tipo",IF(C243="","Falta el código",IF(ISNA(MATCH(C243,MAESTRO!$A:$A,0)),"El código no está en el maestro",IF(AND(N(D243)&gt;0,N(VLOOKUP(C243,MAESTRO!$A:$D,4,FALSE))=0),"Ese código no tiene cajas por estiba: escribe cajas",IF(AND(IFERROR(VLOOKUP(A243,TIPOS!$A:$C,3,FALSE),"")="Sí",B243=""),"Falta el N° de entrega",IF(N(I243)&lt;=0,"Falta la cantidad","OK")))))))</f>
        <v/>
      </c>
    </row>
    <row r="244">
      <c r="A244" s="7" t="n"/>
      <c r="B244" s="7" t="n"/>
      <c r="C244" s="7" t="n"/>
      <c r="D244" s="8" t="n"/>
      <c r="E244" s="8" t="n"/>
      <c r="F244" s="8" t="n"/>
      <c r="G244" s="9">
        <f>IF(C244="","",IFERROR(VLOOKUP(C244,MAESTRO!$A:$B,2,FALSE),"—"))</f>
        <v/>
      </c>
      <c r="H244" s="9">
        <f>IF(A244="","",IFERROR(VLOOKUP(A244,TIPOS!$A:$B,2,FALSE),""))</f>
        <v/>
      </c>
      <c r="I244" s="10">
        <f>IF(C244="","",IFERROR((N(D244)*N(VLOOKUP(C244,MAESTRO!$A:$D,4,FALSE))+N(E244))*VLOOKUP(C244,MAESTRO!$A:$C,3,FALSE)+N(F244),""))</f>
        <v/>
      </c>
      <c r="J244" s="9">
        <f>IF(OR(C244="",IFERROR(VLOOKUP(A244,TIPOS!$A:$E,5,FALSE),"No")&lt;&gt;"Sí"),"",IFERROR(IF(VLOOKUP(C244,MAESTRO!$A:$E,5,FALSE)=0,"",VLOOKUP(C244,MAESTRO!$A:$E,5,FALSE)),""))</f>
        <v/>
      </c>
      <c r="K244" s="10">
        <f>IF(OR(J244="",N(I244)=0,IFERROR(VLOOKUP(A244,TIPOS!$A:$E,5,FALSE),"No")&lt;&gt;"Sí"),"",INT(I244/VLOOKUP(C244,MAESTRO!$A:$C,3,FALSE)))</f>
        <v/>
      </c>
      <c r="L244" s="9">
        <f>IF(AND(A244="",C244=""),"",IF(A244="","Falta el tipo",IF(C244="","Falta el código",IF(ISNA(MATCH(C244,MAESTRO!$A:$A,0)),"El código no está en el maestro",IF(AND(N(D244)&gt;0,N(VLOOKUP(C244,MAESTRO!$A:$D,4,FALSE))=0),"Ese código no tiene cajas por estiba: escribe cajas",IF(AND(IFERROR(VLOOKUP(A244,TIPOS!$A:$C,3,FALSE),"")="Sí",B244=""),"Falta el N° de entrega",IF(N(I244)&lt;=0,"Falta la cantidad","OK")))))))</f>
        <v/>
      </c>
    </row>
    <row r="245">
      <c r="A245" s="7" t="n"/>
      <c r="B245" s="7" t="n"/>
      <c r="C245" s="7" t="n"/>
      <c r="D245" s="8" t="n"/>
      <c r="E245" s="8" t="n"/>
      <c r="F245" s="8" t="n"/>
      <c r="G245" s="9">
        <f>IF(C245="","",IFERROR(VLOOKUP(C245,MAESTRO!$A:$B,2,FALSE),"—"))</f>
        <v/>
      </c>
      <c r="H245" s="9">
        <f>IF(A245="","",IFERROR(VLOOKUP(A245,TIPOS!$A:$B,2,FALSE),""))</f>
        <v/>
      </c>
      <c r="I245" s="10">
        <f>IF(C245="","",IFERROR((N(D245)*N(VLOOKUP(C245,MAESTRO!$A:$D,4,FALSE))+N(E245))*VLOOKUP(C245,MAESTRO!$A:$C,3,FALSE)+N(F245),""))</f>
        <v/>
      </c>
      <c r="J245" s="9">
        <f>IF(OR(C245="",IFERROR(VLOOKUP(A245,TIPOS!$A:$E,5,FALSE),"No")&lt;&gt;"Sí"),"",IFERROR(IF(VLOOKUP(C245,MAESTRO!$A:$E,5,FALSE)=0,"",VLOOKUP(C245,MAESTRO!$A:$E,5,FALSE)),""))</f>
        <v/>
      </c>
      <c r="K245" s="10">
        <f>IF(OR(J245="",N(I245)=0,IFERROR(VLOOKUP(A245,TIPOS!$A:$E,5,FALSE),"No")&lt;&gt;"Sí"),"",INT(I245/VLOOKUP(C245,MAESTRO!$A:$C,3,FALSE)))</f>
        <v/>
      </c>
      <c r="L245" s="9">
        <f>IF(AND(A245="",C245=""),"",IF(A245="","Falta el tipo",IF(C245="","Falta el código",IF(ISNA(MATCH(C245,MAESTRO!$A:$A,0)),"El código no está en el maestro",IF(AND(N(D245)&gt;0,N(VLOOKUP(C245,MAESTRO!$A:$D,4,FALSE))=0),"Ese código no tiene cajas por estiba: escribe cajas",IF(AND(IFERROR(VLOOKUP(A245,TIPOS!$A:$C,3,FALSE),"")="Sí",B245=""),"Falta el N° de entrega",IF(N(I245)&lt;=0,"Falta la cantidad","OK")))))))</f>
        <v/>
      </c>
    </row>
    <row r="246">
      <c r="A246" s="7" t="n"/>
      <c r="B246" s="7" t="n"/>
      <c r="C246" s="7" t="n"/>
      <c r="D246" s="8" t="n"/>
      <c r="E246" s="8" t="n"/>
      <c r="F246" s="8" t="n"/>
      <c r="G246" s="9">
        <f>IF(C246="","",IFERROR(VLOOKUP(C246,MAESTRO!$A:$B,2,FALSE),"—"))</f>
        <v/>
      </c>
      <c r="H246" s="9">
        <f>IF(A246="","",IFERROR(VLOOKUP(A246,TIPOS!$A:$B,2,FALSE),""))</f>
        <v/>
      </c>
      <c r="I246" s="10">
        <f>IF(C246="","",IFERROR((N(D246)*N(VLOOKUP(C246,MAESTRO!$A:$D,4,FALSE))+N(E246))*VLOOKUP(C246,MAESTRO!$A:$C,3,FALSE)+N(F246),""))</f>
        <v/>
      </c>
      <c r="J246" s="9">
        <f>IF(OR(C246="",IFERROR(VLOOKUP(A246,TIPOS!$A:$E,5,FALSE),"No")&lt;&gt;"Sí"),"",IFERROR(IF(VLOOKUP(C246,MAESTRO!$A:$E,5,FALSE)=0,"",VLOOKUP(C246,MAESTRO!$A:$E,5,FALSE)),""))</f>
        <v/>
      </c>
      <c r="K246" s="10">
        <f>IF(OR(J246="",N(I246)=0,IFERROR(VLOOKUP(A246,TIPOS!$A:$E,5,FALSE),"No")&lt;&gt;"Sí"),"",INT(I246/VLOOKUP(C246,MAESTRO!$A:$C,3,FALSE)))</f>
        <v/>
      </c>
      <c r="L246" s="9">
        <f>IF(AND(A246="",C246=""),"",IF(A246="","Falta el tipo",IF(C246="","Falta el código",IF(ISNA(MATCH(C246,MAESTRO!$A:$A,0)),"El código no está en el maestro",IF(AND(N(D246)&gt;0,N(VLOOKUP(C246,MAESTRO!$A:$D,4,FALSE))=0),"Ese código no tiene cajas por estiba: escribe cajas",IF(AND(IFERROR(VLOOKUP(A246,TIPOS!$A:$C,3,FALSE),"")="Sí",B246=""),"Falta el N° de entrega",IF(N(I246)&lt;=0,"Falta la cantidad","OK")))))))</f>
        <v/>
      </c>
    </row>
    <row r="247">
      <c r="A247" s="7" t="n"/>
      <c r="B247" s="7" t="n"/>
      <c r="C247" s="7" t="n"/>
      <c r="D247" s="8" t="n"/>
      <c r="E247" s="8" t="n"/>
      <c r="F247" s="8" t="n"/>
      <c r="G247" s="9">
        <f>IF(C247="","",IFERROR(VLOOKUP(C247,MAESTRO!$A:$B,2,FALSE),"—"))</f>
        <v/>
      </c>
      <c r="H247" s="9">
        <f>IF(A247="","",IFERROR(VLOOKUP(A247,TIPOS!$A:$B,2,FALSE),""))</f>
        <v/>
      </c>
      <c r="I247" s="10">
        <f>IF(C247="","",IFERROR((N(D247)*N(VLOOKUP(C247,MAESTRO!$A:$D,4,FALSE))+N(E247))*VLOOKUP(C247,MAESTRO!$A:$C,3,FALSE)+N(F247),""))</f>
        <v/>
      </c>
      <c r="J247" s="9">
        <f>IF(OR(C247="",IFERROR(VLOOKUP(A247,TIPOS!$A:$E,5,FALSE),"No")&lt;&gt;"Sí"),"",IFERROR(IF(VLOOKUP(C247,MAESTRO!$A:$E,5,FALSE)=0,"",VLOOKUP(C247,MAESTRO!$A:$E,5,FALSE)),""))</f>
        <v/>
      </c>
      <c r="K247" s="10">
        <f>IF(OR(J247="",N(I247)=0,IFERROR(VLOOKUP(A247,TIPOS!$A:$E,5,FALSE),"No")&lt;&gt;"Sí"),"",INT(I247/VLOOKUP(C247,MAESTRO!$A:$C,3,FALSE)))</f>
        <v/>
      </c>
      <c r="L247" s="9">
        <f>IF(AND(A247="",C247=""),"",IF(A247="","Falta el tipo",IF(C247="","Falta el código",IF(ISNA(MATCH(C247,MAESTRO!$A:$A,0)),"El código no está en el maestro",IF(AND(N(D247)&gt;0,N(VLOOKUP(C247,MAESTRO!$A:$D,4,FALSE))=0),"Ese código no tiene cajas por estiba: escribe cajas",IF(AND(IFERROR(VLOOKUP(A247,TIPOS!$A:$C,3,FALSE),"")="Sí",B247=""),"Falta el N° de entrega",IF(N(I247)&lt;=0,"Falta la cantidad","OK")))))))</f>
        <v/>
      </c>
    </row>
    <row r="248">
      <c r="A248" s="7" t="n"/>
      <c r="B248" s="7" t="n"/>
      <c r="C248" s="7" t="n"/>
      <c r="D248" s="8" t="n"/>
      <c r="E248" s="8" t="n"/>
      <c r="F248" s="8" t="n"/>
      <c r="G248" s="9">
        <f>IF(C248="","",IFERROR(VLOOKUP(C248,MAESTRO!$A:$B,2,FALSE),"—"))</f>
        <v/>
      </c>
      <c r="H248" s="9">
        <f>IF(A248="","",IFERROR(VLOOKUP(A248,TIPOS!$A:$B,2,FALSE),""))</f>
        <v/>
      </c>
      <c r="I248" s="10">
        <f>IF(C248="","",IFERROR((N(D248)*N(VLOOKUP(C248,MAESTRO!$A:$D,4,FALSE))+N(E248))*VLOOKUP(C248,MAESTRO!$A:$C,3,FALSE)+N(F248),""))</f>
        <v/>
      </c>
      <c r="J248" s="9">
        <f>IF(OR(C248="",IFERROR(VLOOKUP(A248,TIPOS!$A:$E,5,FALSE),"No")&lt;&gt;"Sí"),"",IFERROR(IF(VLOOKUP(C248,MAESTRO!$A:$E,5,FALSE)=0,"",VLOOKUP(C248,MAESTRO!$A:$E,5,FALSE)),""))</f>
        <v/>
      </c>
      <c r="K248" s="10">
        <f>IF(OR(J248="",N(I248)=0,IFERROR(VLOOKUP(A248,TIPOS!$A:$E,5,FALSE),"No")&lt;&gt;"Sí"),"",INT(I248/VLOOKUP(C248,MAESTRO!$A:$C,3,FALSE)))</f>
        <v/>
      </c>
      <c r="L248" s="9">
        <f>IF(AND(A248="",C248=""),"",IF(A248="","Falta el tipo",IF(C248="","Falta el código",IF(ISNA(MATCH(C248,MAESTRO!$A:$A,0)),"El código no está en el maestro",IF(AND(N(D248)&gt;0,N(VLOOKUP(C248,MAESTRO!$A:$D,4,FALSE))=0),"Ese código no tiene cajas por estiba: escribe cajas",IF(AND(IFERROR(VLOOKUP(A248,TIPOS!$A:$C,3,FALSE),"")="Sí",B248=""),"Falta el N° de entrega",IF(N(I248)&lt;=0,"Falta la cantidad","OK")))))))</f>
        <v/>
      </c>
    </row>
    <row r="249">
      <c r="A249" s="7" t="n"/>
      <c r="B249" s="7" t="n"/>
      <c r="C249" s="7" t="n"/>
      <c r="D249" s="8" t="n"/>
      <c r="E249" s="8" t="n"/>
      <c r="F249" s="8" t="n"/>
      <c r="G249" s="9">
        <f>IF(C249="","",IFERROR(VLOOKUP(C249,MAESTRO!$A:$B,2,FALSE),"—"))</f>
        <v/>
      </c>
      <c r="H249" s="9">
        <f>IF(A249="","",IFERROR(VLOOKUP(A249,TIPOS!$A:$B,2,FALSE),""))</f>
        <v/>
      </c>
      <c r="I249" s="10">
        <f>IF(C249="","",IFERROR((N(D249)*N(VLOOKUP(C249,MAESTRO!$A:$D,4,FALSE))+N(E249))*VLOOKUP(C249,MAESTRO!$A:$C,3,FALSE)+N(F249),""))</f>
        <v/>
      </c>
      <c r="J249" s="9">
        <f>IF(OR(C249="",IFERROR(VLOOKUP(A249,TIPOS!$A:$E,5,FALSE),"No")&lt;&gt;"Sí"),"",IFERROR(IF(VLOOKUP(C249,MAESTRO!$A:$E,5,FALSE)=0,"",VLOOKUP(C249,MAESTRO!$A:$E,5,FALSE)),""))</f>
        <v/>
      </c>
      <c r="K249" s="10">
        <f>IF(OR(J249="",N(I249)=0,IFERROR(VLOOKUP(A249,TIPOS!$A:$E,5,FALSE),"No")&lt;&gt;"Sí"),"",INT(I249/VLOOKUP(C249,MAESTRO!$A:$C,3,FALSE)))</f>
        <v/>
      </c>
      <c r="L249" s="9">
        <f>IF(AND(A249="",C249=""),"",IF(A249="","Falta el tipo",IF(C249="","Falta el código",IF(ISNA(MATCH(C249,MAESTRO!$A:$A,0)),"El código no está en el maestro",IF(AND(N(D249)&gt;0,N(VLOOKUP(C249,MAESTRO!$A:$D,4,FALSE))=0),"Ese código no tiene cajas por estiba: escribe cajas",IF(AND(IFERROR(VLOOKUP(A249,TIPOS!$A:$C,3,FALSE),"")="Sí",B249=""),"Falta el N° de entrega",IF(N(I249)&lt;=0,"Falta la cantidad","OK")))))))</f>
        <v/>
      </c>
    </row>
    <row r="250">
      <c r="A250" s="7" t="n"/>
      <c r="B250" s="7" t="n"/>
      <c r="C250" s="7" t="n"/>
      <c r="D250" s="8" t="n"/>
      <c r="E250" s="8" t="n"/>
      <c r="F250" s="8" t="n"/>
      <c r="G250" s="9">
        <f>IF(C250="","",IFERROR(VLOOKUP(C250,MAESTRO!$A:$B,2,FALSE),"—"))</f>
        <v/>
      </c>
      <c r="H250" s="9">
        <f>IF(A250="","",IFERROR(VLOOKUP(A250,TIPOS!$A:$B,2,FALSE),""))</f>
        <v/>
      </c>
      <c r="I250" s="10">
        <f>IF(C250="","",IFERROR((N(D250)*N(VLOOKUP(C250,MAESTRO!$A:$D,4,FALSE))+N(E250))*VLOOKUP(C250,MAESTRO!$A:$C,3,FALSE)+N(F250),""))</f>
        <v/>
      </c>
      <c r="J250" s="9">
        <f>IF(OR(C250="",IFERROR(VLOOKUP(A250,TIPOS!$A:$E,5,FALSE),"No")&lt;&gt;"Sí"),"",IFERROR(IF(VLOOKUP(C250,MAESTRO!$A:$E,5,FALSE)=0,"",VLOOKUP(C250,MAESTRO!$A:$E,5,FALSE)),""))</f>
        <v/>
      </c>
      <c r="K250" s="10">
        <f>IF(OR(J250="",N(I250)=0,IFERROR(VLOOKUP(A250,TIPOS!$A:$E,5,FALSE),"No")&lt;&gt;"Sí"),"",INT(I250/VLOOKUP(C250,MAESTRO!$A:$C,3,FALSE)))</f>
        <v/>
      </c>
      <c r="L250" s="9">
        <f>IF(AND(A250="",C250=""),"",IF(A250="","Falta el tipo",IF(C250="","Falta el código",IF(ISNA(MATCH(C250,MAESTRO!$A:$A,0)),"El código no está en el maestro",IF(AND(N(D250)&gt;0,N(VLOOKUP(C250,MAESTRO!$A:$D,4,FALSE))=0),"Ese código no tiene cajas por estiba: escribe cajas",IF(AND(IFERROR(VLOOKUP(A250,TIPOS!$A:$C,3,FALSE),"")="Sí",B250=""),"Falta el N° de entrega",IF(N(I250)&lt;=0,"Falta la cantidad","OK")))))))</f>
        <v/>
      </c>
    </row>
    <row r="251">
      <c r="A251" s="7" t="n"/>
      <c r="B251" s="7" t="n"/>
      <c r="C251" s="7" t="n"/>
      <c r="D251" s="8" t="n"/>
      <c r="E251" s="8" t="n"/>
      <c r="F251" s="8" t="n"/>
      <c r="G251" s="9">
        <f>IF(C251="","",IFERROR(VLOOKUP(C251,MAESTRO!$A:$B,2,FALSE),"—"))</f>
        <v/>
      </c>
      <c r="H251" s="9">
        <f>IF(A251="","",IFERROR(VLOOKUP(A251,TIPOS!$A:$B,2,FALSE),""))</f>
        <v/>
      </c>
      <c r="I251" s="10">
        <f>IF(C251="","",IFERROR((N(D251)*N(VLOOKUP(C251,MAESTRO!$A:$D,4,FALSE))+N(E251))*VLOOKUP(C251,MAESTRO!$A:$C,3,FALSE)+N(F251),""))</f>
        <v/>
      </c>
      <c r="J251" s="9">
        <f>IF(OR(C251="",IFERROR(VLOOKUP(A251,TIPOS!$A:$E,5,FALSE),"No")&lt;&gt;"Sí"),"",IFERROR(IF(VLOOKUP(C251,MAESTRO!$A:$E,5,FALSE)=0,"",VLOOKUP(C251,MAESTRO!$A:$E,5,FALSE)),""))</f>
        <v/>
      </c>
      <c r="K251" s="10">
        <f>IF(OR(J251="",N(I251)=0,IFERROR(VLOOKUP(A251,TIPOS!$A:$E,5,FALSE),"No")&lt;&gt;"Sí"),"",INT(I251/VLOOKUP(C251,MAESTRO!$A:$C,3,FALSE)))</f>
        <v/>
      </c>
      <c r="L251" s="9">
        <f>IF(AND(A251="",C251=""),"",IF(A251="","Falta el tipo",IF(C251="","Falta el código",IF(ISNA(MATCH(C251,MAESTRO!$A:$A,0)),"El código no está en el maestro",IF(AND(N(D251)&gt;0,N(VLOOKUP(C251,MAESTRO!$A:$D,4,FALSE))=0),"Ese código no tiene cajas por estiba: escribe cajas",IF(AND(IFERROR(VLOOKUP(A251,TIPOS!$A:$C,3,FALSE),"")="Sí",B251=""),"Falta el N° de entrega",IF(N(I251)&lt;=0,"Falta la cantidad","OK")))))))</f>
        <v/>
      </c>
    </row>
    <row r="252">
      <c r="A252" s="7" t="n"/>
      <c r="B252" s="7" t="n"/>
      <c r="C252" s="7" t="n"/>
      <c r="D252" s="8" t="n"/>
      <c r="E252" s="8" t="n"/>
      <c r="F252" s="8" t="n"/>
      <c r="G252" s="9">
        <f>IF(C252="","",IFERROR(VLOOKUP(C252,MAESTRO!$A:$B,2,FALSE),"—"))</f>
        <v/>
      </c>
      <c r="H252" s="9">
        <f>IF(A252="","",IFERROR(VLOOKUP(A252,TIPOS!$A:$B,2,FALSE),""))</f>
        <v/>
      </c>
      <c r="I252" s="10">
        <f>IF(C252="","",IFERROR((N(D252)*N(VLOOKUP(C252,MAESTRO!$A:$D,4,FALSE))+N(E252))*VLOOKUP(C252,MAESTRO!$A:$C,3,FALSE)+N(F252),""))</f>
        <v/>
      </c>
      <c r="J252" s="9">
        <f>IF(OR(C252="",IFERROR(VLOOKUP(A252,TIPOS!$A:$E,5,FALSE),"No")&lt;&gt;"Sí"),"",IFERROR(IF(VLOOKUP(C252,MAESTRO!$A:$E,5,FALSE)=0,"",VLOOKUP(C252,MAESTRO!$A:$E,5,FALSE)),""))</f>
        <v/>
      </c>
      <c r="K252" s="10">
        <f>IF(OR(J252="",N(I252)=0,IFERROR(VLOOKUP(A252,TIPOS!$A:$E,5,FALSE),"No")&lt;&gt;"Sí"),"",INT(I252/VLOOKUP(C252,MAESTRO!$A:$C,3,FALSE)))</f>
        <v/>
      </c>
      <c r="L252" s="9">
        <f>IF(AND(A252="",C252=""),"",IF(A252="","Falta el tipo",IF(C252="","Falta el código",IF(ISNA(MATCH(C252,MAESTRO!$A:$A,0)),"El código no está en el maestro",IF(AND(N(D252)&gt;0,N(VLOOKUP(C252,MAESTRO!$A:$D,4,FALSE))=0),"Ese código no tiene cajas por estiba: escribe cajas",IF(AND(IFERROR(VLOOKUP(A252,TIPOS!$A:$C,3,FALSE),"")="Sí",B252=""),"Falta el N° de entrega",IF(N(I252)&lt;=0,"Falta la cantidad","OK")))))))</f>
        <v/>
      </c>
    </row>
    <row r="253">
      <c r="A253" s="7" t="n"/>
      <c r="B253" s="7" t="n"/>
      <c r="C253" s="7" t="n"/>
      <c r="D253" s="8" t="n"/>
      <c r="E253" s="8" t="n"/>
      <c r="F253" s="8" t="n"/>
      <c r="G253" s="9">
        <f>IF(C253="","",IFERROR(VLOOKUP(C253,MAESTRO!$A:$B,2,FALSE),"—"))</f>
        <v/>
      </c>
      <c r="H253" s="9">
        <f>IF(A253="","",IFERROR(VLOOKUP(A253,TIPOS!$A:$B,2,FALSE),""))</f>
        <v/>
      </c>
      <c r="I253" s="10">
        <f>IF(C253="","",IFERROR((N(D253)*N(VLOOKUP(C253,MAESTRO!$A:$D,4,FALSE))+N(E253))*VLOOKUP(C253,MAESTRO!$A:$C,3,FALSE)+N(F253),""))</f>
        <v/>
      </c>
      <c r="J253" s="9">
        <f>IF(OR(C253="",IFERROR(VLOOKUP(A253,TIPOS!$A:$E,5,FALSE),"No")&lt;&gt;"Sí"),"",IFERROR(IF(VLOOKUP(C253,MAESTRO!$A:$E,5,FALSE)=0,"",VLOOKUP(C253,MAESTRO!$A:$E,5,FALSE)),""))</f>
        <v/>
      </c>
      <c r="K253" s="10">
        <f>IF(OR(J253="",N(I253)=0,IFERROR(VLOOKUP(A253,TIPOS!$A:$E,5,FALSE),"No")&lt;&gt;"Sí"),"",INT(I253/VLOOKUP(C253,MAESTRO!$A:$C,3,FALSE)))</f>
        <v/>
      </c>
      <c r="L253" s="9">
        <f>IF(AND(A253="",C253=""),"",IF(A253="","Falta el tipo",IF(C253="","Falta el código",IF(ISNA(MATCH(C253,MAESTRO!$A:$A,0)),"El código no está en el maestro",IF(AND(N(D253)&gt;0,N(VLOOKUP(C253,MAESTRO!$A:$D,4,FALSE))=0),"Ese código no tiene cajas por estiba: escribe cajas",IF(AND(IFERROR(VLOOKUP(A253,TIPOS!$A:$C,3,FALSE),"")="Sí",B253=""),"Falta el N° de entrega",IF(N(I253)&lt;=0,"Falta la cantidad","OK")))))))</f>
        <v/>
      </c>
    </row>
    <row r="254">
      <c r="A254" s="7" t="n"/>
      <c r="B254" s="7" t="n"/>
      <c r="C254" s="7" t="n"/>
      <c r="D254" s="8" t="n"/>
      <c r="E254" s="8" t="n"/>
      <c r="F254" s="8" t="n"/>
      <c r="G254" s="9">
        <f>IF(C254="","",IFERROR(VLOOKUP(C254,MAESTRO!$A:$B,2,FALSE),"—"))</f>
        <v/>
      </c>
      <c r="H254" s="9">
        <f>IF(A254="","",IFERROR(VLOOKUP(A254,TIPOS!$A:$B,2,FALSE),""))</f>
        <v/>
      </c>
      <c r="I254" s="10">
        <f>IF(C254="","",IFERROR((N(D254)*N(VLOOKUP(C254,MAESTRO!$A:$D,4,FALSE))+N(E254))*VLOOKUP(C254,MAESTRO!$A:$C,3,FALSE)+N(F254),""))</f>
        <v/>
      </c>
      <c r="J254" s="9">
        <f>IF(OR(C254="",IFERROR(VLOOKUP(A254,TIPOS!$A:$E,5,FALSE),"No")&lt;&gt;"Sí"),"",IFERROR(IF(VLOOKUP(C254,MAESTRO!$A:$E,5,FALSE)=0,"",VLOOKUP(C254,MAESTRO!$A:$E,5,FALSE)),""))</f>
        <v/>
      </c>
      <c r="K254" s="10">
        <f>IF(OR(J254="",N(I254)=0,IFERROR(VLOOKUP(A254,TIPOS!$A:$E,5,FALSE),"No")&lt;&gt;"Sí"),"",INT(I254/VLOOKUP(C254,MAESTRO!$A:$C,3,FALSE)))</f>
        <v/>
      </c>
      <c r="L254" s="9">
        <f>IF(AND(A254="",C254=""),"",IF(A254="","Falta el tipo",IF(C254="","Falta el código",IF(ISNA(MATCH(C254,MAESTRO!$A:$A,0)),"El código no está en el maestro",IF(AND(N(D254)&gt;0,N(VLOOKUP(C254,MAESTRO!$A:$D,4,FALSE))=0),"Ese código no tiene cajas por estiba: escribe cajas",IF(AND(IFERROR(VLOOKUP(A254,TIPOS!$A:$C,3,FALSE),"")="Sí",B254=""),"Falta el N° de entrega",IF(N(I254)&lt;=0,"Falta la cantidad","OK")))))))</f>
        <v/>
      </c>
    </row>
    <row r="255">
      <c r="A255" s="7" t="n"/>
      <c r="B255" s="7" t="n"/>
      <c r="C255" s="7" t="n"/>
      <c r="D255" s="8" t="n"/>
      <c r="E255" s="8" t="n"/>
      <c r="F255" s="8" t="n"/>
      <c r="G255" s="9">
        <f>IF(C255="","",IFERROR(VLOOKUP(C255,MAESTRO!$A:$B,2,FALSE),"—"))</f>
        <v/>
      </c>
      <c r="H255" s="9">
        <f>IF(A255="","",IFERROR(VLOOKUP(A255,TIPOS!$A:$B,2,FALSE),""))</f>
        <v/>
      </c>
      <c r="I255" s="10">
        <f>IF(C255="","",IFERROR((N(D255)*N(VLOOKUP(C255,MAESTRO!$A:$D,4,FALSE))+N(E255))*VLOOKUP(C255,MAESTRO!$A:$C,3,FALSE)+N(F255),""))</f>
        <v/>
      </c>
      <c r="J255" s="9">
        <f>IF(OR(C255="",IFERROR(VLOOKUP(A255,TIPOS!$A:$E,5,FALSE),"No")&lt;&gt;"Sí"),"",IFERROR(IF(VLOOKUP(C255,MAESTRO!$A:$E,5,FALSE)=0,"",VLOOKUP(C255,MAESTRO!$A:$E,5,FALSE)),""))</f>
        <v/>
      </c>
      <c r="K255" s="10">
        <f>IF(OR(J255="",N(I255)=0,IFERROR(VLOOKUP(A255,TIPOS!$A:$E,5,FALSE),"No")&lt;&gt;"Sí"),"",INT(I255/VLOOKUP(C255,MAESTRO!$A:$C,3,FALSE)))</f>
        <v/>
      </c>
      <c r="L255" s="9">
        <f>IF(AND(A255="",C255=""),"",IF(A255="","Falta el tipo",IF(C255="","Falta el código",IF(ISNA(MATCH(C255,MAESTRO!$A:$A,0)),"El código no está en el maestro",IF(AND(N(D255)&gt;0,N(VLOOKUP(C255,MAESTRO!$A:$D,4,FALSE))=0),"Ese código no tiene cajas por estiba: escribe cajas",IF(AND(IFERROR(VLOOKUP(A255,TIPOS!$A:$C,3,FALSE),"")="Sí",B255=""),"Falta el N° de entrega",IF(N(I255)&lt;=0,"Falta la cantidad","OK")))))))</f>
        <v/>
      </c>
    </row>
    <row r="256">
      <c r="A256" s="7" t="n"/>
      <c r="B256" s="7" t="n"/>
      <c r="C256" s="7" t="n"/>
      <c r="D256" s="8" t="n"/>
      <c r="E256" s="8" t="n"/>
      <c r="F256" s="8" t="n"/>
      <c r="G256" s="9">
        <f>IF(C256="","",IFERROR(VLOOKUP(C256,MAESTRO!$A:$B,2,FALSE),"—"))</f>
        <v/>
      </c>
      <c r="H256" s="9">
        <f>IF(A256="","",IFERROR(VLOOKUP(A256,TIPOS!$A:$B,2,FALSE),""))</f>
        <v/>
      </c>
      <c r="I256" s="10">
        <f>IF(C256="","",IFERROR((N(D256)*N(VLOOKUP(C256,MAESTRO!$A:$D,4,FALSE))+N(E256))*VLOOKUP(C256,MAESTRO!$A:$C,3,FALSE)+N(F256),""))</f>
        <v/>
      </c>
      <c r="J256" s="9">
        <f>IF(OR(C256="",IFERROR(VLOOKUP(A256,TIPOS!$A:$E,5,FALSE),"No")&lt;&gt;"Sí"),"",IFERROR(IF(VLOOKUP(C256,MAESTRO!$A:$E,5,FALSE)=0,"",VLOOKUP(C256,MAESTRO!$A:$E,5,FALSE)),""))</f>
        <v/>
      </c>
      <c r="K256" s="10">
        <f>IF(OR(J256="",N(I256)=0,IFERROR(VLOOKUP(A256,TIPOS!$A:$E,5,FALSE),"No")&lt;&gt;"Sí"),"",INT(I256/VLOOKUP(C256,MAESTRO!$A:$C,3,FALSE)))</f>
        <v/>
      </c>
      <c r="L256" s="9">
        <f>IF(AND(A256="",C256=""),"",IF(A256="","Falta el tipo",IF(C256="","Falta el código",IF(ISNA(MATCH(C256,MAESTRO!$A:$A,0)),"El código no está en el maestro",IF(AND(N(D256)&gt;0,N(VLOOKUP(C256,MAESTRO!$A:$D,4,FALSE))=0),"Ese código no tiene cajas por estiba: escribe cajas",IF(AND(IFERROR(VLOOKUP(A256,TIPOS!$A:$C,3,FALSE),"")="Sí",B256=""),"Falta el N° de entrega",IF(N(I256)&lt;=0,"Falta la cantidad","OK")))))))</f>
        <v/>
      </c>
    </row>
    <row r="257">
      <c r="A257" s="7" t="n"/>
      <c r="B257" s="7" t="n"/>
      <c r="C257" s="7" t="n"/>
      <c r="D257" s="8" t="n"/>
      <c r="E257" s="8" t="n"/>
      <c r="F257" s="8" t="n"/>
      <c r="G257" s="9">
        <f>IF(C257="","",IFERROR(VLOOKUP(C257,MAESTRO!$A:$B,2,FALSE),"—"))</f>
        <v/>
      </c>
      <c r="H257" s="9">
        <f>IF(A257="","",IFERROR(VLOOKUP(A257,TIPOS!$A:$B,2,FALSE),""))</f>
        <v/>
      </c>
      <c r="I257" s="10">
        <f>IF(C257="","",IFERROR((N(D257)*N(VLOOKUP(C257,MAESTRO!$A:$D,4,FALSE))+N(E257))*VLOOKUP(C257,MAESTRO!$A:$C,3,FALSE)+N(F257),""))</f>
        <v/>
      </c>
      <c r="J257" s="9">
        <f>IF(OR(C257="",IFERROR(VLOOKUP(A257,TIPOS!$A:$E,5,FALSE),"No")&lt;&gt;"Sí"),"",IFERROR(IF(VLOOKUP(C257,MAESTRO!$A:$E,5,FALSE)=0,"",VLOOKUP(C257,MAESTRO!$A:$E,5,FALSE)),""))</f>
        <v/>
      </c>
      <c r="K257" s="10">
        <f>IF(OR(J257="",N(I257)=0,IFERROR(VLOOKUP(A257,TIPOS!$A:$E,5,FALSE),"No")&lt;&gt;"Sí"),"",INT(I257/VLOOKUP(C257,MAESTRO!$A:$C,3,FALSE)))</f>
        <v/>
      </c>
      <c r="L257" s="9">
        <f>IF(AND(A257="",C257=""),"",IF(A257="","Falta el tipo",IF(C257="","Falta el código",IF(ISNA(MATCH(C257,MAESTRO!$A:$A,0)),"El código no está en el maestro",IF(AND(N(D257)&gt;0,N(VLOOKUP(C257,MAESTRO!$A:$D,4,FALSE))=0),"Ese código no tiene cajas por estiba: escribe cajas",IF(AND(IFERROR(VLOOKUP(A257,TIPOS!$A:$C,3,FALSE),"")="Sí",B257=""),"Falta el N° de entrega",IF(N(I257)&lt;=0,"Falta la cantidad","OK")))))))</f>
        <v/>
      </c>
    </row>
    <row r="258">
      <c r="A258" s="7" t="n"/>
      <c r="B258" s="7" t="n"/>
      <c r="C258" s="7" t="n"/>
      <c r="D258" s="8" t="n"/>
      <c r="E258" s="8" t="n"/>
      <c r="F258" s="8" t="n"/>
      <c r="G258" s="9">
        <f>IF(C258="","",IFERROR(VLOOKUP(C258,MAESTRO!$A:$B,2,FALSE),"—"))</f>
        <v/>
      </c>
      <c r="H258" s="9">
        <f>IF(A258="","",IFERROR(VLOOKUP(A258,TIPOS!$A:$B,2,FALSE),""))</f>
        <v/>
      </c>
      <c r="I258" s="10">
        <f>IF(C258="","",IFERROR((N(D258)*N(VLOOKUP(C258,MAESTRO!$A:$D,4,FALSE))+N(E258))*VLOOKUP(C258,MAESTRO!$A:$C,3,FALSE)+N(F258),""))</f>
        <v/>
      </c>
      <c r="J258" s="9">
        <f>IF(OR(C258="",IFERROR(VLOOKUP(A258,TIPOS!$A:$E,5,FALSE),"No")&lt;&gt;"Sí"),"",IFERROR(IF(VLOOKUP(C258,MAESTRO!$A:$E,5,FALSE)=0,"",VLOOKUP(C258,MAESTRO!$A:$E,5,FALSE)),""))</f>
        <v/>
      </c>
      <c r="K258" s="10">
        <f>IF(OR(J258="",N(I258)=0,IFERROR(VLOOKUP(A258,TIPOS!$A:$E,5,FALSE),"No")&lt;&gt;"Sí"),"",INT(I258/VLOOKUP(C258,MAESTRO!$A:$C,3,FALSE)))</f>
        <v/>
      </c>
      <c r="L258" s="9">
        <f>IF(AND(A258="",C258=""),"",IF(A258="","Falta el tipo",IF(C258="","Falta el código",IF(ISNA(MATCH(C258,MAESTRO!$A:$A,0)),"El código no está en el maestro",IF(AND(N(D258)&gt;0,N(VLOOKUP(C258,MAESTRO!$A:$D,4,FALSE))=0),"Ese código no tiene cajas por estiba: escribe cajas",IF(AND(IFERROR(VLOOKUP(A258,TIPOS!$A:$C,3,FALSE),"")="Sí",B258=""),"Falta el N° de entrega",IF(N(I258)&lt;=0,"Falta la cantidad","OK")))))))</f>
        <v/>
      </c>
    </row>
    <row r="259">
      <c r="A259" s="7" t="n"/>
      <c r="B259" s="7" t="n"/>
      <c r="C259" s="7" t="n"/>
      <c r="D259" s="8" t="n"/>
      <c r="E259" s="8" t="n"/>
      <c r="F259" s="8" t="n"/>
      <c r="G259" s="9">
        <f>IF(C259="","",IFERROR(VLOOKUP(C259,MAESTRO!$A:$B,2,FALSE),"—"))</f>
        <v/>
      </c>
      <c r="H259" s="9">
        <f>IF(A259="","",IFERROR(VLOOKUP(A259,TIPOS!$A:$B,2,FALSE),""))</f>
        <v/>
      </c>
      <c r="I259" s="10">
        <f>IF(C259="","",IFERROR((N(D259)*N(VLOOKUP(C259,MAESTRO!$A:$D,4,FALSE))+N(E259))*VLOOKUP(C259,MAESTRO!$A:$C,3,FALSE)+N(F259),""))</f>
        <v/>
      </c>
      <c r="J259" s="9">
        <f>IF(OR(C259="",IFERROR(VLOOKUP(A259,TIPOS!$A:$E,5,FALSE),"No")&lt;&gt;"Sí"),"",IFERROR(IF(VLOOKUP(C259,MAESTRO!$A:$E,5,FALSE)=0,"",VLOOKUP(C259,MAESTRO!$A:$E,5,FALSE)),""))</f>
        <v/>
      </c>
      <c r="K259" s="10">
        <f>IF(OR(J259="",N(I259)=0,IFERROR(VLOOKUP(A259,TIPOS!$A:$E,5,FALSE),"No")&lt;&gt;"Sí"),"",INT(I259/VLOOKUP(C259,MAESTRO!$A:$C,3,FALSE)))</f>
        <v/>
      </c>
      <c r="L259" s="9">
        <f>IF(AND(A259="",C259=""),"",IF(A259="","Falta el tipo",IF(C259="","Falta el código",IF(ISNA(MATCH(C259,MAESTRO!$A:$A,0)),"El código no está en el maestro",IF(AND(N(D259)&gt;0,N(VLOOKUP(C259,MAESTRO!$A:$D,4,FALSE))=0),"Ese código no tiene cajas por estiba: escribe cajas",IF(AND(IFERROR(VLOOKUP(A259,TIPOS!$A:$C,3,FALSE),"")="Sí",B259=""),"Falta el N° de entrega",IF(N(I259)&lt;=0,"Falta la cantidad","OK")))))))</f>
        <v/>
      </c>
    </row>
    <row r="260">
      <c r="A260" s="7" t="n"/>
      <c r="B260" s="7" t="n"/>
      <c r="C260" s="7" t="n"/>
      <c r="D260" s="8" t="n"/>
      <c r="E260" s="8" t="n"/>
      <c r="F260" s="8" t="n"/>
      <c r="G260" s="9">
        <f>IF(C260="","",IFERROR(VLOOKUP(C260,MAESTRO!$A:$B,2,FALSE),"—"))</f>
        <v/>
      </c>
      <c r="H260" s="9">
        <f>IF(A260="","",IFERROR(VLOOKUP(A260,TIPOS!$A:$B,2,FALSE),""))</f>
        <v/>
      </c>
      <c r="I260" s="10">
        <f>IF(C260="","",IFERROR((N(D260)*N(VLOOKUP(C260,MAESTRO!$A:$D,4,FALSE))+N(E260))*VLOOKUP(C260,MAESTRO!$A:$C,3,FALSE)+N(F260),""))</f>
        <v/>
      </c>
      <c r="J260" s="9">
        <f>IF(OR(C260="",IFERROR(VLOOKUP(A260,TIPOS!$A:$E,5,FALSE),"No")&lt;&gt;"Sí"),"",IFERROR(IF(VLOOKUP(C260,MAESTRO!$A:$E,5,FALSE)=0,"",VLOOKUP(C260,MAESTRO!$A:$E,5,FALSE)),""))</f>
        <v/>
      </c>
      <c r="K260" s="10">
        <f>IF(OR(J260="",N(I260)=0,IFERROR(VLOOKUP(A260,TIPOS!$A:$E,5,FALSE),"No")&lt;&gt;"Sí"),"",INT(I260/VLOOKUP(C260,MAESTRO!$A:$C,3,FALSE)))</f>
        <v/>
      </c>
      <c r="L260" s="9">
        <f>IF(AND(A260="",C260=""),"",IF(A260="","Falta el tipo",IF(C260="","Falta el código",IF(ISNA(MATCH(C260,MAESTRO!$A:$A,0)),"El código no está en el maestro",IF(AND(N(D260)&gt;0,N(VLOOKUP(C260,MAESTRO!$A:$D,4,FALSE))=0),"Ese código no tiene cajas por estiba: escribe cajas",IF(AND(IFERROR(VLOOKUP(A260,TIPOS!$A:$C,3,FALSE),"")="Sí",B260=""),"Falta el N° de entrega",IF(N(I260)&lt;=0,"Falta la cantidad","OK")))))))</f>
        <v/>
      </c>
    </row>
    <row r="261">
      <c r="A261" s="7" t="n"/>
      <c r="B261" s="7" t="n"/>
      <c r="C261" s="7" t="n"/>
      <c r="D261" s="8" t="n"/>
      <c r="E261" s="8" t="n"/>
      <c r="F261" s="8" t="n"/>
      <c r="G261" s="9">
        <f>IF(C261="","",IFERROR(VLOOKUP(C261,MAESTRO!$A:$B,2,FALSE),"—"))</f>
        <v/>
      </c>
      <c r="H261" s="9">
        <f>IF(A261="","",IFERROR(VLOOKUP(A261,TIPOS!$A:$B,2,FALSE),""))</f>
        <v/>
      </c>
      <c r="I261" s="10">
        <f>IF(C261="","",IFERROR((N(D261)*N(VLOOKUP(C261,MAESTRO!$A:$D,4,FALSE))+N(E261))*VLOOKUP(C261,MAESTRO!$A:$C,3,FALSE)+N(F261),""))</f>
        <v/>
      </c>
      <c r="J261" s="9">
        <f>IF(OR(C261="",IFERROR(VLOOKUP(A261,TIPOS!$A:$E,5,FALSE),"No")&lt;&gt;"Sí"),"",IFERROR(IF(VLOOKUP(C261,MAESTRO!$A:$E,5,FALSE)=0,"",VLOOKUP(C261,MAESTRO!$A:$E,5,FALSE)),""))</f>
        <v/>
      </c>
      <c r="K261" s="10">
        <f>IF(OR(J261="",N(I261)=0,IFERROR(VLOOKUP(A261,TIPOS!$A:$E,5,FALSE),"No")&lt;&gt;"Sí"),"",INT(I261/VLOOKUP(C261,MAESTRO!$A:$C,3,FALSE)))</f>
        <v/>
      </c>
      <c r="L261" s="9">
        <f>IF(AND(A261="",C261=""),"",IF(A261="","Falta el tipo",IF(C261="","Falta el código",IF(ISNA(MATCH(C261,MAESTRO!$A:$A,0)),"El código no está en el maestro",IF(AND(N(D261)&gt;0,N(VLOOKUP(C261,MAESTRO!$A:$D,4,FALSE))=0),"Ese código no tiene cajas por estiba: escribe cajas",IF(AND(IFERROR(VLOOKUP(A261,TIPOS!$A:$C,3,FALSE),"")="Sí",B261=""),"Falta el N° de entrega",IF(N(I261)&lt;=0,"Falta la cantidad","OK")))))))</f>
        <v/>
      </c>
    </row>
    <row r="262">
      <c r="A262" s="7" t="n"/>
      <c r="B262" s="7" t="n"/>
      <c r="C262" s="7" t="n"/>
      <c r="D262" s="8" t="n"/>
      <c r="E262" s="8" t="n"/>
      <c r="F262" s="8" t="n"/>
      <c r="G262" s="9">
        <f>IF(C262="","",IFERROR(VLOOKUP(C262,MAESTRO!$A:$B,2,FALSE),"—"))</f>
        <v/>
      </c>
      <c r="H262" s="9">
        <f>IF(A262="","",IFERROR(VLOOKUP(A262,TIPOS!$A:$B,2,FALSE),""))</f>
        <v/>
      </c>
      <c r="I262" s="10">
        <f>IF(C262="","",IFERROR((N(D262)*N(VLOOKUP(C262,MAESTRO!$A:$D,4,FALSE))+N(E262))*VLOOKUP(C262,MAESTRO!$A:$C,3,FALSE)+N(F262),""))</f>
        <v/>
      </c>
      <c r="J262" s="9">
        <f>IF(OR(C262="",IFERROR(VLOOKUP(A262,TIPOS!$A:$E,5,FALSE),"No")&lt;&gt;"Sí"),"",IFERROR(IF(VLOOKUP(C262,MAESTRO!$A:$E,5,FALSE)=0,"",VLOOKUP(C262,MAESTRO!$A:$E,5,FALSE)),""))</f>
        <v/>
      </c>
      <c r="K262" s="10">
        <f>IF(OR(J262="",N(I262)=0,IFERROR(VLOOKUP(A262,TIPOS!$A:$E,5,FALSE),"No")&lt;&gt;"Sí"),"",INT(I262/VLOOKUP(C262,MAESTRO!$A:$C,3,FALSE)))</f>
        <v/>
      </c>
      <c r="L262" s="9">
        <f>IF(AND(A262="",C262=""),"",IF(A262="","Falta el tipo",IF(C262="","Falta el código",IF(ISNA(MATCH(C262,MAESTRO!$A:$A,0)),"El código no está en el maestro",IF(AND(N(D262)&gt;0,N(VLOOKUP(C262,MAESTRO!$A:$D,4,FALSE))=0),"Ese código no tiene cajas por estiba: escribe cajas",IF(AND(IFERROR(VLOOKUP(A262,TIPOS!$A:$C,3,FALSE),"")="Sí",B262=""),"Falta el N° de entrega",IF(N(I262)&lt;=0,"Falta la cantidad","OK")))))))</f>
        <v/>
      </c>
    </row>
    <row r="263">
      <c r="A263" s="7" t="n"/>
      <c r="B263" s="7" t="n"/>
      <c r="C263" s="7" t="n"/>
      <c r="D263" s="8" t="n"/>
      <c r="E263" s="8" t="n"/>
      <c r="F263" s="8" t="n"/>
      <c r="G263" s="9">
        <f>IF(C263="","",IFERROR(VLOOKUP(C263,MAESTRO!$A:$B,2,FALSE),"—"))</f>
        <v/>
      </c>
      <c r="H263" s="9">
        <f>IF(A263="","",IFERROR(VLOOKUP(A263,TIPOS!$A:$B,2,FALSE),""))</f>
        <v/>
      </c>
      <c r="I263" s="10">
        <f>IF(C263="","",IFERROR((N(D263)*N(VLOOKUP(C263,MAESTRO!$A:$D,4,FALSE))+N(E263))*VLOOKUP(C263,MAESTRO!$A:$C,3,FALSE)+N(F263),""))</f>
        <v/>
      </c>
      <c r="J263" s="9">
        <f>IF(OR(C263="",IFERROR(VLOOKUP(A263,TIPOS!$A:$E,5,FALSE),"No")&lt;&gt;"Sí"),"",IFERROR(IF(VLOOKUP(C263,MAESTRO!$A:$E,5,FALSE)=0,"",VLOOKUP(C263,MAESTRO!$A:$E,5,FALSE)),""))</f>
        <v/>
      </c>
      <c r="K263" s="10">
        <f>IF(OR(J263="",N(I263)=0,IFERROR(VLOOKUP(A263,TIPOS!$A:$E,5,FALSE),"No")&lt;&gt;"Sí"),"",INT(I263/VLOOKUP(C263,MAESTRO!$A:$C,3,FALSE)))</f>
        <v/>
      </c>
      <c r="L263" s="9">
        <f>IF(AND(A263="",C263=""),"",IF(A263="","Falta el tipo",IF(C263="","Falta el código",IF(ISNA(MATCH(C263,MAESTRO!$A:$A,0)),"El código no está en el maestro",IF(AND(N(D263)&gt;0,N(VLOOKUP(C263,MAESTRO!$A:$D,4,FALSE))=0),"Ese código no tiene cajas por estiba: escribe cajas",IF(AND(IFERROR(VLOOKUP(A263,TIPOS!$A:$C,3,FALSE),"")="Sí",B263=""),"Falta el N° de entrega",IF(N(I263)&lt;=0,"Falta la cantidad","OK")))))))</f>
        <v/>
      </c>
    </row>
    <row r="264">
      <c r="A264" s="7" t="n"/>
      <c r="B264" s="7" t="n"/>
      <c r="C264" s="7" t="n"/>
      <c r="D264" s="8" t="n"/>
      <c r="E264" s="8" t="n"/>
      <c r="F264" s="8" t="n"/>
      <c r="G264" s="9">
        <f>IF(C264="","",IFERROR(VLOOKUP(C264,MAESTRO!$A:$B,2,FALSE),"—"))</f>
        <v/>
      </c>
      <c r="H264" s="9">
        <f>IF(A264="","",IFERROR(VLOOKUP(A264,TIPOS!$A:$B,2,FALSE),""))</f>
        <v/>
      </c>
      <c r="I264" s="10">
        <f>IF(C264="","",IFERROR((N(D264)*N(VLOOKUP(C264,MAESTRO!$A:$D,4,FALSE))+N(E264))*VLOOKUP(C264,MAESTRO!$A:$C,3,FALSE)+N(F264),""))</f>
        <v/>
      </c>
      <c r="J264" s="9">
        <f>IF(OR(C264="",IFERROR(VLOOKUP(A264,TIPOS!$A:$E,5,FALSE),"No")&lt;&gt;"Sí"),"",IFERROR(IF(VLOOKUP(C264,MAESTRO!$A:$E,5,FALSE)=0,"",VLOOKUP(C264,MAESTRO!$A:$E,5,FALSE)),""))</f>
        <v/>
      </c>
      <c r="K264" s="10">
        <f>IF(OR(J264="",N(I264)=0,IFERROR(VLOOKUP(A264,TIPOS!$A:$E,5,FALSE),"No")&lt;&gt;"Sí"),"",INT(I264/VLOOKUP(C264,MAESTRO!$A:$C,3,FALSE)))</f>
        <v/>
      </c>
      <c r="L264" s="9">
        <f>IF(AND(A264="",C264=""),"",IF(A264="","Falta el tipo",IF(C264="","Falta el código",IF(ISNA(MATCH(C264,MAESTRO!$A:$A,0)),"El código no está en el maestro",IF(AND(N(D264)&gt;0,N(VLOOKUP(C264,MAESTRO!$A:$D,4,FALSE))=0),"Ese código no tiene cajas por estiba: escribe cajas",IF(AND(IFERROR(VLOOKUP(A264,TIPOS!$A:$C,3,FALSE),"")="Sí",B264=""),"Falta el N° de entrega",IF(N(I264)&lt;=0,"Falta la cantidad","OK")))))))</f>
        <v/>
      </c>
    </row>
    <row r="265">
      <c r="A265" s="7" t="n"/>
      <c r="B265" s="7" t="n"/>
      <c r="C265" s="7" t="n"/>
      <c r="D265" s="8" t="n"/>
      <c r="E265" s="8" t="n"/>
      <c r="F265" s="8" t="n"/>
      <c r="G265" s="9">
        <f>IF(C265="","",IFERROR(VLOOKUP(C265,MAESTRO!$A:$B,2,FALSE),"—"))</f>
        <v/>
      </c>
      <c r="H265" s="9">
        <f>IF(A265="","",IFERROR(VLOOKUP(A265,TIPOS!$A:$B,2,FALSE),""))</f>
        <v/>
      </c>
      <c r="I265" s="10">
        <f>IF(C265="","",IFERROR((N(D265)*N(VLOOKUP(C265,MAESTRO!$A:$D,4,FALSE))+N(E265))*VLOOKUP(C265,MAESTRO!$A:$C,3,FALSE)+N(F265),""))</f>
        <v/>
      </c>
      <c r="J265" s="9">
        <f>IF(OR(C265="",IFERROR(VLOOKUP(A265,TIPOS!$A:$E,5,FALSE),"No")&lt;&gt;"Sí"),"",IFERROR(IF(VLOOKUP(C265,MAESTRO!$A:$E,5,FALSE)=0,"",VLOOKUP(C265,MAESTRO!$A:$E,5,FALSE)),""))</f>
        <v/>
      </c>
      <c r="K265" s="10">
        <f>IF(OR(J265="",N(I265)=0,IFERROR(VLOOKUP(A265,TIPOS!$A:$E,5,FALSE),"No")&lt;&gt;"Sí"),"",INT(I265/VLOOKUP(C265,MAESTRO!$A:$C,3,FALSE)))</f>
        <v/>
      </c>
      <c r="L265" s="9">
        <f>IF(AND(A265="",C265=""),"",IF(A265="","Falta el tipo",IF(C265="","Falta el código",IF(ISNA(MATCH(C265,MAESTRO!$A:$A,0)),"El código no está en el maestro",IF(AND(N(D265)&gt;0,N(VLOOKUP(C265,MAESTRO!$A:$D,4,FALSE))=0),"Ese código no tiene cajas por estiba: escribe cajas",IF(AND(IFERROR(VLOOKUP(A265,TIPOS!$A:$C,3,FALSE),"")="Sí",B265=""),"Falta el N° de entrega",IF(N(I265)&lt;=0,"Falta la cantidad","OK")))))))</f>
        <v/>
      </c>
    </row>
    <row r="266">
      <c r="A266" s="7" t="n"/>
      <c r="B266" s="7" t="n"/>
      <c r="C266" s="7" t="n"/>
      <c r="D266" s="8" t="n"/>
      <c r="E266" s="8" t="n"/>
      <c r="F266" s="8" t="n"/>
      <c r="G266" s="9">
        <f>IF(C266="","",IFERROR(VLOOKUP(C266,MAESTRO!$A:$B,2,FALSE),"—"))</f>
        <v/>
      </c>
      <c r="H266" s="9">
        <f>IF(A266="","",IFERROR(VLOOKUP(A266,TIPOS!$A:$B,2,FALSE),""))</f>
        <v/>
      </c>
      <c r="I266" s="10">
        <f>IF(C266="","",IFERROR((N(D266)*N(VLOOKUP(C266,MAESTRO!$A:$D,4,FALSE))+N(E266))*VLOOKUP(C266,MAESTRO!$A:$C,3,FALSE)+N(F266),""))</f>
        <v/>
      </c>
      <c r="J266" s="9">
        <f>IF(OR(C266="",IFERROR(VLOOKUP(A266,TIPOS!$A:$E,5,FALSE),"No")&lt;&gt;"Sí"),"",IFERROR(IF(VLOOKUP(C266,MAESTRO!$A:$E,5,FALSE)=0,"",VLOOKUP(C266,MAESTRO!$A:$E,5,FALSE)),""))</f>
        <v/>
      </c>
      <c r="K266" s="10">
        <f>IF(OR(J266="",N(I266)=0,IFERROR(VLOOKUP(A266,TIPOS!$A:$E,5,FALSE),"No")&lt;&gt;"Sí"),"",INT(I266/VLOOKUP(C266,MAESTRO!$A:$C,3,FALSE)))</f>
        <v/>
      </c>
      <c r="L266" s="9">
        <f>IF(AND(A266="",C266=""),"",IF(A266="","Falta el tipo",IF(C266="","Falta el código",IF(ISNA(MATCH(C266,MAESTRO!$A:$A,0)),"El código no está en el maestro",IF(AND(N(D266)&gt;0,N(VLOOKUP(C266,MAESTRO!$A:$D,4,FALSE))=0),"Ese código no tiene cajas por estiba: escribe cajas",IF(AND(IFERROR(VLOOKUP(A266,TIPOS!$A:$C,3,FALSE),"")="Sí",B266=""),"Falta el N° de entrega",IF(N(I266)&lt;=0,"Falta la cantidad","OK")))))))</f>
        <v/>
      </c>
    </row>
    <row r="267">
      <c r="A267" s="7" t="n"/>
      <c r="B267" s="7" t="n"/>
      <c r="C267" s="7" t="n"/>
      <c r="D267" s="8" t="n"/>
      <c r="E267" s="8" t="n"/>
      <c r="F267" s="8" t="n"/>
      <c r="G267" s="9">
        <f>IF(C267="","",IFERROR(VLOOKUP(C267,MAESTRO!$A:$B,2,FALSE),"—"))</f>
        <v/>
      </c>
      <c r="H267" s="9">
        <f>IF(A267="","",IFERROR(VLOOKUP(A267,TIPOS!$A:$B,2,FALSE),""))</f>
        <v/>
      </c>
      <c r="I267" s="10">
        <f>IF(C267="","",IFERROR((N(D267)*N(VLOOKUP(C267,MAESTRO!$A:$D,4,FALSE))+N(E267))*VLOOKUP(C267,MAESTRO!$A:$C,3,FALSE)+N(F267),""))</f>
        <v/>
      </c>
      <c r="J267" s="9">
        <f>IF(OR(C267="",IFERROR(VLOOKUP(A267,TIPOS!$A:$E,5,FALSE),"No")&lt;&gt;"Sí"),"",IFERROR(IF(VLOOKUP(C267,MAESTRO!$A:$E,5,FALSE)=0,"",VLOOKUP(C267,MAESTRO!$A:$E,5,FALSE)),""))</f>
        <v/>
      </c>
      <c r="K267" s="10">
        <f>IF(OR(J267="",N(I267)=0,IFERROR(VLOOKUP(A267,TIPOS!$A:$E,5,FALSE),"No")&lt;&gt;"Sí"),"",INT(I267/VLOOKUP(C267,MAESTRO!$A:$C,3,FALSE)))</f>
        <v/>
      </c>
      <c r="L267" s="9">
        <f>IF(AND(A267="",C267=""),"",IF(A267="","Falta el tipo",IF(C267="","Falta el código",IF(ISNA(MATCH(C267,MAESTRO!$A:$A,0)),"El código no está en el maestro",IF(AND(N(D267)&gt;0,N(VLOOKUP(C267,MAESTRO!$A:$D,4,FALSE))=0),"Ese código no tiene cajas por estiba: escribe cajas",IF(AND(IFERROR(VLOOKUP(A267,TIPOS!$A:$C,3,FALSE),"")="Sí",B267=""),"Falta el N° de entrega",IF(N(I267)&lt;=0,"Falta la cantidad","OK")))))))</f>
        <v/>
      </c>
    </row>
    <row r="268">
      <c r="A268" s="7" t="n"/>
      <c r="B268" s="7" t="n"/>
      <c r="C268" s="7" t="n"/>
      <c r="D268" s="8" t="n"/>
      <c r="E268" s="8" t="n"/>
      <c r="F268" s="8" t="n"/>
      <c r="G268" s="9">
        <f>IF(C268="","",IFERROR(VLOOKUP(C268,MAESTRO!$A:$B,2,FALSE),"—"))</f>
        <v/>
      </c>
      <c r="H268" s="9">
        <f>IF(A268="","",IFERROR(VLOOKUP(A268,TIPOS!$A:$B,2,FALSE),""))</f>
        <v/>
      </c>
      <c r="I268" s="10">
        <f>IF(C268="","",IFERROR((N(D268)*N(VLOOKUP(C268,MAESTRO!$A:$D,4,FALSE))+N(E268))*VLOOKUP(C268,MAESTRO!$A:$C,3,FALSE)+N(F268),""))</f>
        <v/>
      </c>
      <c r="J268" s="9">
        <f>IF(OR(C268="",IFERROR(VLOOKUP(A268,TIPOS!$A:$E,5,FALSE),"No")&lt;&gt;"Sí"),"",IFERROR(IF(VLOOKUP(C268,MAESTRO!$A:$E,5,FALSE)=0,"",VLOOKUP(C268,MAESTRO!$A:$E,5,FALSE)),""))</f>
        <v/>
      </c>
      <c r="K268" s="10">
        <f>IF(OR(J268="",N(I268)=0,IFERROR(VLOOKUP(A268,TIPOS!$A:$E,5,FALSE),"No")&lt;&gt;"Sí"),"",INT(I268/VLOOKUP(C268,MAESTRO!$A:$C,3,FALSE)))</f>
        <v/>
      </c>
      <c r="L268" s="9">
        <f>IF(AND(A268="",C268=""),"",IF(A268="","Falta el tipo",IF(C268="","Falta el código",IF(ISNA(MATCH(C268,MAESTRO!$A:$A,0)),"El código no está en el maestro",IF(AND(N(D268)&gt;0,N(VLOOKUP(C268,MAESTRO!$A:$D,4,FALSE))=0),"Ese código no tiene cajas por estiba: escribe cajas",IF(AND(IFERROR(VLOOKUP(A268,TIPOS!$A:$C,3,FALSE),"")="Sí",B268=""),"Falta el N° de entrega",IF(N(I268)&lt;=0,"Falta la cantidad","OK")))))))</f>
        <v/>
      </c>
    </row>
    <row r="269">
      <c r="A269" s="7" t="n"/>
      <c r="B269" s="7" t="n"/>
      <c r="C269" s="7" t="n"/>
      <c r="D269" s="8" t="n"/>
      <c r="E269" s="8" t="n"/>
      <c r="F269" s="8" t="n"/>
      <c r="G269" s="9">
        <f>IF(C269="","",IFERROR(VLOOKUP(C269,MAESTRO!$A:$B,2,FALSE),"—"))</f>
        <v/>
      </c>
      <c r="H269" s="9">
        <f>IF(A269="","",IFERROR(VLOOKUP(A269,TIPOS!$A:$B,2,FALSE),""))</f>
        <v/>
      </c>
      <c r="I269" s="10">
        <f>IF(C269="","",IFERROR((N(D269)*N(VLOOKUP(C269,MAESTRO!$A:$D,4,FALSE))+N(E269))*VLOOKUP(C269,MAESTRO!$A:$C,3,FALSE)+N(F269),""))</f>
        <v/>
      </c>
      <c r="J269" s="9">
        <f>IF(OR(C269="",IFERROR(VLOOKUP(A269,TIPOS!$A:$E,5,FALSE),"No")&lt;&gt;"Sí"),"",IFERROR(IF(VLOOKUP(C269,MAESTRO!$A:$E,5,FALSE)=0,"",VLOOKUP(C269,MAESTRO!$A:$E,5,FALSE)),""))</f>
        <v/>
      </c>
      <c r="K269" s="10">
        <f>IF(OR(J269="",N(I269)=0,IFERROR(VLOOKUP(A269,TIPOS!$A:$E,5,FALSE),"No")&lt;&gt;"Sí"),"",INT(I269/VLOOKUP(C269,MAESTRO!$A:$C,3,FALSE)))</f>
        <v/>
      </c>
      <c r="L269" s="9">
        <f>IF(AND(A269="",C269=""),"",IF(A269="","Falta el tipo",IF(C269="","Falta el código",IF(ISNA(MATCH(C269,MAESTRO!$A:$A,0)),"El código no está en el maestro",IF(AND(N(D269)&gt;0,N(VLOOKUP(C269,MAESTRO!$A:$D,4,FALSE))=0),"Ese código no tiene cajas por estiba: escribe cajas",IF(AND(IFERROR(VLOOKUP(A269,TIPOS!$A:$C,3,FALSE),"")="Sí",B269=""),"Falta el N° de entrega",IF(N(I269)&lt;=0,"Falta la cantidad","OK")))))))</f>
        <v/>
      </c>
    </row>
    <row r="270">
      <c r="A270" s="7" t="n"/>
      <c r="B270" s="7" t="n"/>
      <c r="C270" s="7" t="n"/>
      <c r="D270" s="8" t="n"/>
      <c r="E270" s="8" t="n"/>
      <c r="F270" s="8" t="n"/>
      <c r="G270" s="9">
        <f>IF(C270="","",IFERROR(VLOOKUP(C270,MAESTRO!$A:$B,2,FALSE),"—"))</f>
        <v/>
      </c>
      <c r="H270" s="9">
        <f>IF(A270="","",IFERROR(VLOOKUP(A270,TIPOS!$A:$B,2,FALSE),""))</f>
        <v/>
      </c>
      <c r="I270" s="10">
        <f>IF(C270="","",IFERROR((N(D270)*N(VLOOKUP(C270,MAESTRO!$A:$D,4,FALSE))+N(E270))*VLOOKUP(C270,MAESTRO!$A:$C,3,FALSE)+N(F270),""))</f>
        <v/>
      </c>
      <c r="J270" s="9">
        <f>IF(OR(C270="",IFERROR(VLOOKUP(A270,TIPOS!$A:$E,5,FALSE),"No")&lt;&gt;"Sí"),"",IFERROR(IF(VLOOKUP(C270,MAESTRO!$A:$E,5,FALSE)=0,"",VLOOKUP(C270,MAESTRO!$A:$E,5,FALSE)),""))</f>
        <v/>
      </c>
      <c r="K270" s="10">
        <f>IF(OR(J270="",N(I270)=0,IFERROR(VLOOKUP(A270,TIPOS!$A:$E,5,FALSE),"No")&lt;&gt;"Sí"),"",INT(I270/VLOOKUP(C270,MAESTRO!$A:$C,3,FALSE)))</f>
        <v/>
      </c>
      <c r="L270" s="9">
        <f>IF(AND(A270="",C270=""),"",IF(A270="","Falta el tipo",IF(C270="","Falta el código",IF(ISNA(MATCH(C270,MAESTRO!$A:$A,0)),"El código no está en el maestro",IF(AND(N(D270)&gt;0,N(VLOOKUP(C270,MAESTRO!$A:$D,4,FALSE))=0),"Ese código no tiene cajas por estiba: escribe cajas",IF(AND(IFERROR(VLOOKUP(A270,TIPOS!$A:$C,3,FALSE),"")="Sí",B270=""),"Falta el N° de entrega",IF(N(I270)&lt;=0,"Falta la cantidad","OK")))))))</f>
        <v/>
      </c>
    </row>
    <row r="271">
      <c r="A271" s="7" t="n"/>
      <c r="B271" s="7" t="n"/>
      <c r="C271" s="7" t="n"/>
      <c r="D271" s="8" t="n"/>
      <c r="E271" s="8" t="n"/>
      <c r="F271" s="8" t="n"/>
      <c r="G271" s="9">
        <f>IF(C271="","",IFERROR(VLOOKUP(C271,MAESTRO!$A:$B,2,FALSE),"—"))</f>
        <v/>
      </c>
      <c r="H271" s="9">
        <f>IF(A271="","",IFERROR(VLOOKUP(A271,TIPOS!$A:$B,2,FALSE),""))</f>
        <v/>
      </c>
      <c r="I271" s="10">
        <f>IF(C271="","",IFERROR((N(D271)*N(VLOOKUP(C271,MAESTRO!$A:$D,4,FALSE))+N(E271))*VLOOKUP(C271,MAESTRO!$A:$C,3,FALSE)+N(F271),""))</f>
        <v/>
      </c>
      <c r="J271" s="9">
        <f>IF(OR(C271="",IFERROR(VLOOKUP(A271,TIPOS!$A:$E,5,FALSE),"No")&lt;&gt;"Sí"),"",IFERROR(IF(VLOOKUP(C271,MAESTRO!$A:$E,5,FALSE)=0,"",VLOOKUP(C271,MAESTRO!$A:$E,5,FALSE)),""))</f>
        <v/>
      </c>
      <c r="K271" s="10">
        <f>IF(OR(J271="",N(I271)=0,IFERROR(VLOOKUP(A271,TIPOS!$A:$E,5,FALSE),"No")&lt;&gt;"Sí"),"",INT(I271/VLOOKUP(C271,MAESTRO!$A:$C,3,FALSE)))</f>
        <v/>
      </c>
      <c r="L271" s="9">
        <f>IF(AND(A271="",C271=""),"",IF(A271="","Falta el tipo",IF(C271="","Falta el código",IF(ISNA(MATCH(C271,MAESTRO!$A:$A,0)),"El código no está en el maestro",IF(AND(N(D271)&gt;0,N(VLOOKUP(C271,MAESTRO!$A:$D,4,FALSE))=0),"Ese código no tiene cajas por estiba: escribe cajas",IF(AND(IFERROR(VLOOKUP(A271,TIPOS!$A:$C,3,FALSE),"")="Sí",B271=""),"Falta el N° de entrega",IF(N(I271)&lt;=0,"Falta la cantidad","OK")))))))</f>
        <v/>
      </c>
    </row>
    <row r="272">
      <c r="A272" s="7" t="n"/>
      <c r="B272" s="7" t="n"/>
      <c r="C272" s="7" t="n"/>
      <c r="D272" s="8" t="n"/>
      <c r="E272" s="8" t="n"/>
      <c r="F272" s="8" t="n"/>
      <c r="G272" s="9">
        <f>IF(C272="","",IFERROR(VLOOKUP(C272,MAESTRO!$A:$B,2,FALSE),"—"))</f>
        <v/>
      </c>
      <c r="H272" s="9">
        <f>IF(A272="","",IFERROR(VLOOKUP(A272,TIPOS!$A:$B,2,FALSE),""))</f>
        <v/>
      </c>
      <c r="I272" s="10">
        <f>IF(C272="","",IFERROR((N(D272)*N(VLOOKUP(C272,MAESTRO!$A:$D,4,FALSE))+N(E272))*VLOOKUP(C272,MAESTRO!$A:$C,3,FALSE)+N(F272),""))</f>
        <v/>
      </c>
      <c r="J272" s="9">
        <f>IF(OR(C272="",IFERROR(VLOOKUP(A272,TIPOS!$A:$E,5,FALSE),"No")&lt;&gt;"Sí"),"",IFERROR(IF(VLOOKUP(C272,MAESTRO!$A:$E,5,FALSE)=0,"",VLOOKUP(C272,MAESTRO!$A:$E,5,FALSE)),""))</f>
        <v/>
      </c>
      <c r="K272" s="10">
        <f>IF(OR(J272="",N(I272)=0,IFERROR(VLOOKUP(A272,TIPOS!$A:$E,5,FALSE),"No")&lt;&gt;"Sí"),"",INT(I272/VLOOKUP(C272,MAESTRO!$A:$C,3,FALSE)))</f>
        <v/>
      </c>
      <c r="L272" s="9">
        <f>IF(AND(A272="",C272=""),"",IF(A272="","Falta el tipo",IF(C272="","Falta el código",IF(ISNA(MATCH(C272,MAESTRO!$A:$A,0)),"El código no está en el maestro",IF(AND(N(D272)&gt;0,N(VLOOKUP(C272,MAESTRO!$A:$D,4,FALSE))=0),"Ese código no tiene cajas por estiba: escribe cajas",IF(AND(IFERROR(VLOOKUP(A272,TIPOS!$A:$C,3,FALSE),"")="Sí",B272=""),"Falta el N° de entrega",IF(N(I272)&lt;=0,"Falta la cantidad","OK")))))))</f>
        <v/>
      </c>
    </row>
    <row r="273">
      <c r="A273" s="7" t="n"/>
      <c r="B273" s="7" t="n"/>
      <c r="C273" s="7" t="n"/>
      <c r="D273" s="8" t="n"/>
      <c r="E273" s="8" t="n"/>
      <c r="F273" s="8" t="n"/>
      <c r="G273" s="9">
        <f>IF(C273="","",IFERROR(VLOOKUP(C273,MAESTRO!$A:$B,2,FALSE),"—"))</f>
        <v/>
      </c>
      <c r="H273" s="9">
        <f>IF(A273="","",IFERROR(VLOOKUP(A273,TIPOS!$A:$B,2,FALSE),""))</f>
        <v/>
      </c>
      <c r="I273" s="10">
        <f>IF(C273="","",IFERROR((N(D273)*N(VLOOKUP(C273,MAESTRO!$A:$D,4,FALSE))+N(E273))*VLOOKUP(C273,MAESTRO!$A:$C,3,FALSE)+N(F273),""))</f>
        <v/>
      </c>
      <c r="J273" s="9">
        <f>IF(OR(C273="",IFERROR(VLOOKUP(A273,TIPOS!$A:$E,5,FALSE),"No")&lt;&gt;"Sí"),"",IFERROR(IF(VLOOKUP(C273,MAESTRO!$A:$E,5,FALSE)=0,"",VLOOKUP(C273,MAESTRO!$A:$E,5,FALSE)),""))</f>
        <v/>
      </c>
      <c r="K273" s="10">
        <f>IF(OR(J273="",N(I273)=0,IFERROR(VLOOKUP(A273,TIPOS!$A:$E,5,FALSE),"No")&lt;&gt;"Sí"),"",INT(I273/VLOOKUP(C273,MAESTRO!$A:$C,3,FALSE)))</f>
        <v/>
      </c>
      <c r="L273" s="9">
        <f>IF(AND(A273="",C273=""),"",IF(A273="","Falta el tipo",IF(C273="","Falta el código",IF(ISNA(MATCH(C273,MAESTRO!$A:$A,0)),"El código no está en el maestro",IF(AND(N(D273)&gt;0,N(VLOOKUP(C273,MAESTRO!$A:$D,4,FALSE))=0),"Ese código no tiene cajas por estiba: escribe cajas",IF(AND(IFERROR(VLOOKUP(A273,TIPOS!$A:$C,3,FALSE),"")="Sí",B273=""),"Falta el N° de entrega",IF(N(I273)&lt;=0,"Falta la cantidad","OK")))))))</f>
        <v/>
      </c>
    </row>
    <row r="274">
      <c r="A274" s="7" t="n"/>
      <c r="B274" s="7" t="n"/>
      <c r="C274" s="7" t="n"/>
      <c r="D274" s="8" t="n"/>
      <c r="E274" s="8" t="n"/>
      <c r="F274" s="8" t="n"/>
      <c r="G274" s="9">
        <f>IF(C274="","",IFERROR(VLOOKUP(C274,MAESTRO!$A:$B,2,FALSE),"—"))</f>
        <v/>
      </c>
      <c r="H274" s="9">
        <f>IF(A274="","",IFERROR(VLOOKUP(A274,TIPOS!$A:$B,2,FALSE),""))</f>
        <v/>
      </c>
      <c r="I274" s="10">
        <f>IF(C274="","",IFERROR((N(D274)*N(VLOOKUP(C274,MAESTRO!$A:$D,4,FALSE))+N(E274))*VLOOKUP(C274,MAESTRO!$A:$C,3,FALSE)+N(F274),""))</f>
        <v/>
      </c>
      <c r="J274" s="9">
        <f>IF(OR(C274="",IFERROR(VLOOKUP(A274,TIPOS!$A:$E,5,FALSE),"No")&lt;&gt;"Sí"),"",IFERROR(IF(VLOOKUP(C274,MAESTRO!$A:$E,5,FALSE)=0,"",VLOOKUP(C274,MAESTRO!$A:$E,5,FALSE)),""))</f>
        <v/>
      </c>
      <c r="K274" s="10">
        <f>IF(OR(J274="",N(I274)=0,IFERROR(VLOOKUP(A274,TIPOS!$A:$E,5,FALSE),"No")&lt;&gt;"Sí"),"",INT(I274/VLOOKUP(C274,MAESTRO!$A:$C,3,FALSE)))</f>
        <v/>
      </c>
      <c r="L274" s="9">
        <f>IF(AND(A274="",C274=""),"",IF(A274="","Falta el tipo",IF(C274="","Falta el código",IF(ISNA(MATCH(C274,MAESTRO!$A:$A,0)),"El código no está en el maestro",IF(AND(N(D274)&gt;0,N(VLOOKUP(C274,MAESTRO!$A:$D,4,FALSE))=0),"Ese código no tiene cajas por estiba: escribe cajas",IF(AND(IFERROR(VLOOKUP(A274,TIPOS!$A:$C,3,FALSE),"")="Sí",B274=""),"Falta el N° de entrega",IF(N(I274)&lt;=0,"Falta la cantidad","OK")))))))</f>
        <v/>
      </c>
    </row>
    <row r="275">
      <c r="A275" s="7" t="n"/>
      <c r="B275" s="7" t="n"/>
      <c r="C275" s="7" t="n"/>
      <c r="D275" s="8" t="n"/>
      <c r="E275" s="8" t="n"/>
      <c r="F275" s="8" t="n"/>
      <c r="G275" s="9">
        <f>IF(C275="","",IFERROR(VLOOKUP(C275,MAESTRO!$A:$B,2,FALSE),"—"))</f>
        <v/>
      </c>
      <c r="H275" s="9">
        <f>IF(A275="","",IFERROR(VLOOKUP(A275,TIPOS!$A:$B,2,FALSE),""))</f>
        <v/>
      </c>
      <c r="I275" s="10">
        <f>IF(C275="","",IFERROR((N(D275)*N(VLOOKUP(C275,MAESTRO!$A:$D,4,FALSE))+N(E275))*VLOOKUP(C275,MAESTRO!$A:$C,3,FALSE)+N(F275),""))</f>
        <v/>
      </c>
      <c r="J275" s="9">
        <f>IF(OR(C275="",IFERROR(VLOOKUP(A275,TIPOS!$A:$E,5,FALSE),"No")&lt;&gt;"Sí"),"",IFERROR(IF(VLOOKUP(C275,MAESTRO!$A:$E,5,FALSE)=0,"",VLOOKUP(C275,MAESTRO!$A:$E,5,FALSE)),""))</f>
        <v/>
      </c>
      <c r="K275" s="10">
        <f>IF(OR(J275="",N(I275)=0,IFERROR(VLOOKUP(A275,TIPOS!$A:$E,5,FALSE),"No")&lt;&gt;"Sí"),"",INT(I275/VLOOKUP(C275,MAESTRO!$A:$C,3,FALSE)))</f>
        <v/>
      </c>
      <c r="L275" s="9">
        <f>IF(AND(A275="",C275=""),"",IF(A275="","Falta el tipo",IF(C275="","Falta el código",IF(ISNA(MATCH(C275,MAESTRO!$A:$A,0)),"El código no está en el maestro",IF(AND(N(D275)&gt;0,N(VLOOKUP(C275,MAESTRO!$A:$D,4,FALSE))=0),"Ese código no tiene cajas por estiba: escribe cajas",IF(AND(IFERROR(VLOOKUP(A275,TIPOS!$A:$C,3,FALSE),"")="Sí",B275=""),"Falta el N° de entrega",IF(N(I275)&lt;=0,"Falta la cantidad","OK")))))))</f>
        <v/>
      </c>
    </row>
    <row r="276">
      <c r="A276" s="7" t="n"/>
      <c r="B276" s="7" t="n"/>
      <c r="C276" s="7" t="n"/>
      <c r="D276" s="8" t="n"/>
      <c r="E276" s="8" t="n"/>
      <c r="F276" s="8" t="n"/>
      <c r="G276" s="9">
        <f>IF(C276="","",IFERROR(VLOOKUP(C276,MAESTRO!$A:$B,2,FALSE),"—"))</f>
        <v/>
      </c>
      <c r="H276" s="9">
        <f>IF(A276="","",IFERROR(VLOOKUP(A276,TIPOS!$A:$B,2,FALSE),""))</f>
        <v/>
      </c>
      <c r="I276" s="10">
        <f>IF(C276="","",IFERROR((N(D276)*N(VLOOKUP(C276,MAESTRO!$A:$D,4,FALSE))+N(E276))*VLOOKUP(C276,MAESTRO!$A:$C,3,FALSE)+N(F276),""))</f>
        <v/>
      </c>
      <c r="J276" s="9">
        <f>IF(OR(C276="",IFERROR(VLOOKUP(A276,TIPOS!$A:$E,5,FALSE),"No")&lt;&gt;"Sí"),"",IFERROR(IF(VLOOKUP(C276,MAESTRO!$A:$E,5,FALSE)=0,"",VLOOKUP(C276,MAESTRO!$A:$E,5,FALSE)),""))</f>
        <v/>
      </c>
      <c r="K276" s="10">
        <f>IF(OR(J276="",N(I276)=0,IFERROR(VLOOKUP(A276,TIPOS!$A:$E,5,FALSE),"No")&lt;&gt;"Sí"),"",INT(I276/VLOOKUP(C276,MAESTRO!$A:$C,3,FALSE)))</f>
        <v/>
      </c>
      <c r="L276" s="9">
        <f>IF(AND(A276="",C276=""),"",IF(A276="","Falta el tipo",IF(C276="","Falta el código",IF(ISNA(MATCH(C276,MAESTRO!$A:$A,0)),"El código no está en el maestro",IF(AND(N(D276)&gt;0,N(VLOOKUP(C276,MAESTRO!$A:$D,4,FALSE))=0),"Ese código no tiene cajas por estiba: escribe cajas",IF(AND(IFERROR(VLOOKUP(A276,TIPOS!$A:$C,3,FALSE),"")="Sí",B276=""),"Falta el N° de entrega",IF(N(I276)&lt;=0,"Falta la cantidad","OK")))))))</f>
        <v/>
      </c>
    </row>
    <row r="277">
      <c r="A277" s="7" t="n"/>
      <c r="B277" s="7" t="n"/>
      <c r="C277" s="7" t="n"/>
      <c r="D277" s="8" t="n"/>
      <c r="E277" s="8" t="n"/>
      <c r="F277" s="8" t="n"/>
      <c r="G277" s="9">
        <f>IF(C277="","",IFERROR(VLOOKUP(C277,MAESTRO!$A:$B,2,FALSE),"—"))</f>
        <v/>
      </c>
      <c r="H277" s="9">
        <f>IF(A277="","",IFERROR(VLOOKUP(A277,TIPOS!$A:$B,2,FALSE),""))</f>
        <v/>
      </c>
      <c r="I277" s="10">
        <f>IF(C277="","",IFERROR((N(D277)*N(VLOOKUP(C277,MAESTRO!$A:$D,4,FALSE))+N(E277))*VLOOKUP(C277,MAESTRO!$A:$C,3,FALSE)+N(F277),""))</f>
        <v/>
      </c>
      <c r="J277" s="9">
        <f>IF(OR(C277="",IFERROR(VLOOKUP(A277,TIPOS!$A:$E,5,FALSE),"No")&lt;&gt;"Sí"),"",IFERROR(IF(VLOOKUP(C277,MAESTRO!$A:$E,5,FALSE)=0,"",VLOOKUP(C277,MAESTRO!$A:$E,5,FALSE)),""))</f>
        <v/>
      </c>
      <c r="K277" s="10">
        <f>IF(OR(J277="",N(I277)=0,IFERROR(VLOOKUP(A277,TIPOS!$A:$E,5,FALSE),"No")&lt;&gt;"Sí"),"",INT(I277/VLOOKUP(C277,MAESTRO!$A:$C,3,FALSE)))</f>
        <v/>
      </c>
      <c r="L277" s="9">
        <f>IF(AND(A277="",C277=""),"",IF(A277="","Falta el tipo",IF(C277="","Falta el código",IF(ISNA(MATCH(C277,MAESTRO!$A:$A,0)),"El código no está en el maestro",IF(AND(N(D277)&gt;0,N(VLOOKUP(C277,MAESTRO!$A:$D,4,FALSE))=0),"Ese código no tiene cajas por estiba: escribe cajas",IF(AND(IFERROR(VLOOKUP(A277,TIPOS!$A:$C,3,FALSE),"")="Sí",B277=""),"Falta el N° de entrega",IF(N(I277)&lt;=0,"Falta la cantidad","OK")))))))</f>
        <v/>
      </c>
    </row>
    <row r="278">
      <c r="A278" s="7" t="n"/>
      <c r="B278" s="7" t="n"/>
      <c r="C278" s="7" t="n"/>
      <c r="D278" s="8" t="n"/>
      <c r="E278" s="8" t="n"/>
      <c r="F278" s="8" t="n"/>
      <c r="G278" s="9">
        <f>IF(C278="","",IFERROR(VLOOKUP(C278,MAESTRO!$A:$B,2,FALSE),"—"))</f>
        <v/>
      </c>
      <c r="H278" s="9">
        <f>IF(A278="","",IFERROR(VLOOKUP(A278,TIPOS!$A:$B,2,FALSE),""))</f>
        <v/>
      </c>
      <c r="I278" s="10">
        <f>IF(C278="","",IFERROR((N(D278)*N(VLOOKUP(C278,MAESTRO!$A:$D,4,FALSE))+N(E278))*VLOOKUP(C278,MAESTRO!$A:$C,3,FALSE)+N(F278),""))</f>
        <v/>
      </c>
      <c r="J278" s="9">
        <f>IF(OR(C278="",IFERROR(VLOOKUP(A278,TIPOS!$A:$E,5,FALSE),"No")&lt;&gt;"Sí"),"",IFERROR(IF(VLOOKUP(C278,MAESTRO!$A:$E,5,FALSE)=0,"",VLOOKUP(C278,MAESTRO!$A:$E,5,FALSE)),""))</f>
        <v/>
      </c>
      <c r="K278" s="10">
        <f>IF(OR(J278="",N(I278)=0,IFERROR(VLOOKUP(A278,TIPOS!$A:$E,5,FALSE),"No")&lt;&gt;"Sí"),"",INT(I278/VLOOKUP(C278,MAESTRO!$A:$C,3,FALSE)))</f>
        <v/>
      </c>
      <c r="L278" s="9">
        <f>IF(AND(A278="",C278=""),"",IF(A278="","Falta el tipo",IF(C278="","Falta el código",IF(ISNA(MATCH(C278,MAESTRO!$A:$A,0)),"El código no está en el maestro",IF(AND(N(D278)&gt;0,N(VLOOKUP(C278,MAESTRO!$A:$D,4,FALSE))=0),"Ese código no tiene cajas por estiba: escribe cajas",IF(AND(IFERROR(VLOOKUP(A278,TIPOS!$A:$C,3,FALSE),"")="Sí",B278=""),"Falta el N° de entrega",IF(N(I278)&lt;=0,"Falta la cantidad","OK")))))))</f>
        <v/>
      </c>
    </row>
    <row r="279">
      <c r="A279" s="7" t="n"/>
      <c r="B279" s="7" t="n"/>
      <c r="C279" s="7" t="n"/>
      <c r="D279" s="8" t="n"/>
      <c r="E279" s="8" t="n"/>
      <c r="F279" s="8" t="n"/>
      <c r="G279" s="9">
        <f>IF(C279="","",IFERROR(VLOOKUP(C279,MAESTRO!$A:$B,2,FALSE),"—"))</f>
        <v/>
      </c>
      <c r="H279" s="9">
        <f>IF(A279="","",IFERROR(VLOOKUP(A279,TIPOS!$A:$B,2,FALSE),""))</f>
        <v/>
      </c>
      <c r="I279" s="10">
        <f>IF(C279="","",IFERROR((N(D279)*N(VLOOKUP(C279,MAESTRO!$A:$D,4,FALSE))+N(E279))*VLOOKUP(C279,MAESTRO!$A:$C,3,FALSE)+N(F279),""))</f>
        <v/>
      </c>
      <c r="J279" s="9">
        <f>IF(OR(C279="",IFERROR(VLOOKUP(A279,TIPOS!$A:$E,5,FALSE),"No")&lt;&gt;"Sí"),"",IFERROR(IF(VLOOKUP(C279,MAESTRO!$A:$E,5,FALSE)=0,"",VLOOKUP(C279,MAESTRO!$A:$E,5,FALSE)),""))</f>
        <v/>
      </c>
      <c r="K279" s="10">
        <f>IF(OR(J279="",N(I279)=0,IFERROR(VLOOKUP(A279,TIPOS!$A:$E,5,FALSE),"No")&lt;&gt;"Sí"),"",INT(I279/VLOOKUP(C279,MAESTRO!$A:$C,3,FALSE)))</f>
        <v/>
      </c>
      <c r="L279" s="9">
        <f>IF(AND(A279="",C279=""),"",IF(A279="","Falta el tipo",IF(C279="","Falta el código",IF(ISNA(MATCH(C279,MAESTRO!$A:$A,0)),"El código no está en el maestro",IF(AND(N(D279)&gt;0,N(VLOOKUP(C279,MAESTRO!$A:$D,4,FALSE))=0),"Ese código no tiene cajas por estiba: escribe cajas",IF(AND(IFERROR(VLOOKUP(A279,TIPOS!$A:$C,3,FALSE),"")="Sí",B279=""),"Falta el N° de entrega",IF(N(I279)&lt;=0,"Falta la cantidad","OK")))))))</f>
        <v/>
      </c>
    </row>
    <row r="280">
      <c r="A280" s="7" t="n"/>
      <c r="B280" s="7" t="n"/>
      <c r="C280" s="7" t="n"/>
      <c r="D280" s="8" t="n"/>
      <c r="E280" s="8" t="n"/>
      <c r="F280" s="8" t="n"/>
      <c r="G280" s="9">
        <f>IF(C280="","",IFERROR(VLOOKUP(C280,MAESTRO!$A:$B,2,FALSE),"—"))</f>
        <v/>
      </c>
      <c r="H280" s="9">
        <f>IF(A280="","",IFERROR(VLOOKUP(A280,TIPOS!$A:$B,2,FALSE),""))</f>
        <v/>
      </c>
      <c r="I280" s="10">
        <f>IF(C280="","",IFERROR((N(D280)*N(VLOOKUP(C280,MAESTRO!$A:$D,4,FALSE))+N(E280))*VLOOKUP(C280,MAESTRO!$A:$C,3,FALSE)+N(F280),""))</f>
        <v/>
      </c>
      <c r="J280" s="9">
        <f>IF(OR(C280="",IFERROR(VLOOKUP(A280,TIPOS!$A:$E,5,FALSE),"No")&lt;&gt;"Sí"),"",IFERROR(IF(VLOOKUP(C280,MAESTRO!$A:$E,5,FALSE)=0,"",VLOOKUP(C280,MAESTRO!$A:$E,5,FALSE)),""))</f>
        <v/>
      </c>
      <c r="K280" s="10">
        <f>IF(OR(J280="",N(I280)=0,IFERROR(VLOOKUP(A280,TIPOS!$A:$E,5,FALSE),"No")&lt;&gt;"Sí"),"",INT(I280/VLOOKUP(C280,MAESTRO!$A:$C,3,FALSE)))</f>
        <v/>
      </c>
      <c r="L280" s="9">
        <f>IF(AND(A280="",C280=""),"",IF(A280="","Falta el tipo",IF(C280="","Falta el código",IF(ISNA(MATCH(C280,MAESTRO!$A:$A,0)),"El código no está en el maestro",IF(AND(N(D280)&gt;0,N(VLOOKUP(C280,MAESTRO!$A:$D,4,FALSE))=0),"Ese código no tiene cajas por estiba: escribe cajas",IF(AND(IFERROR(VLOOKUP(A280,TIPOS!$A:$C,3,FALSE),"")="Sí",B280=""),"Falta el N° de entrega",IF(N(I280)&lt;=0,"Falta la cantidad","OK")))))))</f>
        <v/>
      </c>
    </row>
    <row r="281">
      <c r="A281" s="7" t="n"/>
      <c r="B281" s="7" t="n"/>
      <c r="C281" s="7" t="n"/>
      <c r="D281" s="8" t="n"/>
      <c r="E281" s="8" t="n"/>
      <c r="F281" s="8" t="n"/>
      <c r="G281" s="9">
        <f>IF(C281="","",IFERROR(VLOOKUP(C281,MAESTRO!$A:$B,2,FALSE),"—"))</f>
        <v/>
      </c>
      <c r="H281" s="9">
        <f>IF(A281="","",IFERROR(VLOOKUP(A281,TIPOS!$A:$B,2,FALSE),""))</f>
        <v/>
      </c>
      <c r="I281" s="10">
        <f>IF(C281="","",IFERROR((N(D281)*N(VLOOKUP(C281,MAESTRO!$A:$D,4,FALSE))+N(E281))*VLOOKUP(C281,MAESTRO!$A:$C,3,FALSE)+N(F281),""))</f>
        <v/>
      </c>
      <c r="J281" s="9">
        <f>IF(OR(C281="",IFERROR(VLOOKUP(A281,TIPOS!$A:$E,5,FALSE),"No")&lt;&gt;"Sí"),"",IFERROR(IF(VLOOKUP(C281,MAESTRO!$A:$E,5,FALSE)=0,"",VLOOKUP(C281,MAESTRO!$A:$E,5,FALSE)),""))</f>
        <v/>
      </c>
      <c r="K281" s="10">
        <f>IF(OR(J281="",N(I281)=0,IFERROR(VLOOKUP(A281,TIPOS!$A:$E,5,FALSE),"No")&lt;&gt;"Sí"),"",INT(I281/VLOOKUP(C281,MAESTRO!$A:$C,3,FALSE)))</f>
        <v/>
      </c>
      <c r="L281" s="9">
        <f>IF(AND(A281="",C281=""),"",IF(A281="","Falta el tipo",IF(C281="","Falta el código",IF(ISNA(MATCH(C281,MAESTRO!$A:$A,0)),"El código no está en el maestro",IF(AND(N(D281)&gt;0,N(VLOOKUP(C281,MAESTRO!$A:$D,4,FALSE))=0),"Ese código no tiene cajas por estiba: escribe cajas",IF(AND(IFERROR(VLOOKUP(A281,TIPOS!$A:$C,3,FALSE),"")="Sí",B281=""),"Falta el N° de entrega",IF(N(I281)&lt;=0,"Falta la cantidad","OK")))))))</f>
        <v/>
      </c>
    </row>
    <row r="282">
      <c r="A282" s="7" t="n"/>
      <c r="B282" s="7" t="n"/>
      <c r="C282" s="7" t="n"/>
      <c r="D282" s="8" t="n"/>
      <c r="E282" s="8" t="n"/>
      <c r="F282" s="8" t="n"/>
      <c r="G282" s="9">
        <f>IF(C282="","",IFERROR(VLOOKUP(C282,MAESTRO!$A:$B,2,FALSE),"—"))</f>
        <v/>
      </c>
      <c r="H282" s="9">
        <f>IF(A282="","",IFERROR(VLOOKUP(A282,TIPOS!$A:$B,2,FALSE),""))</f>
        <v/>
      </c>
      <c r="I282" s="10">
        <f>IF(C282="","",IFERROR((N(D282)*N(VLOOKUP(C282,MAESTRO!$A:$D,4,FALSE))+N(E282))*VLOOKUP(C282,MAESTRO!$A:$C,3,FALSE)+N(F282),""))</f>
        <v/>
      </c>
      <c r="J282" s="9">
        <f>IF(OR(C282="",IFERROR(VLOOKUP(A282,TIPOS!$A:$E,5,FALSE),"No")&lt;&gt;"Sí"),"",IFERROR(IF(VLOOKUP(C282,MAESTRO!$A:$E,5,FALSE)=0,"",VLOOKUP(C282,MAESTRO!$A:$E,5,FALSE)),""))</f>
        <v/>
      </c>
      <c r="K282" s="10">
        <f>IF(OR(J282="",N(I282)=0,IFERROR(VLOOKUP(A282,TIPOS!$A:$E,5,FALSE),"No")&lt;&gt;"Sí"),"",INT(I282/VLOOKUP(C282,MAESTRO!$A:$C,3,FALSE)))</f>
        <v/>
      </c>
      <c r="L282" s="9">
        <f>IF(AND(A282="",C282=""),"",IF(A282="","Falta el tipo",IF(C282="","Falta el código",IF(ISNA(MATCH(C282,MAESTRO!$A:$A,0)),"El código no está en el maestro",IF(AND(N(D282)&gt;0,N(VLOOKUP(C282,MAESTRO!$A:$D,4,FALSE))=0),"Ese código no tiene cajas por estiba: escribe cajas",IF(AND(IFERROR(VLOOKUP(A282,TIPOS!$A:$C,3,FALSE),"")="Sí",B282=""),"Falta el N° de entrega",IF(N(I282)&lt;=0,"Falta la cantidad","OK")))))))</f>
        <v/>
      </c>
    </row>
    <row r="283">
      <c r="A283" s="7" t="n"/>
      <c r="B283" s="7" t="n"/>
      <c r="C283" s="7" t="n"/>
      <c r="D283" s="8" t="n"/>
      <c r="E283" s="8" t="n"/>
      <c r="F283" s="8" t="n"/>
      <c r="G283" s="9">
        <f>IF(C283="","",IFERROR(VLOOKUP(C283,MAESTRO!$A:$B,2,FALSE),"—"))</f>
        <v/>
      </c>
      <c r="H283" s="9">
        <f>IF(A283="","",IFERROR(VLOOKUP(A283,TIPOS!$A:$B,2,FALSE),""))</f>
        <v/>
      </c>
      <c r="I283" s="10">
        <f>IF(C283="","",IFERROR((N(D283)*N(VLOOKUP(C283,MAESTRO!$A:$D,4,FALSE))+N(E283))*VLOOKUP(C283,MAESTRO!$A:$C,3,FALSE)+N(F283),""))</f>
        <v/>
      </c>
      <c r="J283" s="9">
        <f>IF(OR(C283="",IFERROR(VLOOKUP(A283,TIPOS!$A:$E,5,FALSE),"No")&lt;&gt;"Sí"),"",IFERROR(IF(VLOOKUP(C283,MAESTRO!$A:$E,5,FALSE)=0,"",VLOOKUP(C283,MAESTRO!$A:$E,5,FALSE)),""))</f>
        <v/>
      </c>
      <c r="K283" s="10">
        <f>IF(OR(J283="",N(I283)=0,IFERROR(VLOOKUP(A283,TIPOS!$A:$E,5,FALSE),"No")&lt;&gt;"Sí"),"",INT(I283/VLOOKUP(C283,MAESTRO!$A:$C,3,FALSE)))</f>
        <v/>
      </c>
      <c r="L283" s="9">
        <f>IF(AND(A283="",C283=""),"",IF(A283="","Falta el tipo",IF(C283="","Falta el código",IF(ISNA(MATCH(C283,MAESTRO!$A:$A,0)),"El código no está en el maestro",IF(AND(N(D283)&gt;0,N(VLOOKUP(C283,MAESTRO!$A:$D,4,FALSE))=0),"Ese código no tiene cajas por estiba: escribe cajas",IF(AND(IFERROR(VLOOKUP(A283,TIPOS!$A:$C,3,FALSE),"")="Sí",B283=""),"Falta el N° de entrega",IF(N(I283)&lt;=0,"Falta la cantidad","OK")))))))</f>
        <v/>
      </c>
    </row>
    <row r="284">
      <c r="A284" s="7" t="n"/>
      <c r="B284" s="7" t="n"/>
      <c r="C284" s="7" t="n"/>
      <c r="D284" s="8" t="n"/>
      <c r="E284" s="8" t="n"/>
      <c r="F284" s="8" t="n"/>
      <c r="G284" s="9">
        <f>IF(C284="","",IFERROR(VLOOKUP(C284,MAESTRO!$A:$B,2,FALSE),"—"))</f>
        <v/>
      </c>
      <c r="H284" s="9">
        <f>IF(A284="","",IFERROR(VLOOKUP(A284,TIPOS!$A:$B,2,FALSE),""))</f>
        <v/>
      </c>
      <c r="I284" s="10">
        <f>IF(C284="","",IFERROR((N(D284)*N(VLOOKUP(C284,MAESTRO!$A:$D,4,FALSE))+N(E284))*VLOOKUP(C284,MAESTRO!$A:$C,3,FALSE)+N(F284),""))</f>
        <v/>
      </c>
      <c r="J284" s="9">
        <f>IF(OR(C284="",IFERROR(VLOOKUP(A284,TIPOS!$A:$E,5,FALSE),"No")&lt;&gt;"Sí"),"",IFERROR(IF(VLOOKUP(C284,MAESTRO!$A:$E,5,FALSE)=0,"",VLOOKUP(C284,MAESTRO!$A:$E,5,FALSE)),""))</f>
        <v/>
      </c>
      <c r="K284" s="10">
        <f>IF(OR(J284="",N(I284)=0,IFERROR(VLOOKUP(A284,TIPOS!$A:$E,5,FALSE),"No")&lt;&gt;"Sí"),"",INT(I284/VLOOKUP(C284,MAESTRO!$A:$C,3,FALSE)))</f>
        <v/>
      </c>
      <c r="L284" s="9">
        <f>IF(AND(A284="",C284=""),"",IF(A284="","Falta el tipo",IF(C284="","Falta el código",IF(ISNA(MATCH(C284,MAESTRO!$A:$A,0)),"El código no está en el maestro",IF(AND(N(D284)&gt;0,N(VLOOKUP(C284,MAESTRO!$A:$D,4,FALSE))=0),"Ese código no tiene cajas por estiba: escribe cajas",IF(AND(IFERROR(VLOOKUP(A284,TIPOS!$A:$C,3,FALSE),"")="Sí",B284=""),"Falta el N° de entrega",IF(N(I284)&lt;=0,"Falta la cantidad","OK")))))))</f>
        <v/>
      </c>
    </row>
    <row r="285">
      <c r="A285" s="7" t="n"/>
      <c r="B285" s="7" t="n"/>
      <c r="C285" s="7" t="n"/>
      <c r="D285" s="8" t="n"/>
      <c r="E285" s="8" t="n"/>
      <c r="F285" s="8" t="n"/>
      <c r="G285" s="9">
        <f>IF(C285="","",IFERROR(VLOOKUP(C285,MAESTRO!$A:$B,2,FALSE),"—"))</f>
        <v/>
      </c>
      <c r="H285" s="9">
        <f>IF(A285="","",IFERROR(VLOOKUP(A285,TIPOS!$A:$B,2,FALSE),""))</f>
        <v/>
      </c>
      <c r="I285" s="10">
        <f>IF(C285="","",IFERROR((N(D285)*N(VLOOKUP(C285,MAESTRO!$A:$D,4,FALSE))+N(E285))*VLOOKUP(C285,MAESTRO!$A:$C,3,FALSE)+N(F285),""))</f>
        <v/>
      </c>
      <c r="J285" s="9">
        <f>IF(OR(C285="",IFERROR(VLOOKUP(A285,TIPOS!$A:$E,5,FALSE),"No")&lt;&gt;"Sí"),"",IFERROR(IF(VLOOKUP(C285,MAESTRO!$A:$E,5,FALSE)=0,"",VLOOKUP(C285,MAESTRO!$A:$E,5,FALSE)),""))</f>
        <v/>
      </c>
      <c r="K285" s="10">
        <f>IF(OR(J285="",N(I285)=0,IFERROR(VLOOKUP(A285,TIPOS!$A:$E,5,FALSE),"No")&lt;&gt;"Sí"),"",INT(I285/VLOOKUP(C285,MAESTRO!$A:$C,3,FALSE)))</f>
        <v/>
      </c>
      <c r="L285" s="9">
        <f>IF(AND(A285="",C285=""),"",IF(A285="","Falta el tipo",IF(C285="","Falta el código",IF(ISNA(MATCH(C285,MAESTRO!$A:$A,0)),"El código no está en el maestro",IF(AND(N(D285)&gt;0,N(VLOOKUP(C285,MAESTRO!$A:$D,4,FALSE))=0),"Ese código no tiene cajas por estiba: escribe cajas",IF(AND(IFERROR(VLOOKUP(A285,TIPOS!$A:$C,3,FALSE),"")="Sí",B285=""),"Falta el N° de entrega",IF(N(I285)&lt;=0,"Falta la cantidad","OK")))))))</f>
        <v/>
      </c>
    </row>
    <row r="286">
      <c r="A286" s="7" t="n"/>
      <c r="B286" s="7" t="n"/>
      <c r="C286" s="7" t="n"/>
      <c r="D286" s="8" t="n"/>
      <c r="E286" s="8" t="n"/>
      <c r="F286" s="8" t="n"/>
      <c r="G286" s="9">
        <f>IF(C286="","",IFERROR(VLOOKUP(C286,MAESTRO!$A:$B,2,FALSE),"—"))</f>
        <v/>
      </c>
      <c r="H286" s="9">
        <f>IF(A286="","",IFERROR(VLOOKUP(A286,TIPOS!$A:$B,2,FALSE),""))</f>
        <v/>
      </c>
      <c r="I286" s="10">
        <f>IF(C286="","",IFERROR((N(D286)*N(VLOOKUP(C286,MAESTRO!$A:$D,4,FALSE))+N(E286))*VLOOKUP(C286,MAESTRO!$A:$C,3,FALSE)+N(F286),""))</f>
        <v/>
      </c>
      <c r="J286" s="9">
        <f>IF(OR(C286="",IFERROR(VLOOKUP(A286,TIPOS!$A:$E,5,FALSE),"No")&lt;&gt;"Sí"),"",IFERROR(IF(VLOOKUP(C286,MAESTRO!$A:$E,5,FALSE)=0,"",VLOOKUP(C286,MAESTRO!$A:$E,5,FALSE)),""))</f>
        <v/>
      </c>
      <c r="K286" s="10">
        <f>IF(OR(J286="",N(I286)=0,IFERROR(VLOOKUP(A286,TIPOS!$A:$E,5,FALSE),"No")&lt;&gt;"Sí"),"",INT(I286/VLOOKUP(C286,MAESTRO!$A:$C,3,FALSE)))</f>
        <v/>
      </c>
      <c r="L286" s="9">
        <f>IF(AND(A286="",C286=""),"",IF(A286="","Falta el tipo",IF(C286="","Falta el código",IF(ISNA(MATCH(C286,MAESTRO!$A:$A,0)),"El código no está en el maestro",IF(AND(N(D286)&gt;0,N(VLOOKUP(C286,MAESTRO!$A:$D,4,FALSE))=0),"Ese código no tiene cajas por estiba: escribe cajas",IF(AND(IFERROR(VLOOKUP(A286,TIPOS!$A:$C,3,FALSE),"")="Sí",B286=""),"Falta el N° de entrega",IF(N(I286)&lt;=0,"Falta la cantidad","OK")))))))</f>
        <v/>
      </c>
    </row>
    <row r="287">
      <c r="A287" s="7" t="n"/>
      <c r="B287" s="7" t="n"/>
      <c r="C287" s="7" t="n"/>
      <c r="D287" s="8" t="n"/>
      <c r="E287" s="8" t="n"/>
      <c r="F287" s="8" t="n"/>
      <c r="G287" s="9">
        <f>IF(C287="","",IFERROR(VLOOKUP(C287,MAESTRO!$A:$B,2,FALSE),"—"))</f>
        <v/>
      </c>
      <c r="H287" s="9">
        <f>IF(A287="","",IFERROR(VLOOKUP(A287,TIPOS!$A:$B,2,FALSE),""))</f>
        <v/>
      </c>
      <c r="I287" s="10">
        <f>IF(C287="","",IFERROR((N(D287)*N(VLOOKUP(C287,MAESTRO!$A:$D,4,FALSE))+N(E287))*VLOOKUP(C287,MAESTRO!$A:$C,3,FALSE)+N(F287),""))</f>
        <v/>
      </c>
      <c r="J287" s="9">
        <f>IF(OR(C287="",IFERROR(VLOOKUP(A287,TIPOS!$A:$E,5,FALSE),"No")&lt;&gt;"Sí"),"",IFERROR(IF(VLOOKUP(C287,MAESTRO!$A:$E,5,FALSE)=0,"",VLOOKUP(C287,MAESTRO!$A:$E,5,FALSE)),""))</f>
        <v/>
      </c>
      <c r="K287" s="10">
        <f>IF(OR(J287="",N(I287)=0,IFERROR(VLOOKUP(A287,TIPOS!$A:$E,5,FALSE),"No")&lt;&gt;"Sí"),"",INT(I287/VLOOKUP(C287,MAESTRO!$A:$C,3,FALSE)))</f>
        <v/>
      </c>
      <c r="L287" s="9">
        <f>IF(AND(A287="",C287=""),"",IF(A287="","Falta el tipo",IF(C287="","Falta el código",IF(ISNA(MATCH(C287,MAESTRO!$A:$A,0)),"El código no está en el maestro",IF(AND(N(D287)&gt;0,N(VLOOKUP(C287,MAESTRO!$A:$D,4,FALSE))=0),"Ese código no tiene cajas por estiba: escribe cajas",IF(AND(IFERROR(VLOOKUP(A287,TIPOS!$A:$C,3,FALSE),"")="Sí",B287=""),"Falta el N° de entrega",IF(N(I287)&lt;=0,"Falta la cantidad","OK")))))))</f>
        <v/>
      </c>
    </row>
    <row r="288">
      <c r="A288" s="7" t="n"/>
      <c r="B288" s="7" t="n"/>
      <c r="C288" s="7" t="n"/>
      <c r="D288" s="8" t="n"/>
      <c r="E288" s="8" t="n"/>
      <c r="F288" s="8" t="n"/>
      <c r="G288" s="9">
        <f>IF(C288="","",IFERROR(VLOOKUP(C288,MAESTRO!$A:$B,2,FALSE),"—"))</f>
        <v/>
      </c>
      <c r="H288" s="9">
        <f>IF(A288="","",IFERROR(VLOOKUP(A288,TIPOS!$A:$B,2,FALSE),""))</f>
        <v/>
      </c>
      <c r="I288" s="10">
        <f>IF(C288="","",IFERROR((N(D288)*N(VLOOKUP(C288,MAESTRO!$A:$D,4,FALSE))+N(E288))*VLOOKUP(C288,MAESTRO!$A:$C,3,FALSE)+N(F288),""))</f>
        <v/>
      </c>
      <c r="J288" s="9">
        <f>IF(OR(C288="",IFERROR(VLOOKUP(A288,TIPOS!$A:$E,5,FALSE),"No")&lt;&gt;"Sí"),"",IFERROR(IF(VLOOKUP(C288,MAESTRO!$A:$E,5,FALSE)=0,"",VLOOKUP(C288,MAESTRO!$A:$E,5,FALSE)),""))</f>
        <v/>
      </c>
      <c r="K288" s="10">
        <f>IF(OR(J288="",N(I288)=0,IFERROR(VLOOKUP(A288,TIPOS!$A:$E,5,FALSE),"No")&lt;&gt;"Sí"),"",INT(I288/VLOOKUP(C288,MAESTRO!$A:$C,3,FALSE)))</f>
        <v/>
      </c>
      <c r="L288" s="9">
        <f>IF(AND(A288="",C288=""),"",IF(A288="","Falta el tipo",IF(C288="","Falta el código",IF(ISNA(MATCH(C288,MAESTRO!$A:$A,0)),"El código no está en el maestro",IF(AND(N(D288)&gt;0,N(VLOOKUP(C288,MAESTRO!$A:$D,4,FALSE))=0),"Ese código no tiene cajas por estiba: escribe cajas",IF(AND(IFERROR(VLOOKUP(A288,TIPOS!$A:$C,3,FALSE),"")="Sí",B288=""),"Falta el N° de entrega",IF(N(I288)&lt;=0,"Falta la cantidad","OK")))))))</f>
        <v/>
      </c>
    </row>
    <row r="289">
      <c r="A289" s="7" t="n"/>
      <c r="B289" s="7" t="n"/>
      <c r="C289" s="7" t="n"/>
      <c r="D289" s="8" t="n"/>
      <c r="E289" s="8" t="n"/>
      <c r="F289" s="8" t="n"/>
      <c r="G289" s="9">
        <f>IF(C289="","",IFERROR(VLOOKUP(C289,MAESTRO!$A:$B,2,FALSE),"—"))</f>
        <v/>
      </c>
      <c r="H289" s="9">
        <f>IF(A289="","",IFERROR(VLOOKUP(A289,TIPOS!$A:$B,2,FALSE),""))</f>
        <v/>
      </c>
      <c r="I289" s="10">
        <f>IF(C289="","",IFERROR((N(D289)*N(VLOOKUP(C289,MAESTRO!$A:$D,4,FALSE))+N(E289))*VLOOKUP(C289,MAESTRO!$A:$C,3,FALSE)+N(F289),""))</f>
        <v/>
      </c>
      <c r="J289" s="9">
        <f>IF(OR(C289="",IFERROR(VLOOKUP(A289,TIPOS!$A:$E,5,FALSE),"No")&lt;&gt;"Sí"),"",IFERROR(IF(VLOOKUP(C289,MAESTRO!$A:$E,5,FALSE)=0,"",VLOOKUP(C289,MAESTRO!$A:$E,5,FALSE)),""))</f>
        <v/>
      </c>
      <c r="K289" s="10">
        <f>IF(OR(J289="",N(I289)=0,IFERROR(VLOOKUP(A289,TIPOS!$A:$E,5,FALSE),"No")&lt;&gt;"Sí"),"",INT(I289/VLOOKUP(C289,MAESTRO!$A:$C,3,FALSE)))</f>
        <v/>
      </c>
      <c r="L289" s="9">
        <f>IF(AND(A289="",C289=""),"",IF(A289="","Falta el tipo",IF(C289="","Falta el código",IF(ISNA(MATCH(C289,MAESTRO!$A:$A,0)),"El código no está en el maestro",IF(AND(N(D289)&gt;0,N(VLOOKUP(C289,MAESTRO!$A:$D,4,FALSE))=0),"Ese código no tiene cajas por estiba: escribe cajas",IF(AND(IFERROR(VLOOKUP(A289,TIPOS!$A:$C,3,FALSE),"")="Sí",B289=""),"Falta el N° de entrega",IF(N(I289)&lt;=0,"Falta la cantidad","OK")))))))</f>
        <v/>
      </c>
    </row>
    <row r="290">
      <c r="A290" s="7" t="n"/>
      <c r="B290" s="7" t="n"/>
      <c r="C290" s="7" t="n"/>
      <c r="D290" s="8" t="n"/>
      <c r="E290" s="8" t="n"/>
      <c r="F290" s="8" t="n"/>
      <c r="G290" s="9">
        <f>IF(C290="","",IFERROR(VLOOKUP(C290,MAESTRO!$A:$B,2,FALSE),"—"))</f>
        <v/>
      </c>
      <c r="H290" s="9">
        <f>IF(A290="","",IFERROR(VLOOKUP(A290,TIPOS!$A:$B,2,FALSE),""))</f>
        <v/>
      </c>
      <c r="I290" s="10">
        <f>IF(C290="","",IFERROR((N(D290)*N(VLOOKUP(C290,MAESTRO!$A:$D,4,FALSE))+N(E290))*VLOOKUP(C290,MAESTRO!$A:$C,3,FALSE)+N(F290),""))</f>
        <v/>
      </c>
      <c r="J290" s="9">
        <f>IF(OR(C290="",IFERROR(VLOOKUP(A290,TIPOS!$A:$E,5,FALSE),"No")&lt;&gt;"Sí"),"",IFERROR(IF(VLOOKUP(C290,MAESTRO!$A:$E,5,FALSE)=0,"",VLOOKUP(C290,MAESTRO!$A:$E,5,FALSE)),""))</f>
        <v/>
      </c>
      <c r="K290" s="10">
        <f>IF(OR(J290="",N(I290)=0,IFERROR(VLOOKUP(A290,TIPOS!$A:$E,5,FALSE),"No")&lt;&gt;"Sí"),"",INT(I290/VLOOKUP(C290,MAESTRO!$A:$C,3,FALSE)))</f>
        <v/>
      </c>
      <c r="L290" s="9">
        <f>IF(AND(A290="",C290=""),"",IF(A290="","Falta el tipo",IF(C290="","Falta el código",IF(ISNA(MATCH(C290,MAESTRO!$A:$A,0)),"El código no está en el maestro",IF(AND(N(D290)&gt;0,N(VLOOKUP(C290,MAESTRO!$A:$D,4,FALSE))=0),"Ese código no tiene cajas por estiba: escribe cajas",IF(AND(IFERROR(VLOOKUP(A290,TIPOS!$A:$C,3,FALSE),"")="Sí",B290=""),"Falta el N° de entrega",IF(N(I290)&lt;=0,"Falta la cantidad","OK")))))))</f>
        <v/>
      </c>
    </row>
    <row r="291">
      <c r="A291" s="7" t="n"/>
      <c r="B291" s="7" t="n"/>
      <c r="C291" s="7" t="n"/>
      <c r="D291" s="8" t="n"/>
      <c r="E291" s="8" t="n"/>
      <c r="F291" s="8" t="n"/>
      <c r="G291" s="9">
        <f>IF(C291="","",IFERROR(VLOOKUP(C291,MAESTRO!$A:$B,2,FALSE),"—"))</f>
        <v/>
      </c>
      <c r="H291" s="9">
        <f>IF(A291="","",IFERROR(VLOOKUP(A291,TIPOS!$A:$B,2,FALSE),""))</f>
        <v/>
      </c>
      <c r="I291" s="10">
        <f>IF(C291="","",IFERROR((N(D291)*N(VLOOKUP(C291,MAESTRO!$A:$D,4,FALSE))+N(E291))*VLOOKUP(C291,MAESTRO!$A:$C,3,FALSE)+N(F291),""))</f>
        <v/>
      </c>
      <c r="J291" s="9">
        <f>IF(OR(C291="",IFERROR(VLOOKUP(A291,TIPOS!$A:$E,5,FALSE),"No")&lt;&gt;"Sí"),"",IFERROR(IF(VLOOKUP(C291,MAESTRO!$A:$E,5,FALSE)=0,"",VLOOKUP(C291,MAESTRO!$A:$E,5,FALSE)),""))</f>
        <v/>
      </c>
      <c r="K291" s="10">
        <f>IF(OR(J291="",N(I291)=0,IFERROR(VLOOKUP(A291,TIPOS!$A:$E,5,FALSE),"No")&lt;&gt;"Sí"),"",INT(I291/VLOOKUP(C291,MAESTRO!$A:$C,3,FALSE)))</f>
        <v/>
      </c>
      <c r="L291" s="9">
        <f>IF(AND(A291="",C291=""),"",IF(A291="","Falta el tipo",IF(C291="","Falta el código",IF(ISNA(MATCH(C291,MAESTRO!$A:$A,0)),"El código no está en el maestro",IF(AND(N(D291)&gt;0,N(VLOOKUP(C291,MAESTRO!$A:$D,4,FALSE))=0),"Ese código no tiene cajas por estiba: escribe cajas",IF(AND(IFERROR(VLOOKUP(A291,TIPOS!$A:$C,3,FALSE),"")="Sí",B291=""),"Falta el N° de entrega",IF(N(I291)&lt;=0,"Falta la cantidad","OK")))))))</f>
        <v/>
      </c>
    </row>
    <row r="292">
      <c r="A292" s="7" t="n"/>
      <c r="B292" s="7" t="n"/>
      <c r="C292" s="7" t="n"/>
      <c r="D292" s="8" t="n"/>
      <c r="E292" s="8" t="n"/>
      <c r="F292" s="8" t="n"/>
      <c r="G292" s="9">
        <f>IF(C292="","",IFERROR(VLOOKUP(C292,MAESTRO!$A:$B,2,FALSE),"—"))</f>
        <v/>
      </c>
      <c r="H292" s="9">
        <f>IF(A292="","",IFERROR(VLOOKUP(A292,TIPOS!$A:$B,2,FALSE),""))</f>
        <v/>
      </c>
      <c r="I292" s="10">
        <f>IF(C292="","",IFERROR((N(D292)*N(VLOOKUP(C292,MAESTRO!$A:$D,4,FALSE))+N(E292))*VLOOKUP(C292,MAESTRO!$A:$C,3,FALSE)+N(F292),""))</f>
        <v/>
      </c>
      <c r="J292" s="9">
        <f>IF(OR(C292="",IFERROR(VLOOKUP(A292,TIPOS!$A:$E,5,FALSE),"No")&lt;&gt;"Sí"),"",IFERROR(IF(VLOOKUP(C292,MAESTRO!$A:$E,5,FALSE)=0,"",VLOOKUP(C292,MAESTRO!$A:$E,5,FALSE)),""))</f>
        <v/>
      </c>
      <c r="K292" s="10">
        <f>IF(OR(J292="",N(I292)=0,IFERROR(VLOOKUP(A292,TIPOS!$A:$E,5,FALSE),"No")&lt;&gt;"Sí"),"",INT(I292/VLOOKUP(C292,MAESTRO!$A:$C,3,FALSE)))</f>
        <v/>
      </c>
      <c r="L292" s="9">
        <f>IF(AND(A292="",C292=""),"",IF(A292="","Falta el tipo",IF(C292="","Falta el código",IF(ISNA(MATCH(C292,MAESTRO!$A:$A,0)),"El código no está en el maestro",IF(AND(N(D292)&gt;0,N(VLOOKUP(C292,MAESTRO!$A:$D,4,FALSE))=0),"Ese código no tiene cajas por estiba: escribe cajas",IF(AND(IFERROR(VLOOKUP(A292,TIPOS!$A:$C,3,FALSE),"")="Sí",B292=""),"Falta el N° de entrega",IF(N(I292)&lt;=0,"Falta la cantidad","OK")))))))</f>
        <v/>
      </c>
    </row>
    <row r="293">
      <c r="A293" s="7" t="n"/>
      <c r="B293" s="7" t="n"/>
      <c r="C293" s="7" t="n"/>
      <c r="D293" s="8" t="n"/>
      <c r="E293" s="8" t="n"/>
      <c r="F293" s="8" t="n"/>
      <c r="G293" s="9">
        <f>IF(C293="","",IFERROR(VLOOKUP(C293,MAESTRO!$A:$B,2,FALSE),"—"))</f>
        <v/>
      </c>
      <c r="H293" s="9">
        <f>IF(A293="","",IFERROR(VLOOKUP(A293,TIPOS!$A:$B,2,FALSE),""))</f>
        <v/>
      </c>
      <c r="I293" s="10">
        <f>IF(C293="","",IFERROR((N(D293)*N(VLOOKUP(C293,MAESTRO!$A:$D,4,FALSE))+N(E293))*VLOOKUP(C293,MAESTRO!$A:$C,3,FALSE)+N(F293),""))</f>
        <v/>
      </c>
      <c r="J293" s="9">
        <f>IF(OR(C293="",IFERROR(VLOOKUP(A293,TIPOS!$A:$E,5,FALSE),"No")&lt;&gt;"Sí"),"",IFERROR(IF(VLOOKUP(C293,MAESTRO!$A:$E,5,FALSE)=0,"",VLOOKUP(C293,MAESTRO!$A:$E,5,FALSE)),""))</f>
        <v/>
      </c>
      <c r="K293" s="10">
        <f>IF(OR(J293="",N(I293)=0,IFERROR(VLOOKUP(A293,TIPOS!$A:$E,5,FALSE),"No")&lt;&gt;"Sí"),"",INT(I293/VLOOKUP(C293,MAESTRO!$A:$C,3,FALSE)))</f>
        <v/>
      </c>
      <c r="L293" s="9">
        <f>IF(AND(A293="",C293=""),"",IF(A293="","Falta el tipo",IF(C293="","Falta el código",IF(ISNA(MATCH(C293,MAESTRO!$A:$A,0)),"El código no está en el maestro",IF(AND(N(D293)&gt;0,N(VLOOKUP(C293,MAESTRO!$A:$D,4,FALSE))=0),"Ese código no tiene cajas por estiba: escribe cajas",IF(AND(IFERROR(VLOOKUP(A293,TIPOS!$A:$C,3,FALSE),"")="Sí",B293=""),"Falta el N° de entrega",IF(N(I293)&lt;=0,"Falta la cantidad","OK")))))))</f>
        <v/>
      </c>
    </row>
    <row r="294">
      <c r="A294" s="7" t="n"/>
      <c r="B294" s="7" t="n"/>
      <c r="C294" s="7" t="n"/>
      <c r="D294" s="8" t="n"/>
      <c r="E294" s="8" t="n"/>
      <c r="F294" s="8" t="n"/>
      <c r="G294" s="9">
        <f>IF(C294="","",IFERROR(VLOOKUP(C294,MAESTRO!$A:$B,2,FALSE),"—"))</f>
        <v/>
      </c>
      <c r="H294" s="9">
        <f>IF(A294="","",IFERROR(VLOOKUP(A294,TIPOS!$A:$B,2,FALSE),""))</f>
        <v/>
      </c>
      <c r="I294" s="10">
        <f>IF(C294="","",IFERROR((N(D294)*N(VLOOKUP(C294,MAESTRO!$A:$D,4,FALSE))+N(E294))*VLOOKUP(C294,MAESTRO!$A:$C,3,FALSE)+N(F294),""))</f>
        <v/>
      </c>
      <c r="J294" s="9">
        <f>IF(OR(C294="",IFERROR(VLOOKUP(A294,TIPOS!$A:$E,5,FALSE),"No")&lt;&gt;"Sí"),"",IFERROR(IF(VLOOKUP(C294,MAESTRO!$A:$E,5,FALSE)=0,"",VLOOKUP(C294,MAESTRO!$A:$E,5,FALSE)),""))</f>
        <v/>
      </c>
      <c r="K294" s="10">
        <f>IF(OR(J294="",N(I294)=0,IFERROR(VLOOKUP(A294,TIPOS!$A:$E,5,FALSE),"No")&lt;&gt;"Sí"),"",INT(I294/VLOOKUP(C294,MAESTRO!$A:$C,3,FALSE)))</f>
        <v/>
      </c>
      <c r="L294" s="9">
        <f>IF(AND(A294="",C294=""),"",IF(A294="","Falta el tipo",IF(C294="","Falta el código",IF(ISNA(MATCH(C294,MAESTRO!$A:$A,0)),"El código no está en el maestro",IF(AND(N(D294)&gt;0,N(VLOOKUP(C294,MAESTRO!$A:$D,4,FALSE))=0),"Ese código no tiene cajas por estiba: escribe cajas",IF(AND(IFERROR(VLOOKUP(A294,TIPOS!$A:$C,3,FALSE),"")="Sí",B294=""),"Falta el N° de entrega",IF(N(I294)&lt;=0,"Falta la cantidad","OK")))))))</f>
        <v/>
      </c>
    </row>
    <row r="295">
      <c r="A295" s="7" t="n"/>
      <c r="B295" s="7" t="n"/>
      <c r="C295" s="7" t="n"/>
      <c r="D295" s="8" t="n"/>
      <c r="E295" s="8" t="n"/>
      <c r="F295" s="8" t="n"/>
      <c r="G295" s="9">
        <f>IF(C295="","",IFERROR(VLOOKUP(C295,MAESTRO!$A:$B,2,FALSE),"—"))</f>
        <v/>
      </c>
      <c r="H295" s="9">
        <f>IF(A295="","",IFERROR(VLOOKUP(A295,TIPOS!$A:$B,2,FALSE),""))</f>
        <v/>
      </c>
      <c r="I295" s="10">
        <f>IF(C295="","",IFERROR((N(D295)*N(VLOOKUP(C295,MAESTRO!$A:$D,4,FALSE))+N(E295))*VLOOKUP(C295,MAESTRO!$A:$C,3,FALSE)+N(F295),""))</f>
        <v/>
      </c>
      <c r="J295" s="9">
        <f>IF(OR(C295="",IFERROR(VLOOKUP(A295,TIPOS!$A:$E,5,FALSE),"No")&lt;&gt;"Sí"),"",IFERROR(IF(VLOOKUP(C295,MAESTRO!$A:$E,5,FALSE)=0,"",VLOOKUP(C295,MAESTRO!$A:$E,5,FALSE)),""))</f>
        <v/>
      </c>
      <c r="K295" s="10">
        <f>IF(OR(J295="",N(I295)=0,IFERROR(VLOOKUP(A295,TIPOS!$A:$E,5,FALSE),"No")&lt;&gt;"Sí"),"",INT(I295/VLOOKUP(C295,MAESTRO!$A:$C,3,FALSE)))</f>
        <v/>
      </c>
      <c r="L295" s="9">
        <f>IF(AND(A295="",C295=""),"",IF(A295="","Falta el tipo",IF(C295="","Falta el código",IF(ISNA(MATCH(C295,MAESTRO!$A:$A,0)),"El código no está en el maestro",IF(AND(N(D295)&gt;0,N(VLOOKUP(C295,MAESTRO!$A:$D,4,FALSE))=0),"Ese código no tiene cajas por estiba: escribe cajas",IF(AND(IFERROR(VLOOKUP(A295,TIPOS!$A:$C,3,FALSE),"")="Sí",B295=""),"Falta el N° de entrega",IF(N(I295)&lt;=0,"Falta la cantidad","OK")))))))</f>
        <v/>
      </c>
    </row>
    <row r="296">
      <c r="A296" s="7" t="n"/>
      <c r="B296" s="7" t="n"/>
      <c r="C296" s="7" t="n"/>
      <c r="D296" s="8" t="n"/>
      <c r="E296" s="8" t="n"/>
      <c r="F296" s="8" t="n"/>
      <c r="G296" s="9">
        <f>IF(C296="","",IFERROR(VLOOKUP(C296,MAESTRO!$A:$B,2,FALSE),"—"))</f>
        <v/>
      </c>
      <c r="H296" s="9">
        <f>IF(A296="","",IFERROR(VLOOKUP(A296,TIPOS!$A:$B,2,FALSE),""))</f>
        <v/>
      </c>
      <c r="I296" s="10">
        <f>IF(C296="","",IFERROR((N(D296)*N(VLOOKUP(C296,MAESTRO!$A:$D,4,FALSE))+N(E296))*VLOOKUP(C296,MAESTRO!$A:$C,3,FALSE)+N(F296),""))</f>
        <v/>
      </c>
      <c r="J296" s="9">
        <f>IF(OR(C296="",IFERROR(VLOOKUP(A296,TIPOS!$A:$E,5,FALSE),"No")&lt;&gt;"Sí"),"",IFERROR(IF(VLOOKUP(C296,MAESTRO!$A:$E,5,FALSE)=0,"",VLOOKUP(C296,MAESTRO!$A:$E,5,FALSE)),""))</f>
        <v/>
      </c>
      <c r="K296" s="10">
        <f>IF(OR(J296="",N(I296)=0,IFERROR(VLOOKUP(A296,TIPOS!$A:$E,5,FALSE),"No")&lt;&gt;"Sí"),"",INT(I296/VLOOKUP(C296,MAESTRO!$A:$C,3,FALSE)))</f>
        <v/>
      </c>
      <c r="L296" s="9">
        <f>IF(AND(A296="",C296=""),"",IF(A296="","Falta el tipo",IF(C296="","Falta el código",IF(ISNA(MATCH(C296,MAESTRO!$A:$A,0)),"El código no está en el maestro",IF(AND(N(D296)&gt;0,N(VLOOKUP(C296,MAESTRO!$A:$D,4,FALSE))=0),"Ese código no tiene cajas por estiba: escribe cajas",IF(AND(IFERROR(VLOOKUP(A296,TIPOS!$A:$C,3,FALSE),"")="Sí",B296=""),"Falta el N° de entrega",IF(N(I296)&lt;=0,"Falta la cantidad","OK")))))))</f>
        <v/>
      </c>
    </row>
    <row r="297">
      <c r="A297" s="7" t="n"/>
      <c r="B297" s="7" t="n"/>
      <c r="C297" s="7" t="n"/>
      <c r="D297" s="8" t="n"/>
      <c r="E297" s="8" t="n"/>
      <c r="F297" s="8" t="n"/>
      <c r="G297" s="9">
        <f>IF(C297="","",IFERROR(VLOOKUP(C297,MAESTRO!$A:$B,2,FALSE),"—"))</f>
        <v/>
      </c>
      <c r="H297" s="9">
        <f>IF(A297="","",IFERROR(VLOOKUP(A297,TIPOS!$A:$B,2,FALSE),""))</f>
        <v/>
      </c>
      <c r="I297" s="10">
        <f>IF(C297="","",IFERROR((N(D297)*N(VLOOKUP(C297,MAESTRO!$A:$D,4,FALSE))+N(E297))*VLOOKUP(C297,MAESTRO!$A:$C,3,FALSE)+N(F297),""))</f>
        <v/>
      </c>
      <c r="J297" s="9">
        <f>IF(OR(C297="",IFERROR(VLOOKUP(A297,TIPOS!$A:$E,5,FALSE),"No")&lt;&gt;"Sí"),"",IFERROR(IF(VLOOKUP(C297,MAESTRO!$A:$E,5,FALSE)=0,"",VLOOKUP(C297,MAESTRO!$A:$E,5,FALSE)),""))</f>
        <v/>
      </c>
      <c r="K297" s="10">
        <f>IF(OR(J297="",N(I297)=0,IFERROR(VLOOKUP(A297,TIPOS!$A:$E,5,FALSE),"No")&lt;&gt;"Sí"),"",INT(I297/VLOOKUP(C297,MAESTRO!$A:$C,3,FALSE)))</f>
        <v/>
      </c>
      <c r="L297" s="9">
        <f>IF(AND(A297="",C297=""),"",IF(A297="","Falta el tipo",IF(C297="","Falta el código",IF(ISNA(MATCH(C297,MAESTRO!$A:$A,0)),"El código no está en el maestro",IF(AND(N(D297)&gt;0,N(VLOOKUP(C297,MAESTRO!$A:$D,4,FALSE))=0),"Ese código no tiene cajas por estiba: escribe cajas",IF(AND(IFERROR(VLOOKUP(A297,TIPOS!$A:$C,3,FALSE),"")="Sí",B297=""),"Falta el N° de entrega",IF(N(I297)&lt;=0,"Falta la cantidad","OK")))))))</f>
        <v/>
      </c>
    </row>
    <row r="298">
      <c r="A298" s="7" t="n"/>
      <c r="B298" s="7" t="n"/>
      <c r="C298" s="7" t="n"/>
      <c r="D298" s="8" t="n"/>
      <c r="E298" s="8" t="n"/>
      <c r="F298" s="8" t="n"/>
      <c r="G298" s="9">
        <f>IF(C298="","",IFERROR(VLOOKUP(C298,MAESTRO!$A:$B,2,FALSE),"—"))</f>
        <v/>
      </c>
      <c r="H298" s="9">
        <f>IF(A298="","",IFERROR(VLOOKUP(A298,TIPOS!$A:$B,2,FALSE),""))</f>
        <v/>
      </c>
      <c r="I298" s="10">
        <f>IF(C298="","",IFERROR((N(D298)*N(VLOOKUP(C298,MAESTRO!$A:$D,4,FALSE))+N(E298))*VLOOKUP(C298,MAESTRO!$A:$C,3,FALSE)+N(F298),""))</f>
        <v/>
      </c>
      <c r="J298" s="9">
        <f>IF(OR(C298="",IFERROR(VLOOKUP(A298,TIPOS!$A:$E,5,FALSE),"No")&lt;&gt;"Sí"),"",IFERROR(IF(VLOOKUP(C298,MAESTRO!$A:$E,5,FALSE)=0,"",VLOOKUP(C298,MAESTRO!$A:$E,5,FALSE)),""))</f>
        <v/>
      </c>
      <c r="K298" s="10">
        <f>IF(OR(J298="",N(I298)=0,IFERROR(VLOOKUP(A298,TIPOS!$A:$E,5,FALSE),"No")&lt;&gt;"Sí"),"",INT(I298/VLOOKUP(C298,MAESTRO!$A:$C,3,FALSE)))</f>
        <v/>
      </c>
      <c r="L298" s="9">
        <f>IF(AND(A298="",C298=""),"",IF(A298="","Falta el tipo",IF(C298="","Falta el código",IF(ISNA(MATCH(C298,MAESTRO!$A:$A,0)),"El código no está en el maestro",IF(AND(N(D298)&gt;0,N(VLOOKUP(C298,MAESTRO!$A:$D,4,FALSE))=0),"Ese código no tiene cajas por estiba: escribe cajas",IF(AND(IFERROR(VLOOKUP(A298,TIPOS!$A:$C,3,FALSE),"")="Sí",B298=""),"Falta el N° de entrega",IF(N(I298)&lt;=0,"Falta la cantidad","OK")))))))</f>
        <v/>
      </c>
    </row>
    <row r="299">
      <c r="A299" s="7" t="n"/>
      <c r="B299" s="7" t="n"/>
      <c r="C299" s="7" t="n"/>
      <c r="D299" s="8" t="n"/>
      <c r="E299" s="8" t="n"/>
      <c r="F299" s="8" t="n"/>
      <c r="G299" s="9">
        <f>IF(C299="","",IFERROR(VLOOKUP(C299,MAESTRO!$A:$B,2,FALSE),"—"))</f>
        <v/>
      </c>
      <c r="H299" s="9">
        <f>IF(A299="","",IFERROR(VLOOKUP(A299,TIPOS!$A:$B,2,FALSE),""))</f>
        <v/>
      </c>
      <c r="I299" s="10">
        <f>IF(C299="","",IFERROR((N(D299)*N(VLOOKUP(C299,MAESTRO!$A:$D,4,FALSE))+N(E299))*VLOOKUP(C299,MAESTRO!$A:$C,3,FALSE)+N(F299),""))</f>
        <v/>
      </c>
      <c r="J299" s="9">
        <f>IF(OR(C299="",IFERROR(VLOOKUP(A299,TIPOS!$A:$E,5,FALSE),"No")&lt;&gt;"Sí"),"",IFERROR(IF(VLOOKUP(C299,MAESTRO!$A:$E,5,FALSE)=0,"",VLOOKUP(C299,MAESTRO!$A:$E,5,FALSE)),""))</f>
        <v/>
      </c>
      <c r="K299" s="10">
        <f>IF(OR(J299="",N(I299)=0,IFERROR(VLOOKUP(A299,TIPOS!$A:$E,5,FALSE),"No")&lt;&gt;"Sí"),"",INT(I299/VLOOKUP(C299,MAESTRO!$A:$C,3,FALSE)))</f>
        <v/>
      </c>
      <c r="L299" s="9">
        <f>IF(AND(A299="",C299=""),"",IF(A299="","Falta el tipo",IF(C299="","Falta el código",IF(ISNA(MATCH(C299,MAESTRO!$A:$A,0)),"El código no está en el maestro",IF(AND(N(D299)&gt;0,N(VLOOKUP(C299,MAESTRO!$A:$D,4,FALSE))=0),"Ese código no tiene cajas por estiba: escribe cajas",IF(AND(IFERROR(VLOOKUP(A299,TIPOS!$A:$C,3,FALSE),"")="Sí",B299=""),"Falta el N° de entrega",IF(N(I299)&lt;=0,"Falta la cantidad","OK")))))))</f>
        <v/>
      </c>
    </row>
    <row r="300">
      <c r="A300" s="7" t="n"/>
      <c r="B300" s="7" t="n"/>
      <c r="C300" s="7" t="n"/>
      <c r="D300" s="8" t="n"/>
      <c r="E300" s="8" t="n"/>
      <c r="F300" s="8" t="n"/>
      <c r="G300" s="9">
        <f>IF(C300="","",IFERROR(VLOOKUP(C300,MAESTRO!$A:$B,2,FALSE),"—"))</f>
        <v/>
      </c>
      <c r="H300" s="9">
        <f>IF(A300="","",IFERROR(VLOOKUP(A300,TIPOS!$A:$B,2,FALSE),""))</f>
        <v/>
      </c>
      <c r="I300" s="10">
        <f>IF(C300="","",IFERROR((N(D300)*N(VLOOKUP(C300,MAESTRO!$A:$D,4,FALSE))+N(E300))*VLOOKUP(C300,MAESTRO!$A:$C,3,FALSE)+N(F300),""))</f>
        <v/>
      </c>
      <c r="J300" s="9">
        <f>IF(OR(C300="",IFERROR(VLOOKUP(A300,TIPOS!$A:$E,5,FALSE),"No")&lt;&gt;"Sí"),"",IFERROR(IF(VLOOKUP(C300,MAESTRO!$A:$E,5,FALSE)=0,"",VLOOKUP(C300,MAESTRO!$A:$E,5,FALSE)),""))</f>
        <v/>
      </c>
      <c r="K300" s="10">
        <f>IF(OR(J300="",N(I300)=0,IFERROR(VLOOKUP(A300,TIPOS!$A:$E,5,FALSE),"No")&lt;&gt;"Sí"),"",INT(I300/VLOOKUP(C300,MAESTRO!$A:$C,3,FALSE)))</f>
        <v/>
      </c>
      <c r="L300" s="9">
        <f>IF(AND(A300="",C300=""),"",IF(A300="","Falta el tipo",IF(C300="","Falta el código",IF(ISNA(MATCH(C300,MAESTRO!$A:$A,0)),"El código no está en el maestro",IF(AND(N(D300)&gt;0,N(VLOOKUP(C300,MAESTRO!$A:$D,4,FALSE))=0),"Ese código no tiene cajas por estiba: escribe cajas",IF(AND(IFERROR(VLOOKUP(A300,TIPOS!$A:$C,3,FALSE),"")="Sí",B300=""),"Falta el N° de entrega",IF(N(I300)&lt;=0,"Falta la cantidad","OK")))))))</f>
        <v/>
      </c>
    </row>
    <row r="301">
      <c r="A301" s="7" t="n"/>
      <c r="B301" s="7" t="n"/>
      <c r="C301" s="7" t="n"/>
      <c r="D301" s="8" t="n"/>
      <c r="E301" s="8" t="n"/>
      <c r="F301" s="8" t="n"/>
      <c r="G301" s="9">
        <f>IF(C301="","",IFERROR(VLOOKUP(C301,MAESTRO!$A:$B,2,FALSE),"—"))</f>
        <v/>
      </c>
      <c r="H301" s="9">
        <f>IF(A301="","",IFERROR(VLOOKUP(A301,TIPOS!$A:$B,2,FALSE),""))</f>
        <v/>
      </c>
      <c r="I301" s="10">
        <f>IF(C301="","",IFERROR((N(D301)*N(VLOOKUP(C301,MAESTRO!$A:$D,4,FALSE))+N(E301))*VLOOKUP(C301,MAESTRO!$A:$C,3,FALSE)+N(F301),""))</f>
        <v/>
      </c>
      <c r="J301" s="9">
        <f>IF(OR(C301="",IFERROR(VLOOKUP(A301,TIPOS!$A:$E,5,FALSE),"No")&lt;&gt;"Sí"),"",IFERROR(IF(VLOOKUP(C301,MAESTRO!$A:$E,5,FALSE)=0,"",VLOOKUP(C301,MAESTRO!$A:$E,5,FALSE)),""))</f>
        <v/>
      </c>
      <c r="K301" s="10">
        <f>IF(OR(J301="",N(I301)=0,IFERROR(VLOOKUP(A301,TIPOS!$A:$E,5,FALSE),"No")&lt;&gt;"Sí"),"",INT(I301/VLOOKUP(C301,MAESTRO!$A:$C,3,FALSE)))</f>
        <v/>
      </c>
      <c r="L301" s="9">
        <f>IF(AND(A301="",C301=""),"",IF(A301="","Falta el tipo",IF(C301="","Falta el código",IF(ISNA(MATCH(C301,MAESTRO!$A:$A,0)),"El código no está en el maestro",IF(AND(N(D301)&gt;0,N(VLOOKUP(C301,MAESTRO!$A:$D,4,FALSE))=0),"Ese código no tiene cajas por estiba: escribe cajas",IF(AND(IFERROR(VLOOKUP(A301,TIPOS!$A:$C,3,FALSE),"")="Sí",B301=""),"Falta el N° de entrega",IF(N(I301)&lt;=0,"Falta la cantidad","OK")))))))</f>
        <v/>
      </c>
    </row>
    <row r="302">
      <c r="A302" s="7" t="n"/>
      <c r="B302" s="7" t="n"/>
      <c r="C302" s="7" t="n"/>
      <c r="D302" s="8" t="n"/>
      <c r="E302" s="8" t="n"/>
      <c r="F302" s="8" t="n"/>
      <c r="G302" s="9">
        <f>IF(C302="","",IFERROR(VLOOKUP(C302,MAESTRO!$A:$B,2,FALSE),"—"))</f>
        <v/>
      </c>
      <c r="H302" s="9">
        <f>IF(A302="","",IFERROR(VLOOKUP(A302,TIPOS!$A:$B,2,FALSE),""))</f>
        <v/>
      </c>
      <c r="I302" s="10">
        <f>IF(C302="","",IFERROR((N(D302)*N(VLOOKUP(C302,MAESTRO!$A:$D,4,FALSE))+N(E302))*VLOOKUP(C302,MAESTRO!$A:$C,3,FALSE)+N(F302),""))</f>
        <v/>
      </c>
      <c r="J302" s="9">
        <f>IF(OR(C302="",IFERROR(VLOOKUP(A302,TIPOS!$A:$E,5,FALSE),"No")&lt;&gt;"Sí"),"",IFERROR(IF(VLOOKUP(C302,MAESTRO!$A:$E,5,FALSE)=0,"",VLOOKUP(C302,MAESTRO!$A:$E,5,FALSE)),""))</f>
        <v/>
      </c>
      <c r="K302" s="10">
        <f>IF(OR(J302="",N(I302)=0,IFERROR(VLOOKUP(A302,TIPOS!$A:$E,5,FALSE),"No")&lt;&gt;"Sí"),"",INT(I302/VLOOKUP(C302,MAESTRO!$A:$C,3,FALSE)))</f>
        <v/>
      </c>
      <c r="L302" s="9">
        <f>IF(AND(A302="",C302=""),"",IF(A302="","Falta el tipo",IF(C302="","Falta el código",IF(ISNA(MATCH(C302,MAESTRO!$A:$A,0)),"El código no está en el maestro",IF(AND(N(D302)&gt;0,N(VLOOKUP(C302,MAESTRO!$A:$D,4,FALSE))=0),"Ese código no tiene cajas por estiba: escribe cajas",IF(AND(IFERROR(VLOOKUP(A302,TIPOS!$A:$C,3,FALSE),"")="Sí",B302=""),"Falta el N° de entrega",IF(N(I302)&lt;=0,"Falta la cantidad","OK")))))))</f>
        <v/>
      </c>
    </row>
    <row r="303">
      <c r="A303" s="7" t="n"/>
      <c r="B303" s="7" t="n"/>
      <c r="C303" s="7" t="n"/>
      <c r="D303" s="8" t="n"/>
      <c r="E303" s="8" t="n"/>
      <c r="F303" s="8" t="n"/>
      <c r="G303" s="9">
        <f>IF(C303="","",IFERROR(VLOOKUP(C303,MAESTRO!$A:$B,2,FALSE),"—"))</f>
        <v/>
      </c>
      <c r="H303" s="9">
        <f>IF(A303="","",IFERROR(VLOOKUP(A303,TIPOS!$A:$B,2,FALSE),""))</f>
        <v/>
      </c>
      <c r="I303" s="10">
        <f>IF(C303="","",IFERROR((N(D303)*N(VLOOKUP(C303,MAESTRO!$A:$D,4,FALSE))+N(E303))*VLOOKUP(C303,MAESTRO!$A:$C,3,FALSE)+N(F303),""))</f>
        <v/>
      </c>
      <c r="J303" s="9">
        <f>IF(OR(C303="",IFERROR(VLOOKUP(A303,TIPOS!$A:$E,5,FALSE),"No")&lt;&gt;"Sí"),"",IFERROR(IF(VLOOKUP(C303,MAESTRO!$A:$E,5,FALSE)=0,"",VLOOKUP(C303,MAESTRO!$A:$E,5,FALSE)),""))</f>
        <v/>
      </c>
      <c r="K303" s="10">
        <f>IF(OR(J303="",N(I303)=0,IFERROR(VLOOKUP(A303,TIPOS!$A:$E,5,FALSE),"No")&lt;&gt;"Sí"),"",INT(I303/VLOOKUP(C303,MAESTRO!$A:$C,3,FALSE)))</f>
        <v/>
      </c>
      <c r="L303" s="9">
        <f>IF(AND(A303="",C303=""),"",IF(A303="","Falta el tipo",IF(C303="","Falta el código",IF(ISNA(MATCH(C303,MAESTRO!$A:$A,0)),"El código no está en el maestro",IF(AND(N(D303)&gt;0,N(VLOOKUP(C303,MAESTRO!$A:$D,4,FALSE))=0),"Ese código no tiene cajas por estiba: escribe cajas",IF(AND(IFERROR(VLOOKUP(A303,TIPOS!$A:$C,3,FALSE),"")="Sí",B303=""),"Falta el N° de entrega",IF(N(I303)&lt;=0,"Falta la cantidad","OK")))))))</f>
        <v/>
      </c>
    </row>
    <row r="304">
      <c r="A304" s="7" t="n"/>
      <c r="B304" s="7" t="n"/>
      <c r="C304" s="7" t="n"/>
      <c r="D304" s="8" t="n"/>
      <c r="E304" s="8" t="n"/>
      <c r="F304" s="8" t="n"/>
      <c r="G304" s="9">
        <f>IF(C304="","",IFERROR(VLOOKUP(C304,MAESTRO!$A:$B,2,FALSE),"—"))</f>
        <v/>
      </c>
      <c r="H304" s="9">
        <f>IF(A304="","",IFERROR(VLOOKUP(A304,TIPOS!$A:$B,2,FALSE),""))</f>
        <v/>
      </c>
      <c r="I304" s="10">
        <f>IF(C304="","",IFERROR((N(D304)*N(VLOOKUP(C304,MAESTRO!$A:$D,4,FALSE))+N(E304))*VLOOKUP(C304,MAESTRO!$A:$C,3,FALSE)+N(F304),""))</f>
        <v/>
      </c>
      <c r="J304" s="9">
        <f>IF(OR(C304="",IFERROR(VLOOKUP(A304,TIPOS!$A:$E,5,FALSE),"No")&lt;&gt;"Sí"),"",IFERROR(IF(VLOOKUP(C304,MAESTRO!$A:$E,5,FALSE)=0,"",VLOOKUP(C304,MAESTRO!$A:$E,5,FALSE)),""))</f>
        <v/>
      </c>
      <c r="K304" s="10">
        <f>IF(OR(J304="",N(I304)=0,IFERROR(VLOOKUP(A304,TIPOS!$A:$E,5,FALSE),"No")&lt;&gt;"Sí"),"",INT(I304/VLOOKUP(C304,MAESTRO!$A:$C,3,FALSE)))</f>
        <v/>
      </c>
      <c r="L304" s="9">
        <f>IF(AND(A304="",C304=""),"",IF(A304="","Falta el tipo",IF(C304="","Falta el código",IF(ISNA(MATCH(C304,MAESTRO!$A:$A,0)),"El código no está en el maestro",IF(AND(N(D304)&gt;0,N(VLOOKUP(C304,MAESTRO!$A:$D,4,FALSE))=0),"Ese código no tiene cajas por estiba: escribe cajas",IF(AND(IFERROR(VLOOKUP(A304,TIPOS!$A:$C,3,FALSE),"")="Sí",B304=""),"Falta el N° de entrega",IF(N(I304)&lt;=0,"Falta la cantidad","OK")))))))</f>
        <v/>
      </c>
    </row>
    <row r="305">
      <c r="A305" s="7" t="n"/>
      <c r="B305" s="7" t="n"/>
      <c r="C305" s="7" t="n"/>
      <c r="D305" s="8" t="n"/>
      <c r="E305" s="8" t="n"/>
      <c r="F305" s="8" t="n"/>
      <c r="G305" s="9">
        <f>IF(C305="","",IFERROR(VLOOKUP(C305,MAESTRO!$A:$B,2,FALSE),"—"))</f>
        <v/>
      </c>
      <c r="H305" s="9">
        <f>IF(A305="","",IFERROR(VLOOKUP(A305,TIPOS!$A:$B,2,FALSE),""))</f>
        <v/>
      </c>
      <c r="I305" s="10">
        <f>IF(C305="","",IFERROR((N(D305)*N(VLOOKUP(C305,MAESTRO!$A:$D,4,FALSE))+N(E305))*VLOOKUP(C305,MAESTRO!$A:$C,3,FALSE)+N(F305),""))</f>
        <v/>
      </c>
      <c r="J305" s="9">
        <f>IF(OR(C305="",IFERROR(VLOOKUP(A305,TIPOS!$A:$E,5,FALSE),"No")&lt;&gt;"Sí"),"",IFERROR(IF(VLOOKUP(C305,MAESTRO!$A:$E,5,FALSE)=0,"",VLOOKUP(C305,MAESTRO!$A:$E,5,FALSE)),""))</f>
        <v/>
      </c>
      <c r="K305" s="10">
        <f>IF(OR(J305="",N(I305)=0,IFERROR(VLOOKUP(A305,TIPOS!$A:$E,5,FALSE),"No")&lt;&gt;"Sí"),"",INT(I305/VLOOKUP(C305,MAESTRO!$A:$C,3,FALSE)))</f>
        <v/>
      </c>
      <c r="L305" s="9">
        <f>IF(AND(A305="",C305=""),"",IF(A305="","Falta el tipo",IF(C305="","Falta el código",IF(ISNA(MATCH(C305,MAESTRO!$A:$A,0)),"El código no está en el maestro",IF(AND(N(D305)&gt;0,N(VLOOKUP(C305,MAESTRO!$A:$D,4,FALSE))=0),"Ese código no tiene cajas por estiba: escribe cajas",IF(AND(IFERROR(VLOOKUP(A305,TIPOS!$A:$C,3,FALSE),"")="Sí",B305=""),"Falta el N° de entrega",IF(N(I305)&lt;=0,"Falta la cantidad","OK")))))))</f>
        <v/>
      </c>
    </row>
  </sheetData>
  <autoFilter ref="A5:L305"/>
  <mergeCells count="1">
    <mergeCell ref="A3:L3"/>
  </mergeCells>
  <conditionalFormatting sqref="L6:L305">
    <cfRule type="cellIs" priority="1" operator="equal" dxfId="0">
      <formula>"OK"</formula>
    </cfRule>
    <cfRule type="expression" priority="2" dxfId="1">
      <formula>AND(L6&lt;&gt;"",L6&lt;&gt;"OK")</formula>
    </cfRule>
  </conditionalFormatting>
  <dataValidations count="3">
    <dataValidation sqref="A6:A305" showDropDown="0" showInputMessage="0" showErrorMessage="1" allowBlank="1" error="Escoge un tipo de la lista." type="list">
      <formula1>=TIPOS!$A$2:$A$8</formula1>
    </dataValidation>
    <dataValidation sqref="C6:C305" showDropDown="0" showInputMessage="0" showErrorMessage="0" allowBlank="1" type="list">
      <formula1>=MAESTRO!$A$2:$A$28</formula1>
    </dataValidation>
    <dataValidation sqref="D6:F305" showDropDown="0" showInputMessage="0" showErrorMessage="1" allowBlank="1" error="Solo números (0 o más)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9" customWidth="1" min="4" max="4"/>
    <col width="9" customWidth="1" min="5" max="5"/>
    <col width="12" customWidth="1" min="6" max="6"/>
    <col width="18" customWidth="1" min="7" max="7"/>
    <col width="18" customWidth="1" min="8" max="8"/>
  </cols>
  <sheetData>
    <row r="1">
      <c r="A1" s="2" t="inlineStr">
        <is>
          <t>Así se llena (datos de tu Excel del 14/10). No se importa esta hoja.</t>
        </is>
      </c>
    </row>
    <row r="3">
      <c r="A3" s="6" t="inlineStr">
        <is>
          <t>TIPO DE NOVEDAD</t>
        </is>
      </c>
      <c r="B3" s="6" t="inlineStr">
        <is>
          <t>N° ENTREGA</t>
        </is>
      </c>
      <c r="C3" s="6" t="inlineStr">
        <is>
          <t>CÓDIGO</t>
        </is>
      </c>
      <c r="D3" s="6" t="inlineStr">
        <is>
          <t>ESTIBAS</t>
        </is>
      </c>
      <c r="E3" s="6" t="inlineStr">
        <is>
          <t>CAJAS</t>
        </is>
      </c>
      <c r="F3" s="6" t="inlineStr">
        <is>
          <t>UNIDADES SUELTAS</t>
        </is>
      </c>
      <c r="G3" s="6" t="inlineStr">
        <is>
          <t>DA (TOTAL UNIDADES)</t>
        </is>
      </c>
      <c r="H3" s="6" t="inlineStr">
        <is>
          <t>CAJA PLÁSTICA · CAJAS</t>
        </is>
      </c>
    </row>
    <row r="4">
      <c r="A4" s="11" t="inlineStr">
        <is>
          <t>SINIESTRO</t>
        </is>
      </c>
      <c r="B4" s="11" t="inlineStr"/>
      <c r="C4" s="11" t="n">
        <v>3500005</v>
      </c>
      <c r="D4" s="11" t="n">
        <v>36</v>
      </c>
      <c r="E4" s="11" t="inlineStr"/>
      <c r="F4" s="11" t="inlineStr"/>
      <c r="G4" s="11" t="inlineStr">
        <is>
          <t>73.872 u</t>
        </is>
      </c>
      <c r="H4" s="11" t="inlineStr">
        <is>
          <t>3500231 · 1.944</t>
        </is>
      </c>
    </row>
    <row r="5">
      <c r="A5" s="11" t="inlineStr">
        <is>
          <t>BAJA PENDIENTE POR DISPOSICION</t>
        </is>
      </c>
      <c r="B5" s="11" t="inlineStr"/>
      <c r="C5" s="11" t="n">
        <v>3500888</v>
      </c>
      <c r="D5" s="11" t="inlineStr"/>
      <c r="E5" s="11" t="inlineStr"/>
      <c r="F5" s="11" t="n">
        <v>1937</v>
      </c>
      <c r="G5" s="11" t="inlineStr">
        <is>
          <t>1.937 u</t>
        </is>
      </c>
      <c r="H5" s="11" t="inlineStr">
        <is>
          <t>3501211 · 149</t>
        </is>
      </c>
    </row>
    <row r="6">
      <c r="A6" s="11" t="inlineStr">
        <is>
          <t>PEND NOVEDADES CD</t>
        </is>
      </c>
      <c r="B6" s="11" t="inlineStr">
        <is>
          <t>8917476167</t>
        </is>
      </c>
      <c r="C6" s="11" t="n">
        <v>3501226</v>
      </c>
      <c r="D6" s="11" t="inlineStr"/>
      <c r="E6" s="11" t="n">
        <v>270</v>
      </c>
      <c r="F6" s="11" t="inlineStr"/>
      <c r="G6" s="11" t="inlineStr">
        <is>
          <t>10.260 u</t>
        </is>
      </c>
      <c r="H6" s="11" t="inlineStr">
        <is>
          <t>3501224 · 270</t>
        </is>
      </c>
    </row>
    <row r="7">
      <c r="A7" s="11" t="inlineStr">
        <is>
          <t>PEND NOVEDADES CD</t>
        </is>
      </c>
      <c r="B7" s="11" t="inlineStr">
        <is>
          <t>SOCIO</t>
        </is>
      </c>
      <c r="C7" s="11" t="n">
        <v>3500005</v>
      </c>
      <c r="D7" s="11" t="inlineStr"/>
      <c r="E7" s="11" t="n">
        <v>972</v>
      </c>
      <c r="F7" s="11" t="inlineStr"/>
      <c r="G7" s="11" t="inlineStr">
        <is>
          <t>36.936 u</t>
        </is>
      </c>
      <c r="H7" s="11" t="inlineStr">
        <is>
          <t>3500231 · 972</t>
        </is>
      </c>
    </row>
    <row r="8">
      <c r="A8" s="11" t="inlineStr">
        <is>
          <t>AJUSTE INV BAJA PRESORTING</t>
        </is>
      </c>
      <c r="B8" s="11" t="inlineStr"/>
      <c r="C8" s="11" t="n">
        <v>3501430</v>
      </c>
      <c r="D8" s="11" t="inlineStr"/>
      <c r="E8" s="11" t="inlineStr"/>
      <c r="F8" s="11" t="n">
        <v>50000</v>
      </c>
      <c r="G8" s="11" t="inlineStr">
        <is>
          <t>50.000 u</t>
        </is>
      </c>
      <c r="H8" s="11" t="inlineStr">
        <is>
          <t>— (el ajuste no suma caja)</t>
        </is>
      </c>
    </row>
    <row r="9">
      <c r="A9" s="11" t="inlineStr">
        <is>
          <t>ZEXI 6 AM</t>
        </is>
      </c>
      <c r="B9" s="11" t="inlineStr"/>
      <c r="C9" s="11" t="n">
        <v>3500162</v>
      </c>
      <c r="D9" s="11" t="inlineStr"/>
      <c r="E9" s="11" t="inlineStr"/>
      <c r="F9" s="11" t="n">
        <v>5550409</v>
      </c>
      <c r="G9" s="11" t="inlineStr">
        <is>
          <t>5.550.409 u</t>
        </is>
      </c>
      <c r="H9" s="11" t="inlineStr">
        <is>
          <t>— (la ZEXI no suma caja)</t>
        </is>
      </c>
    </row>
    <row r="10">
      <c r="A10" s="12" t="inlineStr">
        <is>
          <t>Las cajas plásticas NO se escriben aparte: salen solas del envase (2052/38, 39780/30… como en tu Excel).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2" customWidth="1" min="3" max="3"/>
    <col width="12" customWidth="1" min="4" max="4"/>
    <col width="16" customWidth="1" min="5" max="5"/>
  </cols>
  <sheetData>
    <row r="1">
      <c r="A1" s="6" t="inlineStr">
        <is>
          <t>CÓDIGO</t>
        </is>
      </c>
      <c r="B1" s="6" t="inlineStr">
        <is>
          <t>DESCRIPCIÓN</t>
        </is>
      </c>
      <c r="C1" s="6" t="inlineStr">
        <is>
          <t>UNIDADES POR CAJA</t>
        </is>
      </c>
      <c r="D1" s="6" t="inlineStr">
        <is>
          <t>CAJAS POR ESTIBA</t>
        </is>
      </c>
      <c r="E1" s="6" t="inlineStr">
        <is>
          <t>CAJA PLÁSTICA QUE LO GUARDA</t>
        </is>
      </c>
    </row>
    <row r="2">
      <c r="A2" s="13" t="n">
        <v>3500162</v>
      </c>
      <c r="B2" s="11" t="inlineStr">
        <is>
          <t>ENVASE MARRÓN 330 CC</t>
        </is>
      </c>
      <c r="C2" s="13" t="n">
        <v>30</v>
      </c>
      <c r="D2" s="13" t="n">
        <v>45</v>
      </c>
      <c r="E2" s="13" t="n">
        <v>3500159</v>
      </c>
    </row>
    <row r="3">
      <c r="A3" s="13" t="n">
        <v>3500213</v>
      </c>
      <c r="B3" s="11" t="inlineStr">
        <is>
          <t>ENVASE FLINT AGUILA 330CC RETORNABLE</t>
        </is>
      </c>
      <c r="C3" s="13" t="n">
        <v>30</v>
      </c>
      <c r="D3" s="13" t="n">
        <v>45</v>
      </c>
      <c r="E3" s="13" t="n">
        <v>3500159</v>
      </c>
    </row>
    <row r="4">
      <c r="A4" s="13" t="n">
        <v>3500446</v>
      </c>
      <c r="B4" s="11" t="inlineStr">
        <is>
          <t>ENVASE MARRON CLUB COL 330R</t>
        </is>
      </c>
      <c r="C4" s="13" t="n">
        <v>30</v>
      </c>
      <c r="D4" s="13" t="n">
        <v>45</v>
      </c>
      <c r="E4" s="13" t="n">
        <v>3500159</v>
      </c>
    </row>
    <row r="5">
      <c r="A5" s="13" t="n">
        <v>3501430</v>
      </c>
      <c r="B5" s="11" t="inlineStr">
        <is>
          <t>ENVASE COSTENA BACANA 320CC R</t>
        </is>
      </c>
      <c r="C5" s="13" t="n">
        <v>30</v>
      </c>
      <c r="D5" s="13" t="n">
        <v>45</v>
      </c>
      <c r="E5" s="13" t="n">
        <v>3500159</v>
      </c>
    </row>
    <row r="6">
      <c r="A6" s="13" t="n">
        <v>3500005</v>
      </c>
      <c r="B6" s="11" t="inlineStr">
        <is>
          <t>ENVASE COSTEÑITA 175 CC</t>
        </is>
      </c>
      <c r="C6" s="13" t="n">
        <v>38</v>
      </c>
      <c r="D6" s="13" t="n">
        <v>54</v>
      </c>
      <c r="E6" s="13" t="n">
        <v>3500231</v>
      </c>
    </row>
    <row r="7">
      <c r="A7" s="13" t="n">
        <v>3500207</v>
      </c>
      <c r="B7" s="11" t="inlineStr">
        <is>
          <t>BOTELLA MARRON 225 CC RB</t>
        </is>
      </c>
      <c r="C7" s="13" t="n">
        <v>38</v>
      </c>
      <c r="D7" s="13" t="n"/>
      <c r="E7" s="13" t="n">
        <v>3500231</v>
      </c>
    </row>
    <row r="8">
      <c r="A8" s="13" t="n">
        <v>3501225</v>
      </c>
      <c r="B8" s="11" t="inlineStr">
        <is>
          <t>BOTELLA FLINT 250 CC</t>
        </is>
      </c>
      <c r="C8" s="13" t="n">
        <v>38</v>
      </c>
      <c r="D8" s="13" t="n">
        <v>45</v>
      </c>
      <c r="E8" s="13" t="n">
        <v>3501224</v>
      </c>
    </row>
    <row r="9">
      <c r="A9" s="13" t="n">
        <v>3501226</v>
      </c>
      <c r="B9" s="11" t="inlineStr">
        <is>
          <t>BOTELLA MARRON 250 CC</t>
        </is>
      </c>
      <c r="C9" s="13" t="n">
        <v>38</v>
      </c>
      <c r="D9" s="13" t="n">
        <v>45</v>
      </c>
      <c r="E9" s="13" t="n">
        <v>3501224</v>
      </c>
    </row>
    <row r="10">
      <c r="A10" s="13" t="n">
        <v>3500373</v>
      </c>
      <c r="B10" s="11" t="inlineStr">
        <is>
          <t>Envase Marrón 750R</t>
        </is>
      </c>
      <c r="C10" s="13" t="n">
        <v>16</v>
      </c>
      <c r="D10" s="13" t="n">
        <v>36</v>
      </c>
      <c r="E10" s="13" t="n">
        <v>3500374</v>
      </c>
    </row>
    <row r="11">
      <c r="A11" s="13" t="n">
        <v>3500383</v>
      </c>
      <c r="B11" s="11" t="inlineStr">
        <is>
          <t>Envase Flint 750R</t>
        </is>
      </c>
      <c r="C11" s="13" t="n">
        <v>16</v>
      </c>
      <c r="D11" s="13" t="n">
        <v>36</v>
      </c>
      <c r="E11" s="13" t="n">
        <v>3500374</v>
      </c>
    </row>
    <row r="12">
      <c r="A12" s="13" t="n">
        <v>3500887</v>
      </c>
      <c r="B12" s="11" t="inlineStr">
        <is>
          <t>BOTELLA FLINT 1000R</t>
        </is>
      </c>
      <c r="C12" s="13" t="n">
        <v>13</v>
      </c>
      <c r="D12" s="13" t="n">
        <v>36</v>
      </c>
      <c r="E12" s="13" t="n">
        <v>3501211</v>
      </c>
    </row>
    <row r="13">
      <c r="A13" s="13" t="n">
        <v>3500888</v>
      </c>
      <c r="B13" s="11" t="inlineStr">
        <is>
          <t>BOTELLA MARRON 1000CC</t>
        </is>
      </c>
      <c r="C13" s="13" t="n">
        <v>13</v>
      </c>
      <c r="D13" s="13" t="n">
        <v>36</v>
      </c>
      <c r="E13" s="13" t="n">
        <v>3501211</v>
      </c>
    </row>
    <row r="14">
      <c r="A14" s="13" t="n">
        <v>3501539</v>
      </c>
      <c r="B14" s="11" t="inlineStr">
        <is>
          <t>BOTELLA MARRON 850 ML R</t>
        </is>
      </c>
      <c r="C14" s="13" t="n">
        <v>13</v>
      </c>
      <c r="D14" s="13" t="n">
        <v>36</v>
      </c>
      <c r="E14" s="13" t="n">
        <v>3501211</v>
      </c>
    </row>
    <row r="15">
      <c r="A15" s="13" t="n">
        <v>3503016</v>
      </c>
      <c r="B15" s="11" t="inlineStr">
        <is>
          <t>ENVASE MARRON BUDWEISER 250cc R</t>
        </is>
      </c>
      <c r="C15" s="13" t="n">
        <v>38</v>
      </c>
      <c r="D15" s="13" t="n"/>
      <c r="E15" s="13" t="n">
        <v>3501224</v>
      </c>
    </row>
    <row r="16">
      <c r="A16" s="13" t="n">
        <v>3500159</v>
      </c>
      <c r="B16" s="11" t="inlineStr">
        <is>
          <t>CAJA PLÁSTICA CAFE 330 CC X 30</t>
        </is>
      </c>
      <c r="C16" s="13" t="n">
        <v>1</v>
      </c>
      <c r="D16" s="13" t="n"/>
      <c r="E16" s="13" t="n"/>
    </row>
    <row r="17">
      <c r="A17" s="13" t="n">
        <v>3500231</v>
      </c>
      <c r="B17" s="11" t="inlineStr">
        <is>
          <t>CANASTA PLASTICA CAFE 225 CC X 38</t>
        </is>
      </c>
      <c r="C17" s="13" t="n">
        <v>1</v>
      </c>
      <c r="D17" s="13" t="n"/>
      <c r="E17" s="13" t="n"/>
    </row>
    <row r="18">
      <c r="A18" s="13" t="n">
        <v>3501224</v>
      </c>
      <c r="B18" s="11" t="inlineStr">
        <is>
          <t>CAJA PLASTICA MARRON 250cc x38</t>
        </is>
      </c>
      <c r="C18" s="13" t="n">
        <v>1</v>
      </c>
      <c r="D18" s="13" t="n"/>
      <c r="E18" s="13" t="n"/>
    </row>
    <row r="19">
      <c r="A19" s="13" t="n">
        <v>3501211</v>
      </c>
      <c r="B19" s="11" t="inlineStr">
        <is>
          <t>CAJA PLASTICA MARRON 1000cc x13</t>
        </is>
      </c>
      <c r="C19" s="13" t="n">
        <v>1</v>
      </c>
      <c r="D19" s="13" t="n"/>
      <c r="E19" s="13" t="n"/>
    </row>
    <row r="20">
      <c r="A20" s="13" t="n">
        <v>3500374</v>
      </c>
      <c r="B20" s="11" t="inlineStr">
        <is>
          <t>CAJA MARRÓN 750CC X 16</t>
        </is>
      </c>
      <c r="C20" s="13" t="n">
        <v>1</v>
      </c>
      <c r="D20" s="13" t="n"/>
      <c r="E20" s="13" t="n"/>
    </row>
    <row r="21">
      <c r="A21" s="13" t="n">
        <v>3500163</v>
      </c>
      <c r="B21" s="11" t="inlineStr">
        <is>
          <t>ESTIBA CERV MADERA 330CC 1280X1080 X 120</t>
        </is>
      </c>
      <c r="C21" s="13" t="n">
        <v>1</v>
      </c>
      <c r="D21" s="13" t="n"/>
      <c r="E21" s="13" t="n"/>
    </row>
    <row r="22">
      <c r="A22" s="13" t="n">
        <v>3500024</v>
      </c>
      <c r="B22" s="11" t="inlineStr">
        <is>
          <t>CILINDRO CO2 20 KG</t>
        </is>
      </c>
      <c r="C22" s="13" t="n">
        <v>1</v>
      </c>
      <c r="D22" s="13" t="n"/>
      <c r="E22" s="13" t="n"/>
    </row>
    <row r="23">
      <c r="A23" s="13" t="n">
        <v>3500025</v>
      </c>
      <c r="B23" s="11" t="inlineStr">
        <is>
          <t>BARRIL ACERO INOX DIN 30 LT</t>
        </is>
      </c>
      <c r="C23" s="13" t="n">
        <v>1</v>
      </c>
      <c r="D23" s="13" t="n"/>
      <c r="E23" s="13" t="n"/>
    </row>
    <row r="24">
      <c r="A24" s="13" t="n">
        <v>3500587</v>
      </c>
      <c r="B24" s="11" t="inlineStr">
        <is>
          <t>BBC BARRIL ACERO INOX DIN 30 LT</t>
        </is>
      </c>
      <c r="C24" s="13" t="n">
        <v>1</v>
      </c>
      <c r="D24" s="13" t="n"/>
      <c r="E24" s="13" t="n"/>
    </row>
    <row r="25">
      <c r="A25" s="13" t="n">
        <v>412644</v>
      </c>
      <c r="B25" s="11" t="inlineStr">
        <is>
          <t>ENVASE MARRON 330NR NUEVO</t>
        </is>
      </c>
      <c r="C25" s="13" t="n">
        <v>30</v>
      </c>
      <c r="D25" s="13" t="n"/>
      <c r="E25" s="13" t="n"/>
    </row>
    <row r="26">
      <c r="A26" s="13" t="n">
        <v>412671</v>
      </c>
      <c r="B26" s="11" t="inlineStr">
        <is>
          <t>ENVASE MARRON 330NR CLUB COLOMBIA NUEVA</t>
        </is>
      </c>
      <c r="C26" s="13" t="n">
        <v>30</v>
      </c>
      <c r="D26" s="13" t="n"/>
      <c r="E26" s="13" t="n"/>
    </row>
    <row r="27">
      <c r="A27" s="13" t="n">
        <v>412707</v>
      </c>
      <c r="B27" s="11" t="inlineStr">
        <is>
          <t>ENVASE FLINT AGUILA 330NR NUEVO</t>
        </is>
      </c>
      <c r="C27" s="13" t="n">
        <v>30</v>
      </c>
      <c r="D27" s="13" t="n"/>
      <c r="E27" s="13" t="n"/>
    </row>
    <row r="28">
      <c r="A28" s="13" t="n">
        <v>3503500</v>
      </c>
      <c r="B28" s="11" t="inlineStr">
        <is>
          <t>ENVASE REDDS CITRUS 330CC R</t>
        </is>
      </c>
      <c r="C28" s="13" t="n">
        <v>30</v>
      </c>
      <c r="D28" s="13" t="n"/>
      <c r="E28" s="13" t="n"/>
    </row>
    <row r="30">
      <c r="A30" s="12" t="inlineStr">
        <is>
          <t>La 330 (3500159) guarda los envases de 330 y de 320. Cajas plásticas, estibas, cilindros y barriles van por unidad.</t>
        </is>
      </c>
    </row>
    <row r="31">
      <c r="A31" s="14" t="inlineStr">
        <is>
          <t>Por confirmar: la caja del 250 (aquí 3501224) y las cajas por estiba del 225 y del Budweiser.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0" customWidth="1" min="4" max="4"/>
    <col width="14" customWidth="1" min="5" max="5"/>
  </cols>
  <sheetData>
    <row r="1">
      <c r="A1" s="6" t="inlineStr">
        <is>
          <t>TIPO DE NOVEDAD</t>
        </is>
      </c>
      <c r="B1" s="6" t="inlineStr">
        <is>
          <t>SUMA EN</t>
        </is>
      </c>
      <c r="C1" s="6" t="inlineStr">
        <is>
          <t>¿PIDE N° ENTREGA?</t>
        </is>
      </c>
      <c r="D1" s="6" t="inlineStr">
        <is>
          <t>QUÉ ES</t>
        </is>
      </c>
      <c r="E1" s="16" t="inlineStr">
        <is>
          <t>¿SUMA SU CAJA PLÁSTICA?</t>
        </is>
      </c>
    </row>
    <row r="2">
      <c r="A2" s="15" t="inlineStr">
        <is>
          <t>BAJA PENDIENTE POR DISPOSICION</t>
        </is>
      </c>
      <c r="B2" s="15" t="inlineStr">
        <is>
          <t>CONTEO</t>
        </is>
      </c>
      <c r="C2" s="15" t="inlineStr">
        <is>
          <t>No</t>
        </is>
      </c>
      <c r="D2" s="15" t="inlineStr">
        <is>
          <t>Baja que espera disposición: existe, suma al conteo.</t>
        </is>
      </c>
      <c r="E2" s="13" t="inlineStr">
        <is>
          <t>Sí</t>
        </is>
      </c>
    </row>
    <row r="3">
      <c r="A3" s="15" t="inlineStr">
        <is>
          <t>SINIESTRO</t>
        </is>
      </c>
      <c r="B3" s="15" t="inlineStr">
        <is>
          <t>CONTEO</t>
        </is>
      </c>
      <c r="C3" s="15" t="inlineStr">
        <is>
          <t>No</t>
        </is>
      </c>
      <c r="D3" s="15" t="inlineStr">
        <is>
          <t>Envase o caja en siniestro: existe, suma al conteo.</t>
        </is>
      </c>
      <c r="E3" s="13" t="inlineStr">
        <is>
          <t>Sí</t>
        </is>
      </c>
    </row>
    <row r="4">
      <c r="A4" s="15" t="inlineStr">
        <is>
          <t>AJUSTE INV BAJA PRESORTING</t>
        </is>
      </c>
      <c r="B4" s="15" t="inlineStr">
        <is>
          <t>CONTEO</t>
        </is>
      </c>
      <c r="C4" s="15" t="inlineStr">
        <is>
          <t>No</t>
        </is>
      </c>
      <c r="D4" s="15" t="inlineStr">
        <is>
          <t>Ajuste de inventario de la baja de presorting.</t>
        </is>
      </c>
      <c r="E4" s="13" t="inlineStr">
        <is>
          <t>No</t>
        </is>
      </c>
    </row>
    <row r="5">
      <c r="A5" s="15" t="inlineStr">
        <is>
          <t>FAC PROVEEDOR</t>
        </is>
      </c>
      <c r="B5" s="15" t="inlineStr">
        <is>
          <t>CONTEO</t>
        </is>
      </c>
      <c r="C5" s="15" t="inlineStr">
        <is>
          <t>No</t>
        </is>
      </c>
      <c r="D5" s="15" t="inlineStr">
        <is>
          <t>Facturado por el proveedor, todavía por recibir.</t>
        </is>
      </c>
      <c r="E5" s="13" t="inlineStr">
        <is>
          <t>No</t>
        </is>
      </c>
    </row>
    <row r="6">
      <c r="A6" s="15" t="inlineStr">
        <is>
          <t>PEND NOVEDADES CD</t>
        </is>
      </c>
      <c r="B6" s="15" t="inlineStr">
        <is>
          <t>SAP</t>
        </is>
      </c>
      <c r="C6" s="15" t="inlineStr">
        <is>
          <t>Sí</t>
        </is>
      </c>
      <c r="D6" s="15" t="inlineStr">
        <is>
          <t>Entrega pendiente del CD: N° de entrega (o SOCIO).</t>
        </is>
      </c>
      <c r="E6" s="13" t="inlineStr">
        <is>
          <t>Sí</t>
        </is>
      </c>
    </row>
    <row r="7">
      <c r="A7" s="15" t="inlineStr">
        <is>
          <t>CONTEO TW</t>
        </is>
      </c>
      <c r="B7" s="15" t="inlineStr">
        <is>
          <t>NO SUMA</t>
        </is>
      </c>
      <c r="C7" s="15" t="inlineStr">
        <is>
          <t>No</t>
        </is>
      </c>
      <c r="D7" s="15" t="inlineStr">
        <is>
          <t>Informativo: se ve en el análisis, no entra en la diferencia.</t>
        </is>
      </c>
      <c r="E7" s="13" t="inlineStr">
        <is>
          <t>No</t>
        </is>
      </c>
    </row>
    <row r="8">
      <c r="A8" s="15" t="inlineStr">
        <is>
          <t>ZEXI 6 AM</t>
        </is>
      </c>
      <c r="B8" s="15" t="inlineStr">
        <is>
          <t>SAP</t>
        </is>
      </c>
      <c r="C8" s="15" t="inlineStr">
        <is>
          <t>No</t>
        </is>
      </c>
      <c r="D8" s="15" t="inlineStr">
        <is>
          <t>La existencia de SAP descargada a las 6, ANTES de balancear: una fila por código, en UNIDADES (Total General). El cilindro de AG01 también va aquí.</t>
        </is>
      </c>
      <c r="E8" s="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2026-10-14T19:44:30Z</dcterms:created>
  <dcterms:modified xmlns:dcterms="http://purl.org/dc/terms/" xmlns:xsi="http://www.w3.org/2001/XMLSchema-instance" xsi:type="dcterms:W3CDTF">2026-10-14T19:48:34Z</dcterms:modified>
</cp:coreProperties>
</file>