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VEDADES" sheetId="1" state="visible" r:id="rId1"/>
    <sheet xmlns:r="http://schemas.openxmlformats.org/officeDocument/2006/relationships" name="MAESTRO" sheetId="2" state="visible" r:id="rId2"/>
    <sheet xmlns:r="http://schemas.openxmlformats.org/officeDocument/2006/relationships" name="TIPOS" sheetId="3" state="visible" r:id="rId3"/>
  </sheets>
  <definedNames>
    <definedName name="_xlnm._FilterDatabase" localSheetId="0" hidden="1">'NOVEDADES'!$A$4:$K$204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i val="1"/>
      <color rgb="005F6B79"/>
    </font>
    <font>
      <i val="1"/>
      <color rgb="00C00000"/>
    </font>
    <font>
      <b val="1"/>
      <color rgb="0012263A"/>
      <sz val="14"/>
    </font>
    <font>
      <i val="1"/>
      <color rgb="005F6B79"/>
      <sz val="9"/>
    </font>
  </fonts>
  <fills count="5">
    <fill>
      <patternFill/>
    </fill>
    <fill>
      <patternFill patternType="gray125"/>
    </fill>
    <fill>
      <patternFill patternType="solid">
        <fgColor rgb="0012263A"/>
      </patternFill>
    </fill>
    <fill>
      <patternFill patternType="solid">
        <fgColor rgb="00FFF4CC"/>
      </patternFill>
    </fill>
    <fill>
      <patternFill patternType="solid">
        <fgColor rgb="00F2F4F7"/>
      </patternFill>
    </fill>
  </fills>
  <borders count="2">
    <border>
      <left/>
      <right/>
      <top/>
      <bottom/>
      <diagonal/>
    </border>
    <border>
      <left style="thin">
        <color rgb="00D5DCE5"/>
      </left>
      <right style="thin">
        <color rgb="00D5DCE5"/>
      </right>
      <top style="thin">
        <color rgb="00D5DCE5"/>
      </top>
      <bottom style="thin">
        <color rgb="00D5DCE5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164" fontId="0" fillId="3" borderId="1" pivotButton="0" quotePrefix="0" xfId="0"/>
    <xf numFmtId="0" fontId="0" fillId="3" borderId="1" pivotButton="0" quotePrefix="0" xfId="0"/>
    <xf numFmtId="0" fontId="0" fillId="4" borderId="1" pivotButton="0" quotePrefix="0" xfId="0"/>
    <xf numFmtId="3" fontId="0" fillId="3" borderId="1" pivotButton="0" quotePrefix="0" xfId="0"/>
    <xf numFmtId="3" fontId="0" fillId="4" borderId="1" pivotButton="0" quotePrefix="0" xfId="0"/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9" customWidth="1" min="3" max="3"/>
    <col width="20" customWidth="1" min="4" max="4"/>
    <col width="11" customWidth="1" min="5" max="5"/>
    <col width="36" customWidth="1" min="6" max="6"/>
    <col width="11" customWidth="1" min="7" max="7"/>
    <col width="11" customWidth="1" min="8" max="8"/>
    <col width="13" customWidth="1" min="9" max="9"/>
    <col width="24" customWidth="1" min="10" max="10"/>
    <col width="34" customWidth="1" min="11" max="11"/>
  </cols>
  <sheetData>
    <row r="1">
      <c r="A1" s="1" t="inlineStr">
        <is>
          <t>NOVEDADES DEL DÍA · BODEGA 38 · ANÁLISIS DE DIFERENCIA</t>
        </is>
      </c>
    </row>
    <row r="2" ht="30" customHeight="1">
      <c r="A2" s="2" t="inlineStr">
        <is>
          <t>Una fila por novedad. Escribe en CAJAS LLENAS del envase (y si sobran, las unidades sueltas). La app pasa a unidades y suma la caja plástica que las guarda. Lo amarillo lo llenas tú; lo gris se calcula solo.</t>
        </is>
      </c>
    </row>
    <row r="4" ht="32" customHeight="1">
      <c r="A4" s="3" t="inlineStr">
        <is>
          <t>FECHA</t>
        </is>
      </c>
      <c r="B4" s="3" t="inlineStr">
        <is>
          <t>TIPO DE NOVEDAD</t>
        </is>
      </c>
      <c r="C4" s="3" t="inlineStr">
        <is>
          <t>SUMA EN</t>
        </is>
      </c>
      <c r="D4" s="3" t="inlineStr">
        <is>
          <t>N° ENTREGA / DOCUMENTO</t>
        </is>
      </c>
      <c r="E4" s="3" t="inlineStr">
        <is>
          <t>CÓDIGO</t>
        </is>
      </c>
      <c r="F4" s="3" t="inlineStr">
        <is>
          <t>DESCRIPCIÓN</t>
        </is>
      </c>
      <c r="G4" s="3" t="inlineStr">
        <is>
          <t>CAJAS LLENAS</t>
        </is>
      </c>
      <c r="H4" s="3" t="inlineStr">
        <is>
          <t>UNIDADES SUELTAS</t>
        </is>
      </c>
      <c r="I4" s="3" t="inlineStr">
        <is>
          <t>TOTAL UNIDADES</t>
        </is>
      </c>
      <c r="J4" s="3" t="inlineStr">
        <is>
          <t>CAJA PLÁSTICA (código · cajas)</t>
        </is>
      </c>
      <c r="K4" s="3" t="inlineStr">
        <is>
          <t>OBSERVACIÓN</t>
        </is>
      </c>
    </row>
    <row r="5">
      <c r="A5" s="4" t="n">
        <v>46309</v>
      </c>
      <c r="B5" s="5" t="inlineStr">
        <is>
          <t>SINIESTRO</t>
        </is>
      </c>
      <c r="C5" s="6">
        <f>IF(B5="","",IFERROR(VLOOKUP(B5,TIPOS!$A:$B,2,FALSE),""))</f>
        <v/>
      </c>
      <c r="D5" s="5" t="n"/>
      <c r="E5" s="5" t="n">
        <v>3500005</v>
      </c>
      <c r="F5" s="6">
        <f>IF(E5="","",IFERROR(VLOOKUP(E5,MAESTRO!$A:$B,2,FALSE),"NO ESTÁ EN EL MAESTRO"))</f>
        <v/>
      </c>
      <c r="G5" s="7" t="n">
        <v>60</v>
      </c>
      <c r="H5" s="7" t="n">
        <v>0</v>
      </c>
      <c r="I5" s="8">
        <f>IF(E5="","",IFERROR(G5*VLOOKUP(E5,MAESTRO!$A:$D,4,FALSE),0)+N(H5))</f>
        <v/>
      </c>
      <c r="J5" s="6">
        <f>IF(OR(E5="",N(G5)=0),"",IFERROR(IF(VLOOKUP(E5,MAESTRO!$A:$E,5,FALSE)="","",VLOOKUP(E5,MAESTRO!$A:$E,5,FALSE)&amp;" · "&amp;G5),""))</f>
        <v/>
      </c>
      <c r="K5" s="5" t="inlineStr">
        <is>
          <t>Ejemplo: bórrala</t>
        </is>
      </c>
    </row>
    <row r="6">
      <c r="A6" s="4" t="n">
        <v>46309</v>
      </c>
      <c r="B6" s="5" t="inlineStr">
        <is>
          <t>PEND NOVEDADES CD</t>
        </is>
      </c>
      <c r="C6" s="6">
        <f>IF(B6="","",IFERROR(VLOOKUP(B6,TIPOS!$A:$B,2,FALSE),""))</f>
        <v/>
      </c>
      <c r="D6" s="5" t="inlineStr">
        <is>
          <t>8917476167</t>
        </is>
      </c>
      <c r="E6" s="5" t="n">
        <v>3501226</v>
      </c>
      <c r="F6" s="6">
        <f>IF(E6="","",IFERROR(VLOOKUP(E6,MAESTRO!$A:$B,2,FALSE),"NO ESTÁ EN EL MAESTRO"))</f>
        <v/>
      </c>
      <c r="G6" s="7" t="n">
        <v>270</v>
      </c>
      <c r="H6" s="7" t="n">
        <v>0</v>
      </c>
      <c r="I6" s="8">
        <f>IF(E6="","",IFERROR(G6*VLOOKUP(E6,MAESTRO!$A:$D,4,FALSE),0)+N(H6))</f>
        <v/>
      </c>
      <c r="J6" s="6">
        <f>IF(OR(E6="",N(G6)=0),"",IFERROR(IF(VLOOKUP(E6,MAESTRO!$A:$E,5,FALSE)="","",VLOOKUP(E6,MAESTRO!$A:$E,5,FALSE)&amp;" · "&amp;G6),""))</f>
        <v/>
      </c>
      <c r="K6" s="5" t="inlineStr">
        <is>
          <t>Ejemplo: bórrala</t>
        </is>
      </c>
    </row>
    <row r="7">
      <c r="A7" s="4" t="n"/>
      <c r="B7" s="5" t="n"/>
      <c r="C7" s="6">
        <f>IF(B7="","",IFERROR(VLOOKUP(B7,TIPOS!$A:$B,2,FALSE),""))</f>
        <v/>
      </c>
      <c r="D7" s="5" t="n"/>
      <c r="E7" s="5" t="n"/>
      <c r="F7" s="6">
        <f>IF(E7="","",IFERROR(VLOOKUP(E7,MAESTRO!$A:$B,2,FALSE),"NO ESTÁ EN EL MAESTRO"))</f>
        <v/>
      </c>
      <c r="G7" s="7" t="n"/>
      <c r="H7" s="7" t="n"/>
      <c r="I7" s="8">
        <f>IF(E7="","",IFERROR(G7*VLOOKUP(E7,MAESTRO!$A:$D,4,FALSE),0)+N(H7))</f>
        <v/>
      </c>
      <c r="J7" s="6">
        <f>IF(OR(E7="",N(G7)=0),"",IFERROR(IF(VLOOKUP(E7,MAESTRO!$A:$E,5,FALSE)="","",VLOOKUP(E7,MAESTRO!$A:$E,5,FALSE)&amp;" · "&amp;G7),""))</f>
        <v/>
      </c>
      <c r="K7" s="5" t="n"/>
    </row>
    <row r="8">
      <c r="A8" s="4" t="n"/>
      <c r="B8" s="5" t="n"/>
      <c r="C8" s="6">
        <f>IF(B8="","",IFERROR(VLOOKUP(B8,TIPOS!$A:$B,2,FALSE),""))</f>
        <v/>
      </c>
      <c r="D8" s="5" t="n"/>
      <c r="E8" s="5" t="n"/>
      <c r="F8" s="6">
        <f>IF(E8="","",IFERROR(VLOOKUP(E8,MAESTRO!$A:$B,2,FALSE),"NO ESTÁ EN EL MAESTRO"))</f>
        <v/>
      </c>
      <c r="G8" s="7" t="n"/>
      <c r="H8" s="7" t="n"/>
      <c r="I8" s="8">
        <f>IF(E8="","",IFERROR(G8*VLOOKUP(E8,MAESTRO!$A:$D,4,FALSE),0)+N(H8))</f>
        <v/>
      </c>
      <c r="J8" s="6">
        <f>IF(OR(E8="",N(G8)=0),"",IFERROR(IF(VLOOKUP(E8,MAESTRO!$A:$E,5,FALSE)="","",VLOOKUP(E8,MAESTRO!$A:$E,5,FALSE)&amp;" · "&amp;G8),""))</f>
        <v/>
      </c>
      <c r="K8" s="5" t="n"/>
    </row>
    <row r="9">
      <c r="A9" s="4" t="n"/>
      <c r="B9" s="5" t="n"/>
      <c r="C9" s="6">
        <f>IF(B9="","",IFERROR(VLOOKUP(B9,TIPOS!$A:$B,2,FALSE),""))</f>
        <v/>
      </c>
      <c r="D9" s="5" t="n"/>
      <c r="E9" s="5" t="n"/>
      <c r="F9" s="6">
        <f>IF(E9="","",IFERROR(VLOOKUP(E9,MAESTRO!$A:$B,2,FALSE),"NO ESTÁ EN EL MAESTRO"))</f>
        <v/>
      </c>
      <c r="G9" s="7" t="n"/>
      <c r="H9" s="7" t="n"/>
      <c r="I9" s="8">
        <f>IF(E9="","",IFERROR(G9*VLOOKUP(E9,MAESTRO!$A:$D,4,FALSE),0)+N(H9))</f>
        <v/>
      </c>
      <c r="J9" s="6">
        <f>IF(OR(E9="",N(G9)=0),"",IFERROR(IF(VLOOKUP(E9,MAESTRO!$A:$E,5,FALSE)="","",VLOOKUP(E9,MAESTRO!$A:$E,5,FALSE)&amp;" · "&amp;G9),""))</f>
        <v/>
      </c>
      <c r="K9" s="5" t="n"/>
    </row>
    <row r="10">
      <c r="A10" s="4" t="n"/>
      <c r="B10" s="5" t="n"/>
      <c r="C10" s="6">
        <f>IF(B10="","",IFERROR(VLOOKUP(B10,TIPOS!$A:$B,2,FALSE),""))</f>
        <v/>
      </c>
      <c r="D10" s="5" t="n"/>
      <c r="E10" s="5" t="n"/>
      <c r="F10" s="6">
        <f>IF(E10="","",IFERROR(VLOOKUP(E10,MAESTRO!$A:$B,2,FALSE),"NO ESTÁ EN EL MAESTRO"))</f>
        <v/>
      </c>
      <c r="G10" s="7" t="n"/>
      <c r="H10" s="7" t="n"/>
      <c r="I10" s="8">
        <f>IF(E10="","",IFERROR(G10*VLOOKUP(E10,MAESTRO!$A:$D,4,FALSE),0)+N(H10))</f>
        <v/>
      </c>
      <c r="J10" s="6">
        <f>IF(OR(E10="",N(G10)=0),"",IFERROR(IF(VLOOKUP(E10,MAESTRO!$A:$E,5,FALSE)="","",VLOOKUP(E10,MAESTRO!$A:$E,5,FALSE)&amp;" · "&amp;G10),""))</f>
        <v/>
      </c>
      <c r="K10" s="5" t="n"/>
    </row>
    <row r="11">
      <c r="A11" s="4" t="n"/>
      <c r="B11" s="5" t="n"/>
      <c r="C11" s="6">
        <f>IF(B11="","",IFERROR(VLOOKUP(B11,TIPOS!$A:$B,2,FALSE),""))</f>
        <v/>
      </c>
      <c r="D11" s="5" t="n"/>
      <c r="E11" s="5" t="n"/>
      <c r="F11" s="6">
        <f>IF(E11="","",IFERROR(VLOOKUP(E11,MAESTRO!$A:$B,2,FALSE),"NO ESTÁ EN EL MAESTRO"))</f>
        <v/>
      </c>
      <c r="G11" s="7" t="n"/>
      <c r="H11" s="7" t="n"/>
      <c r="I11" s="8">
        <f>IF(E11="","",IFERROR(G11*VLOOKUP(E11,MAESTRO!$A:$D,4,FALSE),0)+N(H11))</f>
        <v/>
      </c>
      <c r="J11" s="6">
        <f>IF(OR(E11="",N(G11)=0),"",IFERROR(IF(VLOOKUP(E11,MAESTRO!$A:$E,5,FALSE)="","",VLOOKUP(E11,MAESTRO!$A:$E,5,FALSE)&amp;" · "&amp;G11),""))</f>
        <v/>
      </c>
      <c r="K11" s="5" t="n"/>
    </row>
    <row r="12">
      <c r="A12" s="4" t="n"/>
      <c r="B12" s="5" t="n"/>
      <c r="C12" s="6">
        <f>IF(B12="","",IFERROR(VLOOKUP(B12,TIPOS!$A:$B,2,FALSE),""))</f>
        <v/>
      </c>
      <c r="D12" s="5" t="n"/>
      <c r="E12" s="5" t="n"/>
      <c r="F12" s="6">
        <f>IF(E12="","",IFERROR(VLOOKUP(E12,MAESTRO!$A:$B,2,FALSE),"NO ESTÁ EN EL MAESTRO"))</f>
        <v/>
      </c>
      <c r="G12" s="7" t="n"/>
      <c r="H12" s="7" t="n"/>
      <c r="I12" s="8">
        <f>IF(E12="","",IFERROR(G12*VLOOKUP(E12,MAESTRO!$A:$D,4,FALSE),0)+N(H12))</f>
        <v/>
      </c>
      <c r="J12" s="6">
        <f>IF(OR(E12="",N(G12)=0),"",IFERROR(IF(VLOOKUP(E12,MAESTRO!$A:$E,5,FALSE)="","",VLOOKUP(E12,MAESTRO!$A:$E,5,FALSE)&amp;" · "&amp;G12),""))</f>
        <v/>
      </c>
      <c r="K12" s="5" t="n"/>
    </row>
    <row r="13">
      <c r="A13" s="4" t="n"/>
      <c r="B13" s="5" t="n"/>
      <c r="C13" s="6">
        <f>IF(B13="","",IFERROR(VLOOKUP(B13,TIPOS!$A:$B,2,FALSE),""))</f>
        <v/>
      </c>
      <c r="D13" s="5" t="n"/>
      <c r="E13" s="5" t="n"/>
      <c r="F13" s="6">
        <f>IF(E13="","",IFERROR(VLOOKUP(E13,MAESTRO!$A:$B,2,FALSE),"NO ESTÁ EN EL MAESTRO"))</f>
        <v/>
      </c>
      <c r="G13" s="7" t="n"/>
      <c r="H13" s="7" t="n"/>
      <c r="I13" s="8">
        <f>IF(E13="","",IFERROR(G13*VLOOKUP(E13,MAESTRO!$A:$D,4,FALSE),0)+N(H13))</f>
        <v/>
      </c>
      <c r="J13" s="6">
        <f>IF(OR(E13="",N(G13)=0),"",IFERROR(IF(VLOOKUP(E13,MAESTRO!$A:$E,5,FALSE)="","",VLOOKUP(E13,MAESTRO!$A:$E,5,FALSE)&amp;" · "&amp;G13),""))</f>
        <v/>
      </c>
      <c r="K13" s="5" t="n"/>
    </row>
    <row r="14">
      <c r="A14" s="4" t="n"/>
      <c r="B14" s="5" t="n"/>
      <c r="C14" s="6">
        <f>IF(B14="","",IFERROR(VLOOKUP(B14,TIPOS!$A:$B,2,FALSE),""))</f>
        <v/>
      </c>
      <c r="D14" s="5" t="n"/>
      <c r="E14" s="5" t="n"/>
      <c r="F14" s="6">
        <f>IF(E14="","",IFERROR(VLOOKUP(E14,MAESTRO!$A:$B,2,FALSE),"NO ESTÁ EN EL MAESTRO"))</f>
        <v/>
      </c>
      <c r="G14" s="7" t="n"/>
      <c r="H14" s="7" t="n"/>
      <c r="I14" s="8">
        <f>IF(E14="","",IFERROR(G14*VLOOKUP(E14,MAESTRO!$A:$D,4,FALSE),0)+N(H14))</f>
        <v/>
      </c>
      <c r="J14" s="6">
        <f>IF(OR(E14="",N(G14)=0),"",IFERROR(IF(VLOOKUP(E14,MAESTRO!$A:$E,5,FALSE)="","",VLOOKUP(E14,MAESTRO!$A:$E,5,FALSE)&amp;" · "&amp;G14),""))</f>
        <v/>
      </c>
      <c r="K14" s="5" t="n"/>
    </row>
    <row r="15">
      <c r="A15" s="4" t="n"/>
      <c r="B15" s="5" t="n"/>
      <c r="C15" s="6">
        <f>IF(B15="","",IFERROR(VLOOKUP(B15,TIPOS!$A:$B,2,FALSE),""))</f>
        <v/>
      </c>
      <c r="D15" s="5" t="n"/>
      <c r="E15" s="5" t="n"/>
      <c r="F15" s="6">
        <f>IF(E15="","",IFERROR(VLOOKUP(E15,MAESTRO!$A:$B,2,FALSE),"NO ESTÁ EN EL MAESTRO"))</f>
        <v/>
      </c>
      <c r="G15" s="7" t="n"/>
      <c r="H15" s="7" t="n"/>
      <c r="I15" s="8">
        <f>IF(E15="","",IFERROR(G15*VLOOKUP(E15,MAESTRO!$A:$D,4,FALSE),0)+N(H15))</f>
        <v/>
      </c>
      <c r="J15" s="6">
        <f>IF(OR(E15="",N(G15)=0),"",IFERROR(IF(VLOOKUP(E15,MAESTRO!$A:$E,5,FALSE)="","",VLOOKUP(E15,MAESTRO!$A:$E,5,FALSE)&amp;" · "&amp;G15),""))</f>
        <v/>
      </c>
      <c r="K15" s="5" t="n"/>
    </row>
    <row r="16">
      <c r="A16" s="4" t="n"/>
      <c r="B16" s="5" t="n"/>
      <c r="C16" s="6">
        <f>IF(B16="","",IFERROR(VLOOKUP(B16,TIPOS!$A:$B,2,FALSE),""))</f>
        <v/>
      </c>
      <c r="D16" s="5" t="n"/>
      <c r="E16" s="5" t="n"/>
      <c r="F16" s="6">
        <f>IF(E16="","",IFERROR(VLOOKUP(E16,MAESTRO!$A:$B,2,FALSE),"NO ESTÁ EN EL MAESTRO"))</f>
        <v/>
      </c>
      <c r="G16" s="7" t="n"/>
      <c r="H16" s="7" t="n"/>
      <c r="I16" s="8">
        <f>IF(E16="","",IFERROR(G16*VLOOKUP(E16,MAESTRO!$A:$D,4,FALSE),0)+N(H16))</f>
        <v/>
      </c>
      <c r="J16" s="6">
        <f>IF(OR(E16="",N(G16)=0),"",IFERROR(IF(VLOOKUP(E16,MAESTRO!$A:$E,5,FALSE)="","",VLOOKUP(E16,MAESTRO!$A:$E,5,FALSE)&amp;" · "&amp;G16),""))</f>
        <v/>
      </c>
      <c r="K16" s="5" t="n"/>
    </row>
    <row r="17">
      <c r="A17" s="4" t="n"/>
      <c r="B17" s="5" t="n"/>
      <c r="C17" s="6">
        <f>IF(B17="","",IFERROR(VLOOKUP(B17,TIPOS!$A:$B,2,FALSE),""))</f>
        <v/>
      </c>
      <c r="D17" s="5" t="n"/>
      <c r="E17" s="5" t="n"/>
      <c r="F17" s="6">
        <f>IF(E17="","",IFERROR(VLOOKUP(E17,MAESTRO!$A:$B,2,FALSE),"NO ESTÁ EN EL MAESTRO"))</f>
        <v/>
      </c>
      <c r="G17" s="7" t="n"/>
      <c r="H17" s="7" t="n"/>
      <c r="I17" s="8">
        <f>IF(E17="","",IFERROR(G17*VLOOKUP(E17,MAESTRO!$A:$D,4,FALSE),0)+N(H17))</f>
        <v/>
      </c>
      <c r="J17" s="6">
        <f>IF(OR(E17="",N(G17)=0),"",IFERROR(IF(VLOOKUP(E17,MAESTRO!$A:$E,5,FALSE)="","",VLOOKUP(E17,MAESTRO!$A:$E,5,FALSE)&amp;" · "&amp;G17),""))</f>
        <v/>
      </c>
      <c r="K17" s="5" t="n"/>
    </row>
    <row r="18">
      <c r="A18" s="4" t="n"/>
      <c r="B18" s="5" t="n"/>
      <c r="C18" s="6">
        <f>IF(B18="","",IFERROR(VLOOKUP(B18,TIPOS!$A:$B,2,FALSE),""))</f>
        <v/>
      </c>
      <c r="D18" s="5" t="n"/>
      <c r="E18" s="5" t="n"/>
      <c r="F18" s="6">
        <f>IF(E18="","",IFERROR(VLOOKUP(E18,MAESTRO!$A:$B,2,FALSE),"NO ESTÁ EN EL MAESTRO"))</f>
        <v/>
      </c>
      <c r="G18" s="7" t="n"/>
      <c r="H18" s="7" t="n"/>
      <c r="I18" s="8">
        <f>IF(E18="","",IFERROR(G18*VLOOKUP(E18,MAESTRO!$A:$D,4,FALSE),0)+N(H18))</f>
        <v/>
      </c>
      <c r="J18" s="6">
        <f>IF(OR(E18="",N(G18)=0),"",IFERROR(IF(VLOOKUP(E18,MAESTRO!$A:$E,5,FALSE)="","",VLOOKUP(E18,MAESTRO!$A:$E,5,FALSE)&amp;" · "&amp;G18),""))</f>
        <v/>
      </c>
      <c r="K18" s="5" t="n"/>
    </row>
    <row r="19">
      <c r="A19" s="4" t="n"/>
      <c r="B19" s="5" t="n"/>
      <c r="C19" s="6">
        <f>IF(B19="","",IFERROR(VLOOKUP(B19,TIPOS!$A:$B,2,FALSE),""))</f>
        <v/>
      </c>
      <c r="D19" s="5" t="n"/>
      <c r="E19" s="5" t="n"/>
      <c r="F19" s="6">
        <f>IF(E19="","",IFERROR(VLOOKUP(E19,MAESTRO!$A:$B,2,FALSE),"NO ESTÁ EN EL MAESTRO"))</f>
        <v/>
      </c>
      <c r="G19" s="7" t="n"/>
      <c r="H19" s="7" t="n"/>
      <c r="I19" s="8">
        <f>IF(E19="","",IFERROR(G19*VLOOKUP(E19,MAESTRO!$A:$D,4,FALSE),0)+N(H19))</f>
        <v/>
      </c>
      <c r="J19" s="6">
        <f>IF(OR(E19="",N(G19)=0),"",IFERROR(IF(VLOOKUP(E19,MAESTRO!$A:$E,5,FALSE)="","",VLOOKUP(E19,MAESTRO!$A:$E,5,FALSE)&amp;" · "&amp;G19),""))</f>
        <v/>
      </c>
      <c r="K19" s="5" t="n"/>
    </row>
    <row r="20">
      <c r="A20" s="4" t="n"/>
      <c r="B20" s="5" t="n"/>
      <c r="C20" s="6">
        <f>IF(B20="","",IFERROR(VLOOKUP(B20,TIPOS!$A:$B,2,FALSE),""))</f>
        <v/>
      </c>
      <c r="D20" s="5" t="n"/>
      <c r="E20" s="5" t="n"/>
      <c r="F20" s="6">
        <f>IF(E20="","",IFERROR(VLOOKUP(E20,MAESTRO!$A:$B,2,FALSE),"NO ESTÁ EN EL MAESTRO"))</f>
        <v/>
      </c>
      <c r="G20" s="7" t="n"/>
      <c r="H20" s="7" t="n"/>
      <c r="I20" s="8">
        <f>IF(E20="","",IFERROR(G20*VLOOKUP(E20,MAESTRO!$A:$D,4,FALSE),0)+N(H20))</f>
        <v/>
      </c>
      <c r="J20" s="6">
        <f>IF(OR(E20="",N(G20)=0),"",IFERROR(IF(VLOOKUP(E20,MAESTRO!$A:$E,5,FALSE)="","",VLOOKUP(E20,MAESTRO!$A:$E,5,FALSE)&amp;" · "&amp;G20),""))</f>
        <v/>
      </c>
      <c r="K20" s="5" t="n"/>
    </row>
    <row r="21">
      <c r="A21" s="4" t="n"/>
      <c r="B21" s="5" t="n"/>
      <c r="C21" s="6">
        <f>IF(B21="","",IFERROR(VLOOKUP(B21,TIPOS!$A:$B,2,FALSE),""))</f>
        <v/>
      </c>
      <c r="D21" s="5" t="n"/>
      <c r="E21" s="5" t="n"/>
      <c r="F21" s="6">
        <f>IF(E21="","",IFERROR(VLOOKUP(E21,MAESTRO!$A:$B,2,FALSE),"NO ESTÁ EN EL MAESTRO"))</f>
        <v/>
      </c>
      <c r="G21" s="7" t="n"/>
      <c r="H21" s="7" t="n"/>
      <c r="I21" s="8">
        <f>IF(E21="","",IFERROR(G21*VLOOKUP(E21,MAESTRO!$A:$D,4,FALSE),0)+N(H21))</f>
        <v/>
      </c>
      <c r="J21" s="6">
        <f>IF(OR(E21="",N(G21)=0),"",IFERROR(IF(VLOOKUP(E21,MAESTRO!$A:$E,5,FALSE)="","",VLOOKUP(E21,MAESTRO!$A:$E,5,FALSE)&amp;" · "&amp;G21),""))</f>
        <v/>
      </c>
      <c r="K21" s="5" t="n"/>
    </row>
    <row r="22">
      <c r="A22" s="4" t="n"/>
      <c r="B22" s="5" t="n"/>
      <c r="C22" s="6">
        <f>IF(B22="","",IFERROR(VLOOKUP(B22,TIPOS!$A:$B,2,FALSE),""))</f>
        <v/>
      </c>
      <c r="D22" s="5" t="n"/>
      <c r="E22" s="5" t="n"/>
      <c r="F22" s="6">
        <f>IF(E22="","",IFERROR(VLOOKUP(E22,MAESTRO!$A:$B,2,FALSE),"NO ESTÁ EN EL MAESTRO"))</f>
        <v/>
      </c>
      <c r="G22" s="7" t="n"/>
      <c r="H22" s="7" t="n"/>
      <c r="I22" s="8">
        <f>IF(E22="","",IFERROR(G22*VLOOKUP(E22,MAESTRO!$A:$D,4,FALSE),0)+N(H22))</f>
        <v/>
      </c>
      <c r="J22" s="6">
        <f>IF(OR(E22="",N(G22)=0),"",IFERROR(IF(VLOOKUP(E22,MAESTRO!$A:$E,5,FALSE)="","",VLOOKUP(E22,MAESTRO!$A:$E,5,FALSE)&amp;" · "&amp;G22),""))</f>
        <v/>
      </c>
      <c r="K22" s="5" t="n"/>
    </row>
    <row r="23">
      <c r="A23" s="4" t="n"/>
      <c r="B23" s="5" t="n"/>
      <c r="C23" s="6">
        <f>IF(B23="","",IFERROR(VLOOKUP(B23,TIPOS!$A:$B,2,FALSE),""))</f>
        <v/>
      </c>
      <c r="D23" s="5" t="n"/>
      <c r="E23" s="5" t="n"/>
      <c r="F23" s="6">
        <f>IF(E23="","",IFERROR(VLOOKUP(E23,MAESTRO!$A:$B,2,FALSE),"NO ESTÁ EN EL MAESTRO"))</f>
        <v/>
      </c>
      <c r="G23" s="7" t="n"/>
      <c r="H23" s="7" t="n"/>
      <c r="I23" s="8">
        <f>IF(E23="","",IFERROR(G23*VLOOKUP(E23,MAESTRO!$A:$D,4,FALSE),0)+N(H23))</f>
        <v/>
      </c>
      <c r="J23" s="6">
        <f>IF(OR(E23="",N(G23)=0),"",IFERROR(IF(VLOOKUP(E23,MAESTRO!$A:$E,5,FALSE)="","",VLOOKUP(E23,MAESTRO!$A:$E,5,FALSE)&amp;" · "&amp;G23),""))</f>
        <v/>
      </c>
      <c r="K23" s="5" t="n"/>
    </row>
    <row r="24">
      <c r="A24" s="4" t="n"/>
      <c r="B24" s="5" t="n"/>
      <c r="C24" s="6">
        <f>IF(B24="","",IFERROR(VLOOKUP(B24,TIPOS!$A:$B,2,FALSE),""))</f>
        <v/>
      </c>
      <c r="D24" s="5" t="n"/>
      <c r="E24" s="5" t="n"/>
      <c r="F24" s="6">
        <f>IF(E24="","",IFERROR(VLOOKUP(E24,MAESTRO!$A:$B,2,FALSE),"NO ESTÁ EN EL MAESTRO"))</f>
        <v/>
      </c>
      <c r="G24" s="7" t="n"/>
      <c r="H24" s="7" t="n"/>
      <c r="I24" s="8">
        <f>IF(E24="","",IFERROR(G24*VLOOKUP(E24,MAESTRO!$A:$D,4,FALSE),0)+N(H24))</f>
        <v/>
      </c>
      <c r="J24" s="6">
        <f>IF(OR(E24="",N(G24)=0),"",IFERROR(IF(VLOOKUP(E24,MAESTRO!$A:$E,5,FALSE)="","",VLOOKUP(E24,MAESTRO!$A:$E,5,FALSE)&amp;" · "&amp;G24),""))</f>
        <v/>
      </c>
      <c r="K24" s="5" t="n"/>
    </row>
    <row r="25">
      <c r="A25" s="4" t="n"/>
      <c r="B25" s="5" t="n"/>
      <c r="C25" s="6">
        <f>IF(B25="","",IFERROR(VLOOKUP(B25,TIPOS!$A:$B,2,FALSE),""))</f>
        <v/>
      </c>
      <c r="D25" s="5" t="n"/>
      <c r="E25" s="5" t="n"/>
      <c r="F25" s="6">
        <f>IF(E25="","",IFERROR(VLOOKUP(E25,MAESTRO!$A:$B,2,FALSE),"NO ESTÁ EN EL MAESTRO"))</f>
        <v/>
      </c>
      <c r="G25" s="7" t="n"/>
      <c r="H25" s="7" t="n"/>
      <c r="I25" s="8">
        <f>IF(E25="","",IFERROR(G25*VLOOKUP(E25,MAESTRO!$A:$D,4,FALSE),0)+N(H25))</f>
        <v/>
      </c>
      <c r="J25" s="6">
        <f>IF(OR(E25="",N(G25)=0),"",IFERROR(IF(VLOOKUP(E25,MAESTRO!$A:$E,5,FALSE)="","",VLOOKUP(E25,MAESTRO!$A:$E,5,FALSE)&amp;" · "&amp;G25),""))</f>
        <v/>
      </c>
      <c r="K25" s="5" t="n"/>
    </row>
    <row r="26">
      <c r="A26" s="4" t="n"/>
      <c r="B26" s="5" t="n"/>
      <c r="C26" s="6">
        <f>IF(B26="","",IFERROR(VLOOKUP(B26,TIPOS!$A:$B,2,FALSE),""))</f>
        <v/>
      </c>
      <c r="D26" s="5" t="n"/>
      <c r="E26" s="5" t="n"/>
      <c r="F26" s="6">
        <f>IF(E26="","",IFERROR(VLOOKUP(E26,MAESTRO!$A:$B,2,FALSE),"NO ESTÁ EN EL MAESTRO"))</f>
        <v/>
      </c>
      <c r="G26" s="7" t="n"/>
      <c r="H26" s="7" t="n"/>
      <c r="I26" s="8">
        <f>IF(E26="","",IFERROR(G26*VLOOKUP(E26,MAESTRO!$A:$D,4,FALSE),0)+N(H26))</f>
        <v/>
      </c>
      <c r="J26" s="6">
        <f>IF(OR(E26="",N(G26)=0),"",IFERROR(IF(VLOOKUP(E26,MAESTRO!$A:$E,5,FALSE)="","",VLOOKUP(E26,MAESTRO!$A:$E,5,FALSE)&amp;" · "&amp;G26),""))</f>
        <v/>
      </c>
      <c r="K26" s="5" t="n"/>
    </row>
    <row r="27">
      <c r="A27" s="4" t="n"/>
      <c r="B27" s="5" t="n"/>
      <c r="C27" s="6">
        <f>IF(B27="","",IFERROR(VLOOKUP(B27,TIPOS!$A:$B,2,FALSE),""))</f>
        <v/>
      </c>
      <c r="D27" s="5" t="n"/>
      <c r="E27" s="5" t="n"/>
      <c r="F27" s="6">
        <f>IF(E27="","",IFERROR(VLOOKUP(E27,MAESTRO!$A:$B,2,FALSE),"NO ESTÁ EN EL MAESTRO"))</f>
        <v/>
      </c>
      <c r="G27" s="7" t="n"/>
      <c r="H27" s="7" t="n"/>
      <c r="I27" s="8">
        <f>IF(E27="","",IFERROR(G27*VLOOKUP(E27,MAESTRO!$A:$D,4,FALSE),0)+N(H27))</f>
        <v/>
      </c>
      <c r="J27" s="6">
        <f>IF(OR(E27="",N(G27)=0),"",IFERROR(IF(VLOOKUP(E27,MAESTRO!$A:$E,5,FALSE)="","",VLOOKUP(E27,MAESTRO!$A:$E,5,FALSE)&amp;" · "&amp;G27),""))</f>
        <v/>
      </c>
      <c r="K27" s="5" t="n"/>
    </row>
    <row r="28">
      <c r="A28" s="4" t="n"/>
      <c r="B28" s="5" t="n"/>
      <c r="C28" s="6">
        <f>IF(B28="","",IFERROR(VLOOKUP(B28,TIPOS!$A:$B,2,FALSE),""))</f>
        <v/>
      </c>
      <c r="D28" s="5" t="n"/>
      <c r="E28" s="5" t="n"/>
      <c r="F28" s="6">
        <f>IF(E28="","",IFERROR(VLOOKUP(E28,MAESTRO!$A:$B,2,FALSE),"NO ESTÁ EN EL MAESTRO"))</f>
        <v/>
      </c>
      <c r="G28" s="7" t="n"/>
      <c r="H28" s="7" t="n"/>
      <c r="I28" s="8">
        <f>IF(E28="","",IFERROR(G28*VLOOKUP(E28,MAESTRO!$A:$D,4,FALSE),0)+N(H28))</f>
        <v/>
      </c>
      <c r="J28" s="6">
        <f>IF(OR(E28="",N(G28)=0),"",IFERROR(IF(VLOOKUP(E28,MAESTRO!$A:$E,5,FALSE)="","",VLOOKUP(E28,MAESTRO!$A:$E,5,FALSE)&amp;" · "&amp;G28),""))</f>
        <v/>
      </c>
      <c r="K28" s="5" t="n"/>
    </row>
    <row r="29">
      <c r="A29" s="4" t="n"/>
      <c r="B29" s="5" t="n"/>
      <c r="C29" s="6">
        <f>IF(B29="","",IFERROR(VLOOKUP(B29,TIPOS!$A:$B,2,FALSE),""))</f>
        <v/>
      </c>
      <c r="D29" s="5" t="n"/>
      <c r="E29" s="5" t="n"/>
      <c r="F29" s="6">
        <f>IF(E29="","",IFERROR(VLOOKUP(E29,MAESTRO!$A:$B,2,FALSE),"NO ESTÁ EN EL MAESTRO"))</f>
        <v/>
      </c>
      <c r="G29" s="7" t="n"/>
      <c r="H29" s="7" t="n"/>
      <c r="I29" s="8">
        <f>IF(E29="","",IFERROR(G29*VLOOKUP(E29,MAESTRO!$A:$D,4,FALSE),0)+N(H29))</f>
        <v/>
      </c>
      <c r="J29" s="6">
        <f>IF(OR(E29="",N(G29)=0),"",IFERROR(IF(VLOOKUP(E29,MAESTRO!$A:$E,5,FALSE)="","",VLOOKUP(E29,MAESTRO!$A:$E,5,FALSE)&amp;" · "&amp;G29),""))</f>
        <v/>
      </c>
      <c r="K29" s="5" t="n"/>
    </row>
    <row r="30">
      <c r="A30" s="4" t="n"/>
      <c r="B30" s="5" t="n"/>
      <c r="C30" s="6">
        <f>IF(B30="","",IFERROR(VLOOKUP(B30,TIPOS!$A:$B,2,FALSE),""))</f>
        <v/>
      </c>
      <c r="D30" s="5" t="n"/>
      <c r="E30" s="5" t="n"/>
      <c r="F30" s="6">
        <f>IF(E30="","",IFERROR(VLOOKUP(E30,MAESTRO!$A:$B,2,FALSE),"NO ESTÁ EN EL MAESTRO"))</f>
        <v/>
      </c>
      <c r="G30" s="7" t="n"/>
      <c r="H30" s="7" t="n"/>
      <c r="I30" s="8">
        <f>IF(E30="","",IFERROR(G30*VLOOKUP(E30,MAESTRO!$A:$D,4,FALSE),0)+N(H30))</f>
        <v/>
      </c>
      <c r="J30" s="6">
        <f>IF(OR(E30="",N(G30)=0),"",IFERROR(IF(VLOOKUP(E30,MAESTRO!$A:$E,5,FALSE)="","",VLOOKUP(E30,MAESTRO!$A:$E,5,FALSE)&amp;" · "&amp;G30),""))</f>
        <v/>
      </c>
      <c r="K30" s="5" t="n"/>
    </row>
    <row r="31">
      <c r="A31" s="4" t="n"/>
      <c r="B31" s="5" t="n"/>
      <c r="C31" s="6">
        <f>IF(B31="","",IFERROR(VLOOKUP(B31,TIPOS!$A:$B,2,FALSE),""))</f>
        <v/>
      </c>
      <c r="D31" s="5" t="n"/>
      <c r="E31" s="5" t="n"/>
      <c r="F31" s="6">
        <f>IF(E31="","",IFERROR(VLOOKUP(E31,MAESTRO!$A:$B,2,FALSE),"NO ESTÁ EN EL MAESTRO"))</f>
        <v/>
      </c>
      <c r="G31" s="7" t="n"/>
      <c r="H31" s="7" t="n"/>
      <c r="I31" s="8">
        <f>IF(E31="","",IFERROR(G31*VLOOKUP(E31,MAESTRO!$A:$D,4,FALSE),0)+N(H31))</f>
        <v/>
      </c>
      <c r="J31" s="6">
        <f>IF(OR(E31="",N(G31)=0),"",IFERROR(IF(VLOOKUP(E31,MAESTRO!$A:$E,5,FALSE)="","",VLOOKUP(E31,MAESTRO!$A:$E,5,FALSE)&amp;" · "&amp;G31),""))</f>
        <v/>
      </c>
      <c r="K31" s="5" t="n"/>
    </row>
    <row r="32">
      <c r="A32" s="4" t="n"/>
      <c r="B32" s="5" t="n"/>
      <c r="C32" s="6">
        <f>IF(B32="","",IFERROR(VLOOKUP(B32,TIPOS!$A:$B,2,FALSE),""))</f>
        <v/>
      </c>
      <c r="D32" s="5" t="n"/>
      <c r="E32" s="5" t="n"/>
      <c r="F32" s="6">
        <f>IF(E32="","",IFERROR(VLOOKUP(E32,MAESTRO!$A:$B,2,FALSE),"NO ESTÁ EN EL MAESTRO"))</f>
        <v/>
      </c>
      <c r="G32" s="7" t="n"/>
      <c r="H32" s="7" t="n"/>
      <c r="I32" s="8">
        <f>IF(E32="","",IFERROR(G32*VLOOKUP(E32,MAESTRO!$A:$D,4,FALSE),0)+N(H32))</f>
        <v/>
      </c>
      <c r="J32" s="6">
        <f>IF(OR(E32="",N(G32)=0),"",IFERROR(IF(VLOOKUP(E32,MAESTRO!$A:$E,5,FALSE)="","",VLOOKUP(E32,MAESTRO!$A:$E,5,FALSE)&amp;" · "&amp;G32),""))</f>
        <v/>
      </c>
      <c r="K32" s="5" t="n"/>
    </row>
    <row r="33">
      <c r="A33" s="4" t="n"/>
      <c r="B33" s="5" t="n"/>
      <c r="C33" s="6">
        <f>IF(B33="","",IFERROR(VLOOKUP(B33,TIPOS!$A:$B,2,FALSE),""))</f>
        <v/>
      </c>
      <c r="D33" s="5" t="n"/>
      <c r="E33" s="5" t="n"/>
      <c r="F33" s="6">
        <f>IF(E33="","",IFERROR(VLOOKUP(E33,MAESTRO!$A:$B,2,FALSE),"NO ESTÁ EN EL MAESTRO"))</f>
        <v/>
      </c>
      <c r="G33" s="7" t="n"/>
      <c r="H33" s="7" t="n"/>
      <c r="I33" s="8">
        <f>IF(E33="","",IFERROR(G33*VLOOKUP(E33,MAESTRO!$A:$D,4,FALSE),0)+N(H33))</f>
        <v/>
      </c>
      <c r="J33" s="6">
        <f>IF(OR(E33="",N(G33)=0),"",IFERROR(IF(VLOOKUP(E33,MAESTRO!$A:$E,5,FALSE)="","",VLOOKUP(E33,MAESTRO!$A:$E,5,FALSE)&amp;" · "&amp;G33),""))</f>
        <v/>
      </c>
      <c r="K33" s="5" t="n"/>
    </row>
    <row r="34">
      <c r="A34" s="4" t="n"/>
      <c r="B34" s="5" t="n"/>
      <c r="C34" s="6">
        <f>IF(B34="","",IFERROR(VLOOKUP(B34,TIPOS!$A:$B,2,FALSE),""))</f>
        <v/>
      </c>
      <c r="D34" s="5" t="n"/>
      <c r="E34" s="5" t="n"/>
      <c r="F34" s="6">
        <f>IF(E34="","",IFERROR(VLOOKUP(E34,MAESTRO!$A:$B,2,FALSE),"NO ESTÁ EN EL MAESTRO"))</f>
        <v/>
      </c>
      <c r="G34" s="7" t="n"/>
      <c r="H34" s="7" t="n"/>
      <c r="I34" s="8">
        <f>IF(E34="","",IFERROR(G34*VLOOKUP(E34,MAESTRO!$A:$D,4,FALSE),0)+N(H34))</f>
        <v/>
      </c>
      <c r="J34" s="6">
        <f>IF(OR(E34="",N(G34)=0),"",IFERROR(IF(VLOOKUP(E34,MAESTRO!$A:$E,5,FALSE)="","",VLOOKUP(E34,MAESTRO!$A:$E,5,FALSE)&amp;" · "&amp;G34),""))</f>
        <v/>
      </c>
      <c r="K34" s="5" t="n"/>
    </row>
    <row r="35">
      <c r="A35" s="4" t="n"/>
      <c r="B35" s="5" t="n"/>
      <c r="C35" s="6">
        <f>IF(B35="","",IFERROR(VLOOKUP(B35,TIPOS!$A:$B,2,FALSE),""))</f>
        <v/>
      </c>
      <c r="D35" s="5" t="n"/>
      <c r="E35" s="5" t="n"/>
      <c r="F35" s="6">
        <f>IF(E35="","",IFERROR(VLOOKUP(E35,MAESTRO!$A:$B,2,FALSE),"NO ESTÁ EN EL MAESTRO"))</f>
        <v/>
      </c>
      <c r="G35" s="7" t="n"/>
      <c r="H35" s="7" t="n"/>
      <c r="I35" s="8">
        <f>IF(E35="","",IFERROR(G35*VLOOKUP(E35,MAESTRO!$A:$D,4,FALSE),0)+N(H35))</f>
        <v/>
      </c>
      <c r="J35" s="6">
        <f>IF(OR(E35="",N(G35)=0),"",IFERROR(IF(VLOOKUP(E35,MAESTRO!$A:$E,5,FALSE)="","",VLOOKUP(E35,MAESTRO!$A:$E,5,FALSE)&amp;" · "&amp;G35),""))</f>
        <v/>
      </c>
      <c r="K35" s="5" t="n"/>
    </row>
    <row r="36">
      <c r="A36" s="4" t="n"/>
      <c r="B36" s="5" t="n"/>
      <c r="C36" s="6">
        <f>IF(B36="","",IFERROR(VLOOKUP(B36,TIPOS!$A:$B,2,FALSE),""))</f>
        <v/>
      </c>
      <c r="D36" s="5" t="n"/>
      <c r="E36" s="5" t="n"/>
      <c r="F36" s="6">
        <f>IF(E36="","",IFERROR(VLOOKUP(E36,MAESTRO!$A:$B,2,FALSE),"NO ESTÁ EN EL MAESTRO"))</f>
        <v/>
      </c>
      <c r="G36" s="7" t="n"/>
      <c r="H36" s="7" t="n"/>
      <c r="I36" s="8">
        <f>IF(E36="","",IFERROR(G36*VLOOKUP(E36,MAESTRO!$A:$D,4,FALSE),0)+N(H36))</f>
        <v/>
      </c>
      <c r="J36" s="6">
        <f>IF(OR(E36="",N(G36)=0),"",IFERROR(IF(VLOOKUP(E36,MAESTRO!$A:$E,5,FALSE)="","",VLOOKUP(E36,MAESTRO!$A:$E,5,FALSE)&amp;" · "&amp;G36),""))</f>
        <v/>
      </c>
      <c r="K36" s="5" t="n"/>
    </row>
    <row r="37">
      <c r="A37" s="4" t="n"/>
      <c r="B37" s="5" t="n"/>
      <c r="C37" s="6">
        <f>IF(B37="","",IFERROR(VLOOKUP(B37,TIPOS!$A:$B,2,FALSE),""))</f>
        <v/>
      </c>
      <c r="D37" s="5" t="n"/>
      <c r="E37" s="5" t="n"/>
      <c r="F37" s="6">
        <f>IF(E37="","",IFERROR(VLOOKUP(E37,MAESTRO!$A:$B,2,FALSE),"NO ESTÁ EN EL MAESTRO"))</f>
        <v/>
      </c>
      <c r="G37" s="7" t="n"/>
      <c r="H37" s="7" t="n"/>
      <c r="I37" s="8">
        <f>IF(E37="","",IFERROR(G37*VLOOKUP(E37,MAESTRO!$A:$D,4,FALSE),0)+N(H37))</f>
        <v/>
      </c>
      <c r="J37" s="6">
        <f>IF(OR(E37="",N(G37)=0),"",IFERROR(IF(VLOOKUP(E37,MAESTRO!$A:$E,5,FALSE)="","",VLOOKUP(E37,MAESTRO!$A:$E,5,FALSE)&amp;" · "&amp;G37),""))</f>
        <v/>
      </c>
      <c r="K37" s="5" t="n"/>
    </row>
    <row r="38">
      <c r="A38" s="4" t="n"/>
      <c r="B38" s="5" t="n"/>
      <c r="C38" s="6">
        <f>IF(B38="","",IFERROR(VLOOKUP(B38,TIPOS!$A:$B,2,FALSE),""))</f>
        <v/>
      </c>
      <c r="D38" s="5" t="n"/>
      <c r="E38" s="5" t="n"/>
      <c r="F38" s="6">
        <f>IF(E38="","",IFERROR(VLOOKUP(E38,MAESTRO!$A:$B,2,FALSE),"NO ESTÁ EN EL MAESTRO"))</f>
        <v/>
      </c>
      <c r="G38" s="7" t="n"/>
      <c r="H38" s="7" t="n"/>
      <c r="I38" s="8">
        <f>IF(E38="","",IFERROR(G38*VLOOKUP(E38,MAESTRO!$A:$D,4,FALSE),0)+N(H38))</f>
        <v/>
      </c>
      <c r="J38" s="6">
        <f>IF(OR(E38="",N(G38)=0),"",IFERROR(IF(VLOOKUP(E38,MAESTRO!$A:$E,5,FALSE)="","",VLOOKUP(E38,MAESTRO!$A:$E,5,FALSE)&amp;" · "&amp;G38),""))</f>
        <v/>
      </c>
      <c r="K38" s="5" t="n"/>
    </row>
    <row r="39">
      <c r="A39" s="4" t="n"/>
      <c r="B39" s="5" t="n"/>
      <c r="C39" s="6">
        <f>IF(B39="","",IFERROR(VLOOKUP(B39,TIPOS!$A:$B,2,FALSE),""))</f>
        <v/>
      </c>
      <c r="D39" s="5" t="n"/>
      <c r="E39" s="5" t="n"/>
      <c r="F39" s="6">
        <f>IF(E39="","",IFERROR(VLOOKUP(E39,MAESTRO!$A:$B,2,FALSE),"NO ESTÁ EN EL MAESTRO"))</f>
        <v/>
      </c>
      <c r="G39" s="7" t="n"/>
      <c r="H39" s="7" t="n"/>
      <c r="I39" s="8">
        <f>IF(E39="","",IFERROR(G39*VLOOKUP(E39,MAESTRO!$A:$D,4,FALSE),0)+N(H39))</f>
        <v/>
      </c>
      <c r="J39" s="6">
        <f>IF(OR(E39="",N(G39)=0),"",IFERROR(IF(VLOOKUP(E39,MAESTRO!$A:$E,5,FALSE)="","",VLOOKUP(E39,MAESTRO!$A:$E,5,FALSE)&amp;" · "&amp;G39),""))</f>
        <v/>
      </c>
      <c r="K39" s="5" t="n"/>
    </row>
    <row r="40">
      <c r="A40" s="4" t="n"/>
      <c r="B40" s="5" t="n"/>
      <c r="C40" s="6">
        <f>IF(B40="","",IFERROR(VLOOKUP(B40,TIPOS!$A:$B,2,FALSE),""))</f>
        <v/>
      </c>
      <c r="D40" s="5" t="n"/>
      <c r="E40" s="5" t="n"/>
      <c r="F40" s="6">
        <f>IF(E40="","",IFERROR(VLOOKUP(E40,MAESTRO!$A:$B,2,FALSE),"NO ESTÁ EN EL MAESTRO"))</f>
        <v/>
      </c>
      <c r="G40" s="7" t="n"/>
      <c r="H40" s="7" t="n"/>
      <c r="I40" s="8">
        <f>IF(E40="","",IFERROR(G40*VLOOKUP(E40,MAESTRO!$A:$D,4,FALSE),0)+N(H40))</f>
        <v/>
      </c>
      <c r="J40" s="6">
        <f>IF(OR(E40="",N(G40)=0),"",IFERROR(IF(VLOOKUP(E40,MAESTRO!$A:$E,5,FALSE)="","",VLOOKUP(E40,MAESTRO!$A:$E,5,FALSE)&amp;" · "&amp;G40),""))</f>
        <v/>
      </c>
      <c r="K40" s="5" t="n"/>
    </row>
    <row r="41">
      <c r="A41" s="4" t="n"/>
      <c r="B41" s="5" t="n"/>
      <c r="C41" s="6">
        <f>IF(B41="","",IFERROR(VLOOKUP(B41,TIPOS!$A:$B,2,FALSE),""))</f>
        <v/>
      </c>
      <c r="D41" s="5" t="n"/>
      <c r="E41" s="5" t="n"/>
      <c r="F41" s="6">
        <f>IF(E41="","",IFERROR(VLOOKUP(E41,MAESTRO!$A:$B,2,FALSE),"NO ESTÁ EN EL MAESTRO"))</f>
        <v/>
      </c>
      <c r="G41" s="7" t="n"/>
      <c r="H41" s="7" t="n"/>
      <c r="I41" s="8">
        <f>IF(E41="","",IFERROR(G41*VLOOKUP(E41,MAESTRO!$A:$D,4,FALSE),0)+N(H41))</f>
        <v/>
      </c>
      <c r="J41" s="6">
        <f>IF(OR(E41="",N(G41)=0),"",IFERROR(IF(VLOOKUP(E41,MAESTRO!$A:$E,5,FALSE)="","",VLOOKUP(E41,MAESTRO!$A:$E,5,FALSE)&amp;" · "&amp;G41),""))</f>
        <v/>
      </c>
      <c r="K41" s="5" t="n"/>
    </row>
    <row r="42">
      <c r="A42" s="4" t="n"/>
      <c r="B42" s="5" t="n"/>
      <c r="C42" s="6">
        <f>IF(B42="","",IFERROR(VLOOKUP(B42,TIPOS!$A:$B,2,FALSE),""))</f>
        <v/>
      </c>
      <c r="D42" s="5" t="n"/>
      <c r="E42" s="5" t="n"/>
      <c r="F42" s="6">
        <f>IF(E42="","",IFERROR(VLOOKUP(E42,MAESTRO!$A:$B,2,FALSE),"NO ESTÁ EN EL MAESTRO"))</f>
        <v/>
      </c>
      <c r="G42" s="7" t="n"/>
      <c r="H42" s="7" t="n"/>
      <c r="I42" s="8">
        <f>IF(E42="","",IFERROR(G42*VLOOKUP(E42,MAESTRO!$A:$D,4,FALSE),0)+N(H42))</f>
        <v/>
      </c>
      <c r="J42" s="6">
        <f>IF(OR(E42="",N(G42)=0),"",IFERROR(IF(VLOOKUP(E42,MAESTRO!$A:$E,5,FALSE)="","",VLOOKUP(E42,MAESTRO!$A:$E,5,FALSE)&amp;" · "&amp;G42),""))</f>
        <v/>
      </c>
      <c r="K42" s="5" t="n"/>
    </row>
    <row r="43">
      <c r="A43" s="4" t="n"/>
      <c r="B43" s="5" t="n"/>
      <c r="C43" s="6">
        <f>IF(B43="","",IFERROR(VLOOKUP(B43,TIPOS!$A:$B,2,FALSE),""))</f>
        <v/>
      </c>
      <c r="D43" s="5" t="n"/>
      <c r="E43" s="5" t="n"/>
      <c r="F43" s="6">
        <f>IF(E43="","",IFERROR(VLOOKUP(E43,MAESTRO!$A:$B,2,FALSE),"NO ESTÁ EN EL MAESTRO"))</f>
        <v/>
      </c>
      <c r="G43" s="7" t="n"/>
      <c r="H43" s="7" t="n"/>
      <c r="I43" s="8">
        <f>IF(E43="","",IFERROR(G43*VLOOKUP(E43,MAESTRO!$A:$D,4,FALSE),0)+N(H43))</f>
        <v/>
      </c>
      <c r="J43" s="6">
        <f>IF(OR(E43="",N(G43)=0),"",IFERROR(IF(VLOOKUP(E43,MAESTRO!$A:$E,5,FALSE)="","",VLOOKUP(E43,MAESTRO!$A:$E,5,FALSE)&amp;" · "&amp;G43),""))</f>
        <v/>
      </c>
      <c r="K43" s="5" t="n"/>
    </row>
    <row r="44">
      <c r="A44" s="4" t="n"/>
      <c r="B44" s="5" t="n"/>
      <c r="C44" s="6">
        <f>IF(B44="","",IFERROR(VLOOKUP(B44,TIPOS!$A:$B,2,FALSE),""))</f>
        <v/>
      </c>
      <c r="D44" s="5" t="n"/>
      <c r="E44" s="5" t="n"/>
      <c r="F44" s="6">
        <f>IF(E44="","",IFERROR(VLOOKUP(E44,MAESTRO!$A:$B,2,FALSE),"NO ESTÁ EN EL MAESTRO"))</f>
        <v/>
      </c>
      <c r="G44" s="7" t="n"/>
      <c r="H44" s="7" t="n"/>
      <c r="I44" s="8">
        <f>IF(E44="","",IFERROR(G44*VLOOKUP(E44,MAESTRO!$A:$D,4,FALSE),0)+N(H44))</f>
        <v/>
      </c>
      <c r="J44" s="6">
        <f>IF(OR(E44="",N(G44)=0),"",IFERROR(IF(VLOOKUP(E44,MAESTRO!$A:$E,5,FALSE)="","",VLOOKUP(E44,MAESTRO!$A:$E,5,FALSE)&amp;" · "&amp;G44),""))</f>
        <v/>
      </c>
      <c r="K44" s="5" t="n"/>
    </row>
    <row r="45">
      <c r="A45" s="4" t="n"/>
      <c r="B45" s="5" t="n"/>
      <c r="C45" s="6">
        <f>IF(B45="","",IFERROR(VLOOKUP(B45,TIPOS!$A:$B,2,FALSE),""))</f>
        <v/>
      </c>
      <c r="D45" s="5" t="n"/>
      <c r="E45" s="5" t="n"/>
      <c r="F45" s="6">
        <f>IF(E45="","",IFERROR(VLOOKUP(E45,MAESTRO!$A:$B,2,FALSE),"NO ESTÁ EN EL MAESTRO"))</f>
        <v/>
      </c>
      <c r="G45" s="7" t="n"/>
      <c r="H45" s="7" t="n"/>
      <c r="I45" s="8">
        <f>IF(E45="","",IFERROR(G45*VLOOKUP(E45,MAESTRO!$A:$D,4,FALSE),0)+N(H45))</f>
        <v/>
      </c>
      <c r="J45" s="6">
        <f>IF(OR(E45="",N(G45)=0),"",IFERROR(IF(VLOOKUP(E45,MAESTRO!$A:$E,5,FALSE)="","",VLOOKUP(E45,MAESTRO!$A:$E,5,FALSE)&amp;" · "&amp;G45),""))</f>
        <v/>
      </c>
      <c r="K45" s="5" t="n"/>
    </row>
    <row r="46">
      <c r="A46" s="4" t="n"/>
      <c r="B46" s="5" t="n"/>
      <c r="C46" s="6">
        <f>IF(B46="","",IFERROR(VLOOKUP(B46,TIPOS!$A:$B,2,FALSE),""))</f>
        <v/>
      </c>
      <c r="D46" s="5" t="n"/>
      <c r="E46" s="5" t="n"/>
      <c r="F46" s="6">
        <f>IF(E46="","",IFERROR(VLOOKUP(E46,MAESTRO!$A:$B,2,FALSE),"NO ESTÁ EN EL MAESTRO"))</f>
        <v/>
      </c>
      <c r="G46" s="7" t="n"/>
      <c r="H46" s="7" t="n"/>
      <c r="I46" s="8">
        <f>IF(E46="","",IFERROR(G46*VLOOKUP(E46,MAESTRO!$A:$D,4,FALSE),0)+N(H46))</f>
        <v/>
      </c>
      <c r="J46" s="6">
        <f>IF(OR(E46="",N(G46)=0),"",IFERROR(IF(VLOOKUP(E46,MAESTRO!$A:$E,5,FALSE)="","",VLOOKUP(E46,MAESTRO!$A:$E,5,FALSE)&amp;" · "&amp;G46),""))</f>
        <v/>
      </c>
      <c r="K46" s="5" t="n"/>
    </row>
    <row r="47">
      <c r="A47" s="4" t="n"/>
      <c r="B47" s="5" t="n"/>
      <c r="C47" s="6">
        <f>IF(B47="","",IFERROR(VLOOKUP(B47,TIPOS!$A:$B,2,FALSE),""))</f>
        <v/>
      </c>
      <c r="D47" s="5" t="n"/>
      <c r="E47" s="5" t="n"/>
      <c r="F47" s="6">
        <f>IF(E47="","",IFERROR(VLOOKUP(E47,MAESTRO!$A:$B,2,FALSE),"NO ESTÁ EN EL MAESTRO"))</f>
        <v/>
      </c>
      <c r="G47" s="7" t="n"/>
      <c r="H47" s="7" t="n"/>
      <c r="I47" s="8">
        <f>IF(E47="","",IFERROR(G47*VLOOKUP(E47,MAESTRO!$A:$D,4,FALSE),0)+N(H47))</f>
        <v/>
      </c>
      <c r="J47" s="6">
        <f>IF(OR(E47="",N(G47)=0),"",IFERROR(IF(VLOOKUP(E47,MAESTRO!$A:$E,5,FALSE)="","",VLOOKUP(E47,MAESTRO!$A:$E,5,FALSE)&amp;" · "&amp;G47),""))</f>
        <v/>
      </c>
      <c r="K47" s="5" t="n"/>
    </row>
    <row r="48">
      <c r="A48" s="4" t="n"/>
      <c r="B48" s="5" t="n"/>
      <c r="C48" s="6">
        <f>IF(B48="","",IFERROR(VLOOKUP(B48,TIPOS!$A:$B,2,FALSE),""))</f>
        <v/>
      </c>
      <c r="D48" s="5" t="n"/>
      <c r="E48" s="5" t="n"/>
      <c r="F48" s="6">
        <f>IF(E48="","",IFERROR(VLOOKUP(E48,MAESTRO!$A:$B,2,FALSE),"NO ESTÁ EN EL MAESTRO"))</f>
        <v/>
      </c>
      <c r="G48" s="7" t="n"/>
      <c r="H48" s="7" t="n"/>
      <c r="I48" s="8">
        <f>IF(E48="","",IFERROR(G48*VLOOKUP(E48,MAESTRO!$A:$D,4,FALSE),0)+N(H48))</f>
        <v/>
      </c>
      <c r="J48" s="6">
        <f>IF(OR(E48="",N(G48)=0),"",IFERROR(IF(VLOOKUP(E48,MAESTRO!$A:$E,5,FALSE)="","",VLOOKUP(E48,MAESTRO!$A:$E,5,FALSE)&amp;" · "&amp;G48),""))</f>
        <v/>
      </c>
      <c r="K48" s="5" t="n"/>
    </row>
    <row r="49">
      <c r="A49" s="4" t="n"/>
      <c r="B49" s="5" t="n"/>
      <c r="C49" s="6">
        <f>IF(B49="","",IFERROR(VLOOKUP(B49,TIPOS!$A:$B,2,FALSE),""))</f>
        <v/>
      </c>
      <c r="D49" s="5" t="n"/>
      <c r="E49" s="5" t="n"/>
      <c r="F49" s="6">
        <f>IF(E49="","",IFERROR(VLOOKUP(E49,MAESTRO!$A:$B,2,FALSE),"NO ESTÁ EN EL MAESTRO"))</f>
        <v/>
      </c>
      <c r="G49" s="7" t="n"/>
      <c r="H49" s="7" t="n"/>
      <c r="I49" s="8">
        <f>IF(E49="","",IFERROR(G49*VLOOKUP(E49,MAESTRO!$A:$D,4,FALSE),0)+N(H49))</f>
        <v/>
      </c>
      <c r="J49" s="6">
        <f>IF(OR(E49="",N(G49)=0),"",IFERROR(IF(VLOOKUP(E49,MAESTRO!$A:$E,5,FALSE)="","",VLOOKUP(E49,MAESTRO!$A:$E,5,FALSE)&amp;" · "&amp;G49),""))</f>
        <v/>
      </c>
      <c r="K49" s="5" t="n"/>
    </row>
    <row r="50">
      <c r="A50" s="4" t="n"/>
      <c r="B50" s="5" t="n"/>
      <c r="C50" s="6">
        <f>IF(B50="","",IFERROR(VLOOKUP(B50,TIPOS!$A:$B,2,FALSE),""))</f>
        <v/>
      </c>
      <c r="D50" s="5" t="n"/>
      <c r="E50" s="5" t="n"/>
      <c r="F50" s="6">
        <f>IF(E50="","",IFERROR(VLOOKUP(E50,MAESTRO!$A:$B,2,FALSE),"NO ESTÁ EN EL MAESTRO"))</f>
        <v/>
      </c>
      <c r="G50" s="7" t="n"/>
      <c r="H50" s="7" t="n"/>
      <c r="I50" s="8">
        <f>IF(E50="","",IFERROR(G50*VLOOKUP(E50,MAESTRO!$A:$D,4,FALSE),0)+N(H50))</f>
        <v/>
      </c>
      <c r="J50" s="6">
        <f>IF(OR(E50="",N(G50)=0),"",IFERROR(IF(VLOOKUP(E50,MAESTRO!$A:$E,5,FALSE)="","",VLOOKUP(E50,MAESTRO!$A:$E,5,FALSE)&amp;" · "&amp;G50),""))</f>
        <v/>
      </c>
      <c r="K50" s="5" t="n"/>
    </row>
    <row r="51">
      <c r="A51" s="4" t="n"/>
      <c r="B51" s="5" t="n"/>
      <c r="C51" s="6">
        <f>IF(B51="","",IFERROR(VLOOKUP(B51,TIPOS!$A:$B,2,FALSE),""))</f>
        <v/>
      </c>
      <c r="D51" s="5" t="n"/>
      <c r="E51" s="5" t="n"/>
      <c r="F51" s="6">
        <f>IF(E51="","",IFERROR(VLOOKUP(E51,MAESTRO!$A:$B,2,FALSE),"NO ESTÁ EN EL MAESTRO"))</f>
        <v/>
      </c>
      <c r="G51" s="7" t="n"/>
      <c r="H51" s="7" t="n"/>
      <c r="I51" s="8">
        <f>IF(E51="","",IFERROR(G51*VLOOKUP(E51,MAESTRO!$A:$D,4,FALSE),0)+N(H51))</f>
        <v/>
      </c>
      <c r="J51" s="6">
        <f>IF(OR(E51="",N(G51)=0),"",IFERROR(IF(VLOOKUP(E51,MAESTRO!$A:$E,5,FALSE)="","",VLOOKUP(E51,MAESTRO!$A:$E,5,FALSE)&amp;" · "&amp;G51),""))</f>
        <v/>
      </c>
      <c r="K51" s="5" t="n"/>
    </row>
    <row r="52">
      <c r="A52" s="4" t="n"/>
      <c r="B52" s="5" t="n"/>
      <c r="C52" s="6">
        <f>IF(B52="","",IFERROR(VLOOKUP(B52,TIPOS!$A:$B,2,FALSE),""))</f>
        <v/>
      </c>
      <c r="D52" s="5" t="n"/>
      <c r="E52" s="5" t="n"/>
      <c r="F52" s="6">
        <f>IF(E52="","",IFERROR(VLOOKUP(E52,MAESTRO!$A:$B,2,FALSE),"NO ESTÁ EN EL MAESTRO"))</f>
        <v/>
      </c>
      <c r="G52" s="7" t="n"/>
      <c r="H52" s="7" t="n"/>
      <c r="I52" s="8">
        <f>IF(E52="","",IFERROR(G52*VLOOKUP(E52,MAESTRO!$A:$D,4,FALSE),0)+N(H52))</f>
        <v/>
      </c>
      <c r="J52" s="6">
        <f>IF(OR(E52="",N(G52)=0),"",IFERROR(IF(VLOOKUP(E52,MAESTRO!$A:$E,5,FALSE)="","",VLOOKUP(E52,MAESTRO!$A:$E,5,FALSE)&amp;" · "&amp;G52),""))</f>
        <v/>
      </c>
      <c r="K52" s="5" t="n"/>
    </row>
    <row r="53">
      <c r="A53" s="4" t="n"/>
      <c r="B53" s="5" t="n"/>
      <c r="C53" s="6">
        <f>IF(B53="","",IFERROR(VLOOKUP(B53,TIPOS!$A:$B,2,FALSE),""))</f>
        <v/>
      </c>
      <c r="D53" s="5" t="n"/>
      <c r="E53" s="5" t="n"/>
      <c r="F53" s="6">
        <f>IF(E53="","",IFERROR(VLOOKUP(E53,MAESTRO!$A:$B,2,FALSE),"NO ESTÁ EN EL MAESTRO"))</f>
        <v/>
      </c>
      <c r="G53" s="7" t="n"/>
      <c r="H53" s="7" t="n"/>
      <c r="I53" s="8">
        <f>IF(E53="","",IFERROR(G53*VLOOKUP(E53,MAESTRO!$A:$D,4,FALSE),0)+N(H53))</f>
        <v/>
      </c>
      <c r="J53" s="6">
        <f>IF(OR(E53="",N(G53)=0),"",IFERROR(IF(VLOOKUP(E53,MAESTRO!$A:$E,5,FALSE)="","",VLOOKUP(E53,MAESTRO!$A:$E,5,FALSE)&amp;" · "&amp;G53),""))</f>
        <v/>
      </c>
      <c r="K53" s="5" t="n"/>
    </row>
    <row r="54">
      <c r="A54" s="4" t="n"/>
      <c r="B54" s="5" t="n"/>
      <c r="C54" s="6">
        <f>IF(B54="","",IFERROR(VLOOKUP(B54,TIPOS!$A:$B,2,FALSE),""))</f>
        <v/>
      </c>
      <c r="D54" s="5" t="n"/>
      <c r="E54" s="5" t="n"/>
      <c r="F54" s="6">
        <f>IF(E54="","",IFERROR(VLOOKUP(E54,MAESTRO!$A:$B,2,FALSE),"NO ESTÁ EN EL MAESTRO"))</f>
        <v/>
      </c>
      <c r="G54" s="7" t="n"/>
      <c r="H54" s="7" t="n"/>
      <c r="I54" s="8">
        <f>IF(E54="","",IFERROR(G54*VLOOKUP(E54,MAESTRO!$A:$D,4,FALSE),0)+N(H54))</f>
        <v/>
      </c>
      <c r="J54" s="6">
        <f>IF(OR(E54="",N(G54)=0),"",IFERROR(IF(VLOOKUP(E54,MAESTRO!$A:$E,5,FALSE)="","",VLOOKUP(E54,MAESTRO!$A:$E,5,FALSE)&amp;" · "&amp;G54),""))</f>
        <v/>
      </c>
      <c r="K54" s="5" t="n"/>
    </row>
    <row r="55">
      <c r="A55" s="4" t="n"/>
      <c r="B55" s="5" t="n"/>
      <c r="C55" s="6">
        <f>IF(B55="","",IFERROR(VLOOKUP(B55,TIPOS!$A:$B,2,FALSE),""))</f>
        <v/>
      </c>
      <c r="D55" s="5" t="n"/>
      <c r="E55" s="5" t="n"/>
      <c r="F55" s="6">
        <f>IF(E55="","",IFERROR(VLOOKUP(E55,MAESTRO!$A:$B,2,FALSE),"NO ESTÁ EN EL MAESTRO"))</f>
        <v/>
      </c>
      <c r="G55" s="7" t="n"/>
      <c r="H55" s="7" t="n"/>
      <c r="I55" s="8">
        <f>IF(E55="","",IFERROR(G55*VLOOKUP(E55,MAESTRO!$A:$D,4,FALSE),0)+N(H55))</f>
        <v/>
      </c>
      <c r="J55" s="6">
        <f>IF(OR(E55="",N(G55)=0),"",IFERROR(IF(VLOOKUP(E55,MAESTRO!$A:$E,5,FALSE)="","",VLOOKUP(E55,MAESTRO!$A:$E,5,FALSE)&amp;" · "&amp;G55),""))</f>
        <v/>
      </c>
      <c r="K55" s="5" t="n"/>
    </row>
    <row r="56">
      <c r="A56" s="4" t="n"/>
      <c r="B56" s="5" t="n"/>
      <c r="C56" s="6">
        <f>IF(B56="","",IFERROR(VLOOKUP(B56,TIPOS!$A:$B,2,FALSE),""))</f>
        <v/>
      </c>
      <c r="D56" s="5" t="n"/>
      <c r="E56" s="5" t="n"/>
      <c r="F56" s="6">
        <f>IF(E56="","",IFERROR(VLOOKUP(E56,MAESTRO!$A:$B,2,FALSE),"NO ESTÁ EN EL MAESTRO"))</f>
        <v/>
      </c>
      <c r="G56" s="7" t="n"/>
      <c r="H56" s="7" t="n"/>
      <c r="I56" s="8">
        <f>IF(E56="","",IFERROR(G56*VLOOKUP(E56,MAESTRO!$A:$D,4,FALSE),0)+N(H56))</f>
        <v/>
      </c>
      <c r="J56" s="6">
        <f>IF(OR(E56="",N(G56)=0),"",IFERROR(IF(VLOOKUP(E56,MAESTRO!$A:$E,5,FALSE)="","",VLOOKUP(E56,MAESTRO!$A:$E,5,FALSE)&amp;" · "&amp;G56),""))</f>
        <v/>
      </c>
      <c r="K56" s="5" t="n"/>
    </row>
    <row r="57">
      <c r="A57" s="4" t="n"/>
      <c r="B57" s="5" t="n"/>
      <c r="C57" s="6">
        <f>IF(B57="","",IFERROR(VLOOKUP(B57,TIPOS!$A:$B,2,FALSE),""))</f>
        <v/>
      </c>
      <c r="D57" s="5" t="n"/>
      <c r="E57" s="5" t="n"/>
      <c r="F57" s="6">
        <f>IF(E57="","",IFERROR(VLOOKUP(E57,MAESTRO!$A:$B,2,FALSE),"NO ESTÁ EN EL MAESTRO"))</f>
        <v/>
      </c>
      <c r="G57" s="7" t="n"/>
      <c r="H57" s="7" t="n"/>
      <c r="I57" s="8">
        <f>IF(E57="","",IFERROR(G57*VLOOKUP(E57,MAESTRO!$A:$D,4,FALSE),0)+N(H57))</f>
        <v/>
      </c>
      <c r="J57" s="6">
        <f>IF(OR(E57="",N(G57)=0),"",IFERROR(IF(VLOOKUP(E57,MAESTRO!$A:$E,5,FALSE)="","",VLOOKUP(E57,MAESTRO!$A:$E,5,FALSE)&amp;" · "&amp;G57),""))</f>
        <v/>
      </c>
      <c r="K57" s="5" t="n"/>
    </row>
    <row r="58">
      <c r="A58" s="4" t="n"/>
      <c r="B58" s="5" t="n"/>
      <c r="C58" s="6">
        <f>IF(B58="","",IFERROR(VLOOKUP(B58,TIPOS!$A:$B,2,FALSE),""))</f>
        <v/>
      </c>
      <c r="D58" s="5" t="n"/>
      <c r="E58" s="5" t="n"/>
      <c r="F58" s="6">
        <f>IF(E58="","",IFERROR(VLOOKUP(E58,MAESTRO!$A:$B,2,FALSE),"NO ESTÁ EN EL MAESTRO"))</f>
        <v/>
      </c>
      <c r="G58" s="7" t="n"/>
      <c r="H58" s="7" t="n"/>
      <c r="I58" s="8">
        <f>IF(E58="","",IFERROR(G58*VLOOKUP(E58,MAESTRO!$A:$D,4,FALSE),0)+N(H58))</f>
        <v/>
      </c>
      <c r="J58" s="6">
        <f>IF(OR(E58="",N(G58)=0),"",IFERROR(IF(VLOOKUP(E58,MAESTRO!$A:$E,5,FALSE)="","",VLOOKUP(E58,MAESTRO!$A:$E,5,FALSE)&amp;" · "&amp;G58),""))</f>
        <v/>
      </c>
      <c r="K58" s="5" t="n"/>
    </row>
    <row r="59">
      <c r="A59" s="4" t="n"/>
      <c r="B59" s="5" t="n"/>
      <c r="C59" s="6">
        <f>IF(B59="","",IFERROR(VLOOKUP(B59,TIPOS!$A:$B,2,FALSE),""))</f>
        <v/>
      </c>
      <c r="D59" s="5" t="n"/>
      <c r="E59" s="5" t="n"/>
      <c r="F59" s="6">
        <f>IF(E59="","",IFERROR(VLOOKUP(E59,MAESTRO!$A:$B,2,FALSE),"NO ESTÁ EN EL MAESTRO"))</f>
        <v/>
      </c>
      <c r="G59" s="7" t="n"/>
      <c r="H59" s="7" t="n"/>
      <c r="I59" s="8">
        <f>IF(E59="","",IFERROR(G59*VLOOKUP(E59,MAESTRO!$A:$D,4,FALSE),0)+N(H59))</f>
        <v/>
      </c>
      <c r="J59" s="6">
        <f>IF(OR(E59="",N(G59)=0),"",IFERROR(IF(VLOOKUP(E59,MAESTRO!$A:$E,5,FALSE)="","",VLOOKUP(E59,MAESTRO!$A:$E,5,FALSE)&amp;" · "&amp;G59),""))</f>
        <v/>
      </c>
      <c r="K59" s="5" t="n"/>
    </row>
    <row r="60">
      <c r="A60" s="4" t="n"/>
      <c r="B60" s="5" t="n"/>
      <c r="C60" s="6">
        <f>IF(B60="","",IFERROR(VLOOKUP(B60,TIPOS!$A:$B,2,FALSE),""))</f>
        <v/>
      </c>
      <c r="D60" s="5" t="n"/>
      <c r="E60" s="5" t="n"/>
      <c r="F60" s="6">
        <f>IF(E60="","",IFERROR(VLOOKUP(E60,MAESTRO!$A:$B,2,FALSE),"NO ESTÁ EN EL MAESTRO"))</f>
        <v/>
      </c>
      <c r="G60" s="7" t="n"/>
      <c r="H60" s="7" t="n"/>
      <c r="I60" s="8">
        <f>IF(E60="","",IFERROR(G60*VLOOKUP(E60,MAESTRO!$A:$D,4,FALSE),0)+N(H60))</f>
        <v/>
      </c>
      <c r="J60" s="6">
        <f>IF(OR(E60="",N(G60)=0),"",IFERROR(IF(VLOOKUP(E60,MAESTRO!$A:$E,5,FALSE)="","",VLOOKUP(E60,MAESTRO!$A:$E,5,FALSE)&amp;" · "&amp;G60),""))</f>
        <v/>
      </c>
      <c r="K60" s="5" t="n"/>
    </row>
    <row r="61">
      <c r="A61" s="4" t="n"/>
      <c r="B61" s="5" t="n"/>
      <c r="C61" s="6">
        <f>IF(B61="","",IFERROR(VLOOKUP(B61,TIPOS!$A:$B,2,FALSE),""))</f>
        <v/>
      </c>
      <c r="D61" s="5" t="n"/>
      <c r="E61" s="5" t="n"/>
      <c r="F61" s="6">
        <f>IF(E61="","",IFERROR(VLOOKUP(E61,MAESTRO!$A:$B,2,FALSE),"NO ESTÁ EN EL MAESTRO"))</f>
        <v/>
      </c>
      <c r="G61" s="7" t="n"/>
      <c r="H61" s="7" t="n"/>
      <c r="I61" s="8">
        <f>IF(E61="","",IFERROR(G61*VLOOKUP(E61,MAESTRO!$A:$D,4,FALSE),0)+N(H61))</f>
        <v/>
      </c>
      <c r="J61" s="6">
        <f>IF(OR(E61="",N(G61)=0),"",IFERROR(IF(VLOOKUP(E61,MAESTRO!$A:$E,5,FALSE)="","",VLOOKUP(E61,MAESTRO!$A:$E,5,FALSE)&amp;" · "&amp;G61),""))</f>
        <v/>
      </c>
      <c r="K61" s="5" t="n"/>
    </row>
    <row r="62">
      <c r="A62" s="4" t="n"/>
      <c r="B62" s="5" t="n"/>
      <c r="C62" s="6">
        <f>IF(B62="","",IFERROR(VLOOKUP(B62,TIPOS!$A:$B,2,FALSE),""))</f>
        <v/>
      </c>
      <c r="D62" s="5" t="n"/>
      <c r="E62" s="5" t="n"/>
      <c r="F62" s="6">
        <f>IF(E62="","",IFERROR(VLOOKUP(E62,MAESTRO!$A:$B,2,FALSE),"NO ESTÁ EN EL MAESTRO"))</f>
        <v/>
      </c>
      <c r="G62" s="7" t="n"/>
      <c r="H62" s="7" t="n"/>
      <c r="I62" s="8">
        <f>IF(E62="","",IFERROR(G62*VLOOKUP(E62,MAESTRO!$A:$D,4,FALSE),0)+N(H62))</f>
        <v/>
      </c>
      <c r="J62" s="6">
        <f>IF(OR(E62="",N(G62)=0),"",IFERROR(IF(VLOOKUP(E62,MAESTRO!$A:$E,5,FALSE)="","",VLOOKUP(E62,MAESTRO!$A:$E,5,FALSE)&amp;" · "&amp;G62),""))</f>
        <v/>
      </c>
      <c r="K62" s="5" t="n"/>
    </row>
    <row r="63">
      <c r="A63" s="4" t="n"/>
      <c r="B63" s="5" t="n"/>
      <c r="C63" s="6">
        <f>IF(B63="","",IFERROR(VLOOKUP(B63,TIPOS!$A:$B,2,FALSE),""))</f>
        <v/>
      </c>
      <c r="D63" s="5" t="n"/>
      <c r="E63" s="5" t="n"/>
      <c r="F63" s="6">
        <f>IF(E63="","",IFERROR(VLOOKUP(E63,MAESTRO!$A:$B,2,FALSE),"NO ESTÁ EN EL MAESTRO"))</f>
        <v/>
      </c>
      <c r="G63" s="7" t="n"/>
      <c r="H63" s="7" t="n"/>
      <c r="I63" s="8">
        <f>IF(E63="","",IFERROR(G63*VLOOKUP(E63,MAESTRO!$A:$D,4,FALSE),0)+N(H63))</f>
        <v/>
      </c>
      <c r="J63" s="6">
        <f>IF(OR(E63="",N(G63)=0),"",IFERROR(IF(VLOOKUP(E63,MAESTRO!$A:$E,5,FALSE)="","",VLOOKUP(E63,MAESTRO!$A:$E,5,FALSE)&amp;" · "&amp;G63),""))</f>
        <v/>
      </c>
      <c r="K63" s="5" t="n"/>
    </row>
    <row r="64">
      <c r="A64" s="4" t="n"/>
      <c r="B64" s="5" t="n"/>
      <c r="C64" s="6">
        <f>IF(B64="","",IFERROR(VLOOKUP(B64,TIPOS!$A:$B,2,FALSE),""))</f>
        <v/>
      </c>
      <c r="D64" s="5" t="n"/>
      <c r="E64" s="5" t="n"/>
      <c r="F64" s="6">
        <f>IF(E64="","",IFERROR(VLOOKUP(E64,MAESTRO!$A:$B,2,FALSE),"NO ESTÁ EN EL MAESTRO"))</f>
        <v/>
      </c>
      <c r="G64" s="7" t="n"/>
      <c r="H64" s="7" t="n"/>
      <c r="I64" s="8">
        <f>IF(E64="","",IFERROR(G64*VLOOKUP(E64,MAESTRO!$A:$D,4,FALSE),0)+N(H64))</f>
        <v/>
      </c>
      <c r="J64" s="6">
        <f>IF(OR(E64="",N(G64)=0),"",IFERROR(IF(VLOOKUP(E64,MAESTRO!$A:$E,5,FALSE)="","",VLOOKUP(E64,MAESTRO!$A:$E,5,FALSE)&amp;" · "&amp;G64),""))</f>
        <v/>
      </c>
      <c r="K64" s="5" t="n"/>
    </row>
    <row r="65">
      <c r="A65" s="4" t="n"/>
      <c r="B65" s="5" t="n"/>
      <c r="C65" s="6">
        <f>IF(B65="","",IFERROR(VLOOKUP(B65,TIPOS!$A:$B,2,FALSE),""))</f>
        <v/>
      </c>
      <c r="D65" s="5" t="n"/>
      <c r="E65" s="5" t="n"/>
      <c r="F65" s="6">
        <f>IF(E65="","",IFERROR(VLOOKUP(E65,MAESTRO!$A:$B,2,FALSE),"NO ESTÁ EN EL MAESTRO"))</f>
        <v/>
      </c>
      <c r="G65" s="7" t="n"/>
      <c r="H65" s="7" t="n"/>
      <c r="I65" s="8">
        <f>IF(E65="","",IFERROR(G65*VLOOKUP(E65,MAESTRO!$A:$D,4,FALSE),0)+N(H65))</f>
        <v/>
      </c>
      <c r="J65" s="6">
        <f>IF(OR(E65="",N(G65)=0),"",IFERROR(IF(VLOOKUP(E65,MAESTRO!$A:$E,5,FALSE)="","",VLOOKUP(E65,MAESTRO!$A:$E,5,FALSE)&amp;" · "&amp;G65),""))</f>
        <v/>
      </c>
      <c r="K65" s="5" t="n"/>
    </row>
    <row r="66">
      <c r="A66" s="4" t="n"/>
      <c r="B66" s="5" t="n"/>
      <c r="C66" s="6">
        <f>IF(B66="","",IFERROR(VLOOKUP(B66,TIPOS!$A:$B,2,FALSE),""))</f>
        <v/>
      </c>
      <c r="D66" s="5" t="n"/>
      <c r="E66" s="5" t="n"/>
      <c r="F66" s="6">
        <f>IF(E66="","",IFERROR(VLOOKUP(E66,MAESTRO!$A:$B,2,FALSE),"NO ESTÁ EN EL MAESTRO"))</f>
        <v/>
      </c>
      <c r="G66" s="7" t="n"/>
      <c r="H66" s="7" t="n"/>
      <c r="I66" s="8">
        <f>IF(E66="","",IFERROR(G66*VLOOKUP(E66,MAESTRO!$A:$D,4,FALSE),0)+N(H66))</f>
        <v/>
      </c>
      <c r="J66" s="6">
        <f>IF(OR(E66="",N(G66)=0),"",IFERROR(IF(VLOOKUP(E66,MAESTRO!$A:$E,5,FALSE)="","",VLOOKUP(E66,MAESTRO!$A:$E,5,FALSE)&amp;" · "&amp;G66),""))</f>
        <v/>
      </c>
      <c r="K66" s="5" t="n"/>
    </row>
    <row r="67">
      <c r="A67" s="4" t="n"/>
      <c r="B67" s="5" t="n"/>
      <c r="C67" s="6">
        <f>IF(B67="","",IFERROR(VLOOKUP(B67,TIPOS!$A:$B,2,FALSE),""))</f>
        <v/>
      </c>
      <c r="D67" s="5" t="n"/>
      <c r="E67" s="5" t="n"/>
      <c r="F67" s="6">
        <f>IF(E67="","",IFERROR(VLOOKUP(E67,MAESTRO!$A:$B,2,FALSE),"NO ESTÁ EN EL MAESTRO"))</f>
        <v/>
      </c>
      <c r="G67" s="7" t="n"/>
      <c r="H67" s="7" t="n"/>
      <c r="I67" s="8">
        <f>IF(E67="","",IFERROR(G67*VLOOKUP(E67,MAESTRO!$A:$D,4,FALSE),0)+N(H67))</f>
        <v/>
      </c>
      <c r="J67" s="6">
        <f>IF(OR(E67="",N(G67)=0),"",IFERROR(IF(VLOOKUP(E67,MAESTRO!$A:$E,5,FALSE)="","",VLOOKUP(E67,MAESTRO!$A:$E,5,FALSE)&amp;" · "&amp;G67),""))</f>
        <v/>
      </c>
      <c r="K67" s="5" t="n"/>
    </row>
    <row r="68">
      <c r="A68" s="4" t="n"/>
      <c r="B68" s="5" t="n"/>
      <c r="C68" s="6">
        <f>IF(B68="","",IFERROR(VLOOKUP(B68,TIPOS!$A:$B,2,FALSE),""))</f>
        <v/>
      </c>
      <c r="D68" s="5" t="n"/>
      <c r="E68" s="5" t="n"/>
      <c r="F68" s="6">
        <f>IF(E68="","",IFERROR(VLOOKUP(E68,MAESTRO!$A:$B,2,FALSE),"NO ESTÁ EN EL MAESTRO"))</f>
        <v/>
      </c>
      <c r="G68" s="7" t="n"/>
      <c r="H68" s="7" t="n"/>
      <c r="I68" s="8">
        <f>IF(E68="","",IFERROR(G68*VLOOKUP(E68,MAESTRO!$A:$D,4,FALSE),0)+N(H68))</f>
        <v/>
      </c>
      <c r="J68" s="6">
        <f>IF(OR(E68="",N(G68)=0),"",IFERROR(IF(VLOOKUP(E68,MAESTRO!$A:$E,5,FALSE)="","",VLOOKUP(E68,MAESTRO!$A:$E,5,FALSE)&amp;" · "&amp;G68),""))</f>
        <v/>
      </c>
      <c r="K68" s="5" t="n"/>
    </row>
    <row r="69">
      <c r="A69" s="4" t="n"/>
      <c r="B69" s="5" t="n"/>
      <c r="C69" s="6">
        <f>IF(B69="","",IFERROR(VLOOKUP(B69,TIPOS!$A:$B,2,FALSE),""))</f>
        <v/>
      </c>
      <c r="D69" s="5" t="n"/>
      <c r="E69" s="5" t="n"/>
      <c r="F69" s="6">
        <f>IF(E69="","",IFERROR(VLOOKUP(E69,MAESTRO!$A:$B,2,FALSE),"NO ESTÁ EN EL MAESTRO"))</f>
        <v/>
      </c>
      <c r="G69" s="7" t="n"/>
      <c r="H69" s="7" t="n"/>
      <c r="I69" s="8">
        <f>IF(E69="","",IFERROR(G69*VLOOKUP(E69,MAESTRO!$A:$D,4,FALSE),0)+N(H69))</f>
        <v/>
      </c>
      <c r="J69" s="6">
        <f>IF(OR(E69="",N(G69)=0),"",IFERROR(IF(VLOOKUP(E69,MAESTRO!$A:$E,5,FALSE)="","",VLOOKUP(E69,MAESTRO!$A:$E,5,FALSE)&amp;" · "&amp;G69),""))</f>
        <v/>
      </c>
      <c r="K69" s="5" t="n"/>
    </row>
    <row r="70">
      <c r="A70" s="4" t="n"/>
      <c r="B70" s="5" t="n"/>
      <c r="C70" s="6">
        <f>IF(B70="","",IFERROR(VLOOKUP(B70,TIPOS!$A:$B,2,FALSE),""))</f>
        <v/>
      </c>
      <c r="D70" s="5" t="n"/>
      <c r="E70" s="5" t="n"/>
      <c r="F70" s="6">
        <f>IF(E70="","",IFERROR(VLOOKUP(E70,MAESTRO!$A:$B,2,FALSE),"NO ESTÁ EN EL MAESTRO"))</f>
        <v/>
      </c>
      <c r="G70" s="7" t="n"/>
      <c r="H70" s="7" t="n"/>
      <c r="I70" s="8">
        <f>IF(E70="","",IFERROR(G70*VLOOKUP(E70,MAESTRO!$A:$D,4,FALSE),0)+N(H70))</f>
        <v/>
      </c>
      <c r="J70" s="6">
        <f>IF(OR(E70="",N(G70)=0),"",IFERROR(IF(VLOOKUP(E70,MAESTRO!$A:$E,5,FALSE)="","",VLOOKUP(E70,MAESTRO!$A:$E,5,FALSE)&amp;" · "&amp;G70),""))</f>
        <v/>
      </c>
      <c r="K70" s="5" t="n"/>
    </row>
    <row r="71">
      <c r="A71" s="4" t="n"/>
      <c r="B71" s="5" t="n"/>
      <c r="C71" s="6">
        <f>IF(B71="","",IFERROR(VLOOKUP(B71,TIPOS!$A:$B,2,FALSE),""))</f>
        <v/>
      </c>
      <c r="D71" s="5" t="n"/>
      <c r="E71" s="5" t="n"/>
      <c r="F71" s="6">
        <f>IF(E71="","",IFERROR(VLOOKUP(E71,MAESTRO!$A:$B,2,FALSE),"NO ESTÁ EN EL MAESTRO"))</f>
        <v/>
      </c>
      <c r="G71" s="7" t="n"/>
      <c r="H71" s="7" t="n"/>
      <c r="I71" s="8">
        <f>IF(E71="","",IFERROR(G71*VLOOKUP(E71,MAESTRO!$A:$D,4,FALSE),0)+N(H71))</f>
        <v/>
      </c>
      <c r="J71" s="6">
        <f>IF(OR(E71="",N(G71)=0),"",IFERROR(IF(VLOOKUP(E71,MAESTRO!$A:$E,5,FALSE)="","",VLOOKUP(E71,MAESTRO!$A:$E,5,FALSE)&amp;" · "&amp;G71),""))</f>
        <v/>
      </c>
      <c r="K71" s="5" t="n"/>
    </row>
    <row r="72">
      <c r="A72" s="4" t="n"/>
      <c r="B72" s="5" t="n"/>
      <c r="C72" s="6">
        <f>IF(B72="","",IFERROR(VLOOKUP(B72,TIPOS!$A:$B,2,FALSE),""))</f>
        <v/>
      </c>
      <c r="D72" s="5" t="n"/>
      <c r="E72" s="5" t="n"/>
      <c r="F72" s="6">
        <f>IF(E72="","",IFERROR(VLOOKUP(E72,MAESTRO!$A:$B,2,FALSE),"NO ESTÁ EN EL MAESTRO"))</f>
        <v/>
      </c>
      <c r="G72" s="7" t="n"/>
      <c r="H72" s="7" t="n"/>
      <c r="I72" s="8">
        <f>IF(E72="","",IFERROR(G72*VLOOKUP(E72,MAESTRO!$A:$D,4,FALSE),0)+N(H72))</f>
        <v/>
      </c>
      <c r="J72" s="6">
        <f>IF(OR(E72="",N(G72)=0),"",IFERROR(IF(VLOOKUP(E72,MAESTRO!$A:$E,5,FALSE)="","",VLOOKUP(E72,MAESTRO!$A:$E,5,FALSE)&amp;" · "&amp;G72),""))</f>
        <v/>
      </c>
      <c r="K72" s="5" t="n"/>
    </row>
    <row r="73">
      <c r="A73" s="4" t="n"/>
      <c r="B73" s="5" t="n"/>
      <c r="C73" s="6">
        <f>IF(B73="","",IFERROR(VLOOKUP(B73,TIPOS!$A:$B,2,FALSE),""))</f>
        <v/>
      </c>
      <c r="D73" s="5" t="n"/>
      <c r="E73" s="5" t="n"/>
      <c r="F73" s="6">
        <f>IF(E73="","",IFERROR(VLOOKUP(E73,MAESTRO!$A:$B,2,FALSE),"NO ESTÁ EN EL MAESTRO"))</f>
        <v/>
      </c>
      <c r="G73" s="7" t="n"/>
      <c r="H73" s="7" t="n"/>
      <c r="I73" s="8">
        <f>IF(E73="","",IFERROR(G73*VLOOKUP(E73,MAESTRO!$A:$D,4,FALSE),0)+N(H73))</f>
        <v/>
      </c>
      <c r="J73" s="6">
        <f>IF(OR(E73="",N(G73)=0),"",IFERROR(IF(VLOOKUP(E73,MAESTRO!$A:$E,5,FALSE)="","",VLOOKUP(E73,MAESTRO!$A:$E,5,FALSE)&amp;" · "&amp;G73),""))</f>
        <v/>
      </c>
      <c r="K73" s="5" t="n"/>
    </row>
    <row r="74">
      <c r="A74" s="4" t="n"/>
      <c r="B74" s="5" t="n"/>
      <c r="C74" s="6">
        <f>IF(B74="","",IFERROR(VLOOKUP(B74,TIPOS!$A:$B,2,FALSE),""))</f>
        <v/>
      </c>
      <c r="D74" s="5" t="n"/>
      <c r="E74" s="5" t="n"/>
      <c r="F74" s="6">
        <f>IF(E74="","",IFERROR(VLOOKUP(E74,MAESTRO!$A:$B,2,FALSE),"NO ESTÁ EN EL MAESTRO"))</f>
        <v/>
      </c>
      <c r="G74" s="7" t="n"/>
      <c r="H74" s="7" t="n"/>
      <c r="I74" s="8">
        <f>IF(E74="","",IFERROR(G74*VLOOKUP(E74,MAESTRO!$A:$D,4,FALSE),0)+N(H74))</f>
        <v/>
      </c>
      <c r="J74" s="6">
        <f>IF(OR(E74="",N(G74)=0),"",IFERROR(IF(VLOOKUP(E74,MAESTRO!$A:$E,5,FALSE)="","",VLOOKUP(E74,MAESTRO!$A:$E,5,FALSE)&amp;" · "&amp;G74),""))</f>
        <v/>
      </c>
      <c r="K74" s="5" t="n"/>
    </row>
    <row r="75">
      <c r="A75" s="4" t="n"/>
      <c r="B75" s="5" t="n"/>
      <c r="C75" s="6">
        <f>IF(B75="","",IFERROR(VLOOKUP(B75,TIPOS!$A:$B,2,FALSE),""))</f>
        <v/>
      </c>
      <c r="D75" s="5" t="n"/>
      <c r="E75" s="5" t="n"/>
      <c r="F75" s="6">
        <f>IF(E75="","",IFERROR(VLOOKUP(E75,MAESTRO!$A:$B,2,FALSE),"NO ESTÁ EN EL MAESTRO"))</f>
        <v/>
      </c>
      <c r="G75" s="7" t="n"/>
      <c r="H75" s="7" t="n"/>
      <c r="I75" s="8">
        <f>IF(E75="","",IFERROR(G75*VLOOKUP(E75,MAESTRO!$A:$D,4,FALSE),0)+N(H75))</f>
        <v/>
      </c>
      <c r="J75" s="6">
        <f>IF(OR(E75="",N(G75)=0),"",IFERROR(IF(VLOOKUP(E75,MAESTRO!$A:$E,5,FALSE)="","",VLOOKUP(E75,MAESTRO!$A:$E,5,FALSE)&amp;" · "&amp;G75),""))</f>
        <v/>
      </c>
      <c r="K75" s="5" t="n"/>
    </row>
    <row r="76">
      <c r="A76" s="4" t="n"/>
      <c r="B76" s="5" t="n"/>
      <c r="C76" s="6">
        <f>IF(B76="","",IFERROR(VLOOKUP(B76,TIPOS!$A:$B,2,FALSE),""))</f>
        <v/>
      </c>
      <c r="D76" s="5" t="n"/>
      <c r="E76" s="5" t="n"/>
      <c r="F76" s="6">
        <f>IF(E76="","",IFERROR(VLOOKUP(E76,MAESTRO!$A:$B,2,FALSE),"NO ESTÁ EN EL MAESTRO"))</f>
        <v/>
      </c>
      <c r="G76" s="7" t="n"/>
      <c r="H76" s="7" t="n"/>
      <c r="I76" s="8">
        <f>IF(E76="","",IFERROR(G76*VLOOKUP(E76,MAESTRO!$A:$D,4,FALSE),0)+N(H76))</f>
        <v/>
      </c>
      <c r="J76" s="6">
        <f>IF(OR(E76="",N(G76)=0),"",IFERROR(IF(VLOOKUP(E76,MAESTRO!$A:$E,5,FALSE)="","",VLOOKUP(E76,MAESTRO!$A:$E,5,FALSE)&amp;" · "&amp;G76),""))</f>
        <v/>
      </c>
      <c r="K76" s="5" t="n"/>
    </row>
    <row r="77">
      <c r="A77" s="4" t="n"/>
      <c r="B77" s="5" t="n"/>
      <c r="C77" s="6">
        <f>IF(B77="","",IFERROR(VLOOKUP(B77,TIPOS!$A:$B,2,FALSE),""))</f>
        <v/>
      </c>
      <c r="D77" s="5" t="n"/>
      <c r="E77" s="5" t="n"/>
      <c r="F77" s="6">
        <f>IF(E77="","",IFERROR(VLOOKUP(E77,MAESTRO!$A:$B,2,FALSE),"NO ESTÁ EN EL MAESTRO"))</f>
        <v/>
      </c>
      <c r="G77" s="7" t="n"/>
      <c r="H77" s="7" t="n"/>
      <c r="I77" s="8">
        <f>IF(E77="","",IFERROR(G77*VLOOKUP(E77,MAESTRO!$A:$D,4,FALSE),0)+N(H77))</f>
        <v/>
      </c>
      <c r="J77" s="6">
        <f>IF(OR(E77="",N(G77)=0),"",IFERROR(IF(VLOOKUP(E77,MAESTRO!$A:$E,5,FALSE)="","",VLOOKUP(E77,MAESTRO!$A:$E,5,FALSE)&amp;" · "&amp;G77),""))</f>
        <v/>
      </c>
      <c r="K77" s="5" t="n"/>
    </row>
    <row r="78">
      <c r="A78" s="4" t="n"/>
      <c r="B78" s="5" t="n"/>
      <c r="C78" s="6">
        <f>IF(B78="","",IFERROR(VLOOKUP(B78,TIPOS!$A:$B,2,FALSE),""))</f>
        <v/>
      </c>
      <c r="D78" s="5" t="n"/>
      <c r="E78" s="5" t="n"/>
      <c r="F78" s="6">
        <f>IF(E78="","",IFERROR(VLOOKUP(E78,MAESTRO!$A:$B,2,FALSE),"NO ESTÁ EN EL MAESTRO"))</f>
        <v/>
      </c>
      <c r="G78" s="7" t="n"/>
      <c r="H78" s="7" t="n"/>
      <c r="I78" s="8">
        <f>IF(E78="","",IFERROR(G78*VLOOKUP(E78,MAESTRO!$A:$D,4,FALSE),0)+N(H78))</f>
        <v/>
      </c>
      <c r="J78" s="6">
        <f>IF(OR(E78="",N(G78)=0),"",IFERROR(IF(VLOOKUP(E78,MAESTRO!$A:$E,5,FALSE)="","",VLOOKUP(E78,MAESTRO!$A:$E,5,FALSE)&amp;" · "&amp;G78),""))</f>
        <v/>
      </c>
      <c r="K78" s="5" t="n"/>
    </row>
    <row r="79">
      <c r="A79" s="4" t="n"/>
      <c r="B79" s="5" t="n"/>
      <c r="C79" s="6">
        <f>IF(B79="","",IFERROR(VLOOKUP(B79,TIPOS!$A:$B,2,FALSE),""))</f>
        <v/>
      </c>
      <c r="D79" s="5" t="n"/>
      <c r="E79" s="5" t="n"/>
      <c r="F79" s="6">
        <f>IF(E79="","",IFERROR(VLOOKUP(E79,MAESTRO!$A:$B,2,FALSE),"NO ESTÁ EN EL MAESTRO"))</f>
        <v/>
      </c>
      <c r="G79" s="7" t="n"/>
      <c r="H79" s="7" t="n"/>
      <c r="I79" s="8">
        <f>IF(E79="","",IFERROR(G79*VLOOKUP(E79,MAESTRO!$A:$D,4,FALSE),0)+N(H79))</f>
        <v/>
      </c>
      <c r="J79" s="6">
        <f>IF(OR(E79="",N(G79)=0),"",IFERROR(IF(VLOOKUP(E79,MAESTRO!$A:$E,5,FALSE)="","",VLOOKUP(E79,MAESTRO!$A:$E,5,FALSE)&amp;" · "&amp;G79),""))</f>
        <v/>
      </c>
      <c r="K79" s="5" t="n"/>
    </row>
    <row r="80">
      <c r="A80" s="4" t="n"/>
      <c r="B80" s="5" t="n"/>
      <c r="C80" s="6">
        <f>IF(B80="","",IFERROR(VLOOKUP(B80,TIPOS!$A:$B,2,FALSE),""))</f>
        <v/>
      </c>
      <c r="D80" s="5" t="n"/>
      <c r="E80" s="5" t="n"/>
      <c r="F80" s="6">
        <f>IF(E80="","",IFERROR(VLOOKUP(E80,MAESTRO!$A:$B,2,FALSE),"NO ESTÁ EN EL MAESTRO"))</f>
        <v/>
      </c>
      <c r="G80" s="7" t="n"/>
      <c r="H80" s="7" t="n"/>
      <c r="I80" s="8">
        <f>IF(E80="","",IFERROR(G80*VLOOKUP(E80,MAESTRO!$A:$D,4,FALSE),0)+N(H80))</f>
        <v/>
      </c>
      <c r="J80" s="6">
        <f>IF(OR(E80="",N(G80)=0),"",IFERROR(IF(VLOOKUP(E80,MAESTRO!$A:$E,5,FALSE)="","",VLOOKUP(E80,MAESTRO!$A:$E,5,FALSE)&amp;" · "&amp;G80),""))</f>
        <v/>
      </c>
      <c r="K80" s="5" t="n"/>
    </row>
    <row r="81">
      <c r="A81" s="4" t="n"/>
      <c r="B81" s="5" t="n"/>
      <c r="C81" s="6">
        <f>IF(B81="","",IFERROR(VLOOKUP(B81,TIPOS!$A:$B,2,FALSE),""))</f>
        <v/>
      </c>
      <c r="D81" s="5" t="n"/>
      <c r="E81" s="5" t="n"/>
      <c r="F81" s="6">
        <f>IF(E81="","",IFERROR(VLOOKUP(E81,MAESTRO!$A:$B,2,FALSE),"NO ESTÁ EN EL MAESTRO"))</f>
        <v/>
      </c>
      <c r="G81" s="7" t="n"/>
      <c r="H81" s="7" t="n"/>
      <c r="I81" s="8">
        <f>IF(E81="","",IFERROR(G81*VLOOKUP(E81,MAESTRO!$A:$D,4,FALSE),0)+N(H81))</f>
        <v/>
      </c>
      <c r="J81" s="6">
        <f>IF(OR(E81="",N(G81)=0),"",IFERROR(IF(VLOOKUP(E81,MAESTRO!$A:$E,5,FALSE)="","",VLOOKUP(E81,MAESTRO!$A:$E,5,FALSE)&amp;" · "&amp;G81),""))</f>
        <v/>
      </c>
      <c r="K81" s="5" t="n"/>
    </row>
    <row r="82">
      <c r="A82" s="4" t="n"/>
      <c r="B82" s="5" t="n"/>
      <c r="C82" s="6">
        <f>IF(B82="","",IFERROR(VLOOKUP(B82,TIPOS!$A:$B,2,FALSE),""))</f>
        <v/>
      </c>
      <c r="D82" s="5" t="n"/>
      <c r="E82" s="5" t="n"/>
      <c r="F82" s="6">
        <f>IF(E82="","",IFERROR(VLOOKUP(E82,MAESTRO!$A:$B,2,FALSE),"NO ESTÁ EN EL MAESTRO"))</f>
        <v/>
      </c>
      <c r="G82" s="7" t="n"/>
      <c r="H82" s="7" t="n"/>
      <c r="I82" s="8">
        <f>IF(E82="","",IFERROR(G82*VLOOKUP(E82,MAESTRO!$A:$D,4,FALSE),0)+N(H82))</f>
        <v/>
      </c>
      <c r="J82" s="6">
        <f>IF(OR(E82="",N(G82)=0),"",IFERROR(IF(VLOOKUP(E82,MAESTRO!$A:$E,5,FALSE)="","",VLOOKUP(E82,MAESTRO!$A:$E,5,FALSE)&amp;" · "&amp;G82),""))</f>
        <v/>
      </c>
      <c r="K82" s="5" t="n"/>
    </row>
    <row r="83">
      <c r="A83" s="4" t="n"/>
      <c r="B83" s="5" t="n"/>
      <c r="C83" s="6">
        <f>IF(B83="","",IFERROR(VLOOKUP(B83,TIPOS!$A:$B,2,FALSE),""))</f>
        <v/>
      </c>
      <c r="D83" s="5" t="n"/>
      <c r="E83" s="5" t="n"/>
      <c r="F83" s="6">
        <f>IF(E83="","",IFERROR(VLOOKUP(E83,MAESTRO!$A:$B,2,FALSE),"NO ESTÁ EN EL MAESTRO"))</f>
        <v/>
      </c>
      <c r="G83" s="7" t="n"/>
      <c r="H83" s="7" t="n"/>
      <c r="I83" s="8">
        <f>IF(E83="","",IFERROR(G83*VLOOKUP(E83,MAESTRO!$A:$D,4,FALSE),0)+N(H83))</f>
        <v/>
      </c>
      <c r="J83" s="6">
        <f>IF(OR(E83="",N(G83)=0),"",IFERROR(IF(VLOOKUP(E83,MAESTRO!$A:$E,5,FALSE)="","",VLOOKUP(E83,MAESTRO!$A:$E,5,FALSE)&amp;" · "&amp;G83),""))</f>
        <v/>
      </c>
      <c r="K83" s="5" t="n"/>
    </row>
    <row r="84">
      <c r="A84" s="4" t="n"/>
      <c r="B84" s="5" t="n"/>
      <c r="C84" s="6">
        <f>IF(B84="","",IFERROR(VLOOKUP(B84,TIPOS!$A:$B,2,FALSE),""))</f>
        <v/>
      </c>
      <c r="D84" s="5" t="n"/>
      <c r="E84" s="5" t="n"/>
      <c r="F84" s="6">
        <f>IF(E84="","",IFERROR(VLOOKUP(E84,MAESTRO!$A:$B,2,FALSE),"NO ESTÁ EN EL MAESTRO"))</f>
        <v/>
      </c>
      <c r="G84" s="7" t="n"/>
      <c r="H84" s="7" t="n"/>
      <c r="I84" s="8">
        <f>IF(E84="","",IFERROR(G84*VLOOKUP(E84,MAESTRO!$A:$D,4,FALSE),0)+N(H84))</f>
        <v/>
      </c>
      <c r="J84" s="6">
        <f>IF(OR(E84="",N(G84)=0),"",IFERROR(IF(VLOOKUP(E84,MAESTRO!$A:$E,5,FALSE)="","",VLOOKUP(E84,MAESTRO!$A:$E,5,FALSE)&amp;" · "&amp;G84),""))</f>
        <v/>
      </c>
      <c r="K84" s="5" t="n"/>
    </row>
    <row r="85">
      <c r="A85" s="4" t="n"/>
      <c r="B85" s="5" t="n"/>
      <c r="C85" s="6">
        <f>IF(B85="","",IFERROR(VLOOKUP(B85,TIPOS!$A:$B,2,FALSE),""))</f>
        <v/>
      </c>
      <c r="D85" s="5" t="n"/>
      <c r="E85" s="5" t="n"/>
      <c r="F85" s="6">
        <f>IF(E85="","",IFERROR(VLOOKUP(E85,MAESTRO!$A:$B,2,FALSE),"NO ESTÁ EN EL MAESTRO"))</f>
        <v/>
      </c>
      <c r="G85" s="7" t="n"/>
      <c r="H85" s="7" t="n"/>
      <c r="I85" s="8">
        <f>IF(E85="","",IFERROR(G85*VLOOKUP(E85,MAESTRO!$A:$D,4,FALSE),0)+N(H85))</f>
        <v/>
      </c>
      <c r="J85" s="6">
        <f>IF(OR(E85="",N(G85)=0),"",IFERROR(IF(VLOOKUP(E85,MAESTRO!$A:$E,5,FALSE)="","",VLOOKUP(E85,MAESTRO!$A:$E,5,FALSE)&amp;" · "&amp;G85),""))</f>
        <v/>
      </c>
      <c r="K85" s="5" t="n"/>
    </row>
    <row r="86">
      <c r="A86" s="4" t="n"/>
      <c r="B86" s="5" t="n"/>
      <c r="C86" s="6">
        <f>IF(B86="","",IFERROR(VLOOKUP(B86,TIPOS!$A:$B,2,FALSE),""))</f>
        <v/>
      </c>
      <c r="D86" s="5" t="n"/>
      <c r="E86" s="5" t="n"/>
      <c r="F86" s="6">
        <f>IF(E86="","",IFERROR(VLOOKUP(E86,MAESTRO!$A:$B,2,FALSE),"NO ESTÁ EN EL MAESTRO"))</f>
        <v/>
      </c>
      <c r="G86" s="7" t="n"/>
      <c r="H86" s="7" t="n"/>
      <c r="I86" s="8">
        <f>IF(E86="","",IFERROR(G86*VLOOKUP(E86,MAESTRO!$A:$D,4,FALSE),0)+N(H86))</f>
        <v/>
      </c>
      <c r="J86" s="6">
        <f>IF(OR(E86="",N(G86)=0),"",IFERROR(IF(VLOOKUP(E86,MAESTRO!$A:$E,5,FALSE)="","",VLOOKUP(E86,MAESTRO!$A:$E,5,FALSE)&amp;" · "&amp;G86),""))</f>
        <v/>
      </c>
      <c r="K86" s="5" t="n"/>
    </row>
    <row r="87">
      <c r="A87" s="4" t="n"/>
      <c r="B87" s="5" t="n"/>
      <c r="C87" s="6">
        <f>IF(B87="","",IFERROR(VLOOKUP(B87,TIPOS!$A:$B,2,FALSE),""))</f>
        <v/>
      </c>
      <c r="D87" s="5" t="n"/>
      <c r="E87" s="5" t="n"/>
      <c r="F87" s="6">
        <f>IF(E87="","",IFERROR(VLOOKUP(E87,MAESTRO!$A:$B,2,FALSE),"NO ESTÁ EN EL MAESTRO"))</f>
        <v/>
      </c>
      <c r="G87" s="7" t="n"/>
      <c r="H87" s="7" t="n"/>
      <c r="I87" s="8">
        <f>IF(E87="","",IFERROR(G87*VLOOKUP(E87,MAESTRO!$A:$D,4,FALSE),0)+N(H87))</f>
        <v/>
      </c>
      <c r="J87" s="6">
        <f>IF(OR(E87="",N(G87)=0),"",IFERROR(IF(VLOOKUP(E87,MAESTRO!$A:$E,5,FALSE)="","",VLOOKUP(E87,MAESTRO!$A:$E,5,FALSE)&amp;" · "&amp;G87),""))</f>
        <v/>
      </c>
      <c r="K87" s="5" t="n"/>
    </row>
    <row r="88">
      <c r="A88" s="4" t="n"/>
      <c r="B88" s="5" t="n"/>
      <c r="C88" s="6">
        <f>IF(B88="","",IFERROR(VLOOKUP(B88,TIPOS!$A:$B,2,FALSE),""))</f>
        <v/>
      </c>
      <c r="D88" s="5" t="n"/>
      <c r="E88" s="5" t="n"/>
      <c r="F88" s="6">
        <f>IF(E88="","",IFERROR(VLOOKUP(E88,MAESTRO!$A:$B,2,FALSE),"NO ESTÁ EN EL MAESTRO"))</f>
        <v/>
      </c>
      <c r="G88" s="7" t="n"/>
      <c r="H88" s="7" t="n"/>
      <c r="I88" s="8">
        <f>IF(E88="","",IFERROR(G88*VLOOKUP(E88,MAESTRO!$A:$D,4,FALSE),0)+N(H88))</f>
        <v/>
      </c>
      <c r="J88" s="6">
        <f>IF(OR(E88="",N(G88)=0),"",IFERROR(IF(VLOOKUP(E88,MAESTRO!$A:$E,5,FALSE)="","",VLOOKUP(E88,MAESTRO!$A:$E,5,FALSE)&amp;" · "&amp;G88),""))</f>
        <v/>
      </c>
      <c r="K88" s="5" t="n"/>
    </row>
    <row r="89">
      <c r="A89" s="4" t="n"/>
      <c r="B89" s="5" t="n"/>
      <c r="C89" s="6">
        <f>IF(B89="","",IFERROR(VLOOKUP(B89,TIPOS!$A:$B,2,FALSE),""))</f>
        <v/>
      </c>
      <c r="D89" s="5" t="n"/>
      <c r="E89" s="5" t="n"/>
      <c r="F89" s="6">
        <f>IF(E89="","",IFERROR(VLOOKUP(E89,MAESTRO!$A:$B,2,FALSE),"NO ESTÁ EN EL MAESTRO"))</f>
        <v/>
      </c>
      <c r="G89" s="7" t="n"/>
      <c r="H89" s="7" t="n"/>
      <c r="I89" s="8">
        <f>IF(E89="","",IFERROR(G89*VLOOKUP(E89,MAESTRO!$A:$D,4,FALSE),0)+N(H89))</f>
        <v/>
      </c>
      <c r="J89" s="6">
        <f>IF(OR(E89="",N(G89)=0),"",IFERROR(IF(VLOOKUP(E89,MAESTRO!$A:$E,5,FALSE)="","",VLOOKUP(E89,MAESTRO!$A:$E,5,FALSE)&amp;" · "&amp;G89),""))</f>
        <v/>
      </c>
      <c r="K89" s="5" t="n"/>
    </row>
    <row r="90">
      <c r="A90" s="4" t="n"/>
      <c r="B90" s="5" t="n"/>
      <c r="C90" s="6">
        <f>IF(B90="","",IFERROR(VLOOKUP(B90,TIPOS!$A:$B,2,FALSE),""))</f>
        <v/>
      </c>
      <c r="D90" s="5" t="n"/>
      <c r="E90" s="5" t="n"/>
      <c r="F90" s="6">
        <f>IF(E90="","",IFERROR(VLOOKUP(E90,MAESTRO!$A:$B,2,FALSE),"NO ESTÁ EN EL MAESTRO"))</f>
        <v/>
      </c>
      <c r="G90" s="7" t="n"/>
      <c r="H90" s="7" t="n"/>
      <c r="I90" s="8">
        <f>IF(E90="","",IFERROR(G90*VLOOKUP(E90,MAESTRO!$A:$D,4,FALSE),0)+N(H90))</f>
        <v/>
      </c>
      <c r="J90" s="6">
        <f>IF(OR(E90="",N(G90)=0),"",IFERROR(IF(VLOOKUP(E90,MAESTRO!$A:$E,5,FALSE)="","",VLOOKUP(E90,MAESTRO!$A:$E,5,FALSE)&amp;" · "&amp;G90),""))</f>
        <v/>
      </c>
      <c r="K90" s="5" t="n"/>
    </row>
    <row r="91">
      <c r="A91" s="4" t="n"/>
      <c r="B91" s="5" t="n"/>
      <c r="C91" s="6">
        <f>IF(B91="","",IFERROR(VLOOKUP(B91,TIPOS!$A:$B,2,FALSE),""))</f>
        <v/>
      </c>
      <c r="D91" s="5" t="n"/>
      <c r="E91" s="5" t="n"/>
      <c r="F91" s="6">
        <f>IF(E91="","",IFERROR(VLOOKUP(E91,MAESTRO!$A:$B,2,FALSE),"NO ESTÁ EN EL MAESTRO"))</f>
        <v/>
      </c>
      <c r="G91" s="7" t="n"/>
      <c r="H91" s="7" t="n"/>
      <c r="I91" s="8">
        <f>IF(E91="","",IFERROR(G91*VLOOKUP(E91,MAESTRO!$A:$D,4,FALSE),0)+N(H91))</f>
        <v/>
      </c>
      <c r="J91" s="6">
        <f>IF(OR(E91="",N(G91)=0),"",IFERROR(IF(VLOOKUP(E91,MAESTRO!$A:$E,5,FALSE)="","",VLOOKUP(E91,MAESTRO!$A:$E,5,FALSE)&amp;" · "&amp;G91),""))</f>
        <v/>
      </c>
      <c r="K91" s="5" t="n"/>
    </row>
    <row r="92">
      <c r="A92" s="4" t="n"/>
      <c r="B92" s="5" t="n"/>
      <c r="C92" s="6">
        <f>IF(B92="","",IFERROR(VLOOKUP(B92,TIPOS!$A:$B,2,FALSE),""))</f>
        <v/>
      </c>
      <c r="D92" s="5" t="n"/>
      <c r="E92" s="5" t="n"/>
      <c r="F92" s="6">
        <f>IF(E92="","",IFERROR(VLOOKUP(E92,MAESTRO!$A:$B,2,FALSE),"NO ESTÁ EN EL MAESTRO"))</f>
        <v/>
      </c>
      <c r="G92" s="7" t="n"/>
      <c r="H92" s="7" t="n"/>
      <c r="I92" s="8">
        <f>IF(E92="","",IFERROR(G92*VLOOKUP(E92,MAESTRO!$A:$D,4,FALSE),0)+N(H92))</f>
        <v/>
      </c>
      <c r="J92" s="6">
        <f>IF(OR(E92="",N(G92)=0),"",IFERROR(IF(VLOOKUP(E92,MAESTRO!$A:$E,5,FALSE)="","",VLOOKUP(E92,MAESTRO!$A:$E,5,FALSE)&amp;" · "&amp;G92),""))</f>
        <v/>
      </c>
      <c r="K92" s="5" t="n"/>
    </row>
    <row r="93">
      <c r="A93" s="4" t="n"/>
      <c r="B93" s="5" t="n"/>
      <c r="C93" s="6">
        <f>IF(B93="","",IFERROR(VLOOKUP(B93,TIPOS!$A:$B,2,FALSE),""))</f>
        <v/>
      </c>
      <c r="D93" s="5" t="n"/>
      <c r="E93" s="5" t="n"/>
      <c r="F93" s="6">
        <f>IF(E93="","",IFERROR(VLOOKUP(E93,MAESTRO!$A:$B,2,FALSE),"NO ESTÁ EN EL MAESTRO"))</f>
        <v/>
      </c>
      <c r="G93" s="7" t="n"/>
      <c r="H93" s="7" t="n"/>
      <c r="I93" s="8">
        <f>IF(E93="","",IFERROR(G93*VLOOKUP(E93,MAESTRO!$A:$D,4,FALSE),0)+N(H93))</f>
        <v/>
      </c>
      <c r="J93" s="6">
        <f>IF(OR(E93="",N(G93)=0),"",IFERROR(IF(VLOOKUP(E93,MAESTRO!$A:$E,5,FALSE)="","",VLOOKUP(E93,MAESTRO!$A:$E,5,FALSE)&amp;" · "&amp;G93),""))</f>
        <v/>
      </c>
      <c r="K93" s="5" t="n"/>
    </row>
    <row r="94">
      <c r="A94" s="4" t="n"/>
      <c r="B94" s="5" t="n"/>
      <c r="C94" s="6">
        <f>IF(B94="","",IFERROR(VLOOKUP(B94,TIPOS!$A:$B,2,FALSE),""))</f>
        <v/>
      </c>
      <c r="D94" s="5" t="n"/>
      <c r="E94" s="5" t="n"/>
      <c r="F94" s="6">
        <f>IF(E94="","",IFERROR(VLOOKUP(E94,MAESTRO!$A:$B,2,FALSE),"NO ESTÁ EN EL MAESTRO"))</f>
        <v/>
      </c>
      <c r="G94" s="7" t="n"/>
      <c r="H94" s="7" t="n"/>
      <c r="I94" s="8">
        <f>IF(E94="","",IFERROR(G94*VLOOKUP(E94,MAESTRO!$A:$D,4,FALSE),0)+N(H94))</f>
        <v/>
      </c>
      <c r="J94" s="6">
        <f>IF(OR(E94="",N(G94)=0),"",IFERROR(IF(VLOOKUP(E94,MAESTRO!$A:$E,5,FALSE)="","",VLOOKUP(E94,MAESTRO!$A:$E,5,FALSE)&amp;" · "&amp;G94),""))</f>
        <v/>
      </c>
      <c r="K94" s="5" t="n"/>
    </row>
    <row r="95">
      <c r="A95" s="4" t="n"/>
      <c r="B95" s="5" t="n"/>
      <c r="C95" s="6">
        <f>IF(B95="","",IFERROR(VLOOKUP(B95,TIPOS!$A:$B,2,FALSE),""))</f>
        <v/>
      </c>
      <c r="D95" s="5" t="n"/>
      <c r="E95" s="5" t="n"/>
      <c r="F95" s="6">
        <f>IF(E95="","",IFERROR(VLOOKUP(E95,MAESTRO!$A:$B,2,FALSE),"NO ESTÁ EN EL MAESTRO"))</f>
        <v/>
      </c>
      <c r="G95" s="7" t="n"/>
      <c r="H95" s="7" t="n"/>
      <c r="I95" s="8">
        <f>IF(E95="","",IFERROR(G95*VLOOKUP(E95,MAESTRO!$A:$D,4,FALSE),0)+N(H95))</f>
        <v/>
      </c>
      <c r="J95" s="6">
        <f>IF(OR(E95="",N(G95)=0),"",IFERROR(IF(VLOOKUP(E95,MAESTRO!$A:$E,5,FALSE)="","",VLOOKUP(E95,MAESTRO!$A:$E,5,FALSE)&amp;" · "&amp;G95),""))</f>
        <v/>
      </c>
      <c r="K95" s="5" t="n"/>
    </row>
    <row r="96">
      <c r="A96" s="4" t="n"/>
      <c r="B96" s="5" t="n"/>
      <c r="C96" s="6">
        <f>IF(B96="","",IFERROR(VLOOKUP(B96,TIPOS!$A:$B,2,FALSE),""))</f>
        <v/>
      </c>
      <c r="D96" s="5" t="n"/>
      <c r="E96" s="5" t="n"/>
      <c r="F96" s="6">
        <f>IF(E96="","",IFERROR(VLOOKUP(E96,MAESTRO!$A:$B,2,FALSE),"NO ESTÁ EN EL MAESTRO"))</f>
        <v/>
      </c>
      <c r="G96" s="7" t="n"/>
      <c r="H96" s="7" t="n"/>
      <c r="I96" s="8">
        <f>IF(E96="","",IFERROR(G96*VLOOKUP(E96,MAESTRO!$A:$D,4,FALSE),0)+N(H96))</f>
        <v/>
      </c>
      <c r="J96" s="6">
        <f>IF(OR(E96="",N(G96)=0),"",IFERROR(IF(VLOOKUP(E96,MAESTRO!$A:$E,5,FALSE)="","",VLOOKUP(E96,MAESTRO!$A:$E,5,FALSE)&amp;" · "&amp;G96),""))</f>
        <v/>
      </c>
      <c r="K96" s="5" t="n"/>
    </row>
    <row r="97">
      <c r="A97" s="4" t="n"/>
      <c r="B97" s="5" t="n"/>
      <c r="C97" s="6">
        <f>IF(B97="","",IFERROR(VLOOKUP(B97,TIPOS!$A:$B,2,FALSE),""))</f>
        <v/>
      </c>
      <c r="D97" s="5" t="n"/>
      <c r="E97" s="5" t="n"/>
      <c r="F97" s="6">
        <f>IF(E97="","",IFERROR(VLOOKUP(E97,MAESTRO!$A:$B,2,FALSE),"NO ESTÁ EN EL MAESTRO"))</f>
        <v/>
      </c>
      <c r="G97" s="7" t="n"/>
      <c r="H97" s="7" t="n"/>
      <c r="I97" s="8">
        <f>IF(E97="","",IFERROR(G97*VLOOKUP(E97,MAESTRO!$A:$D,4,FALSE),0)+N(H97))</f>
        <v/>
      </c>
      <c r="J97" s="6">
        <f>IF(OR(E97="",N(G97)=0),"",IFERROR(IF(VLOOKUP(E97,MAESTRO!$A:$E,5,FALSE)="","",VLOOKUP(E97,MAESTRO!$A:$E,5,FALSE)&amp;" · "&amp;G97),""))</f>
        <v/>
      </c>
      <c r="K97" s="5" t="n"/>
    </row>
    <row r="98">
      <c r="A98" s="4" t="n"/>
      <c r="B98" s="5" t="n"/>
      <c r="C98" s="6">
        <f>IF(B98="","",IFERROR(VLOOKUP(B98,TIPOS!$A:$B,2,FALSE),""))</f>
        <v/>
      </c>
      <c r="D98" s="5" t="n"/>
      <c r="E98" s="5" t="n"/>
      <c r="F98" s="6">
        <f>IF(E98="","",IFERROR(VLOOKUP(E98,MAESTRO!$A:$B,2,FALSE),"NO ESTÁ EN EL MAESTRO"))</f>
        <v/>
      </c>
      <c r="G98" s="7" t="n"/>
      <c r="H98" s="7" t="n"/>
      <c r="I98" s="8">
        <f>IF(E98="","",IFERROR(G98*VLOOKUP(E98,MAESTRO!$A:$D,4,FALSE),0)+N(H98))</f>
        <v/>
      </c>
      <c r="J98" s="6">
        <f>IF(OR(E98="",N(G98)=0),"",IFERROR(IF(VLOOKUP(E98,MAESTRO!$A:$E,5,FALSE)="","",VLOOKUP(E98,MAESTRO!$A:$E,5,FALSE)&amp;" · "&amp;G98),""))</f>
        <v/>
      </c>
      <c r="K98" s="5" t="n"/>
    </row>
    <row r="99">
      <c r="A99" s="4" t="n"/>
      <c r="B99" s="5" t="n"/>
      <c r="C99" s="6">
        <f>IF(B99="","",IFERROR(VLOOKUP(B99,TIPOS!$A:$B,2,FALSE),""))</f>
        <v/>
      </c>
      <c r="D99" s="5" t="n"/>
      <c r="E99" s="5" t="n"/>
      <c r="F99" s="6">
        <f>IF(E99="","",IFERROR(VLOOKUP(E99,MAESTRO!$A:$B,2,FALSE),"NO ESTÁ EN EL MAESTRO"))</f>
        <v/>
      </c>
      <c r="G99" s="7" t="n"/>
      <c r="H99" s="7" t="n"/>
      <c r="I99" s="8">
        <f>IF(E99="","",IFERROR(G99*VLOOKUP(E99,MAESTRO!$A:$D,4,FALSE),0)+N(H99))</f>
        <v/>
      </c>
      <c r="J99" s="6">
        <f>IF(OR(E99="",N(G99)=0),"",IFERROR(IF(VLOOKUP(E99,MAESTRO!$A:$E,5,FALSE)="","",VLOOKUP(E99,MAESTRO!$A:$E,5,FALSE)&amp;" · "&amp;G99),""))</f>
        <v/>
      </c>
      <c r="K99" s="5" t="n"/>
    </row>
    <row r="100">
      <c r="A100" s="4" t="n"/>
      <c r="B100" s="5" t="n"/>
      <c r="C100" s="6">
        <f>IF(B100="","",IFERROR(VLOOKUP(B100,TIPOS!$A:$B,2,FALSE),""))</f>
        <v/>
      </c>
      <c r="D100" s="5" t="n"/>
      <c r="E100" s="5" t="n"/>
      <c r="F100" s="6">
        <f>IF(E100="","",IFERROR(VLOOKUP(E100,MAESTRO!$A:$B,2,FALSE),"NO ESTÁ EN EL MAESTRO"))</f>
        <v/>
      </c>
      <c r="G100" s="7" t="n"/>
      <c r="H100" s="7" t="n"/>
      <c r="I100" s="8">
        <f>IF(E100="","",IFERROR(G100*VLOOKUP(E100,MAESTRO!$A:$D,4,FALSE),0)+N(H100))</f>
        <v/>
      </c>
      <c r="J100" s="6">
        <f>IF(OR(E100="",N(G100)=0),"",IFERROR(IF(VLOOKUP(E100,MAESTRO!$A:$E,5,FALSE)="","",VLOOKUP(E100,MAESTRO!$A:$E,5,FALSE)&amp;" · "&amp;G100),""))</f>
        <v/>
      </c>
      <c r="K100" s="5" t="n"/>
    </row>
    <row r="101">
      <c r="A101" s="4" t="n"/>
      <c r="B101" s="5" t="n"/>
      <c r="C101" s="6">
        <f>IF(B101="","",IFERROR(VLOOKUP(B101,TIPOS!$A:$B,2,FALSE),""))</f>
        <v/>
      </c>
      <c r="D101" s="5" t="n"/>
      <c r="E101" s="5" t="n"/>
      <c r="F101" s="6">
        <f>IF(E101="","",IFERROR(VLOOKUP(E101,MAESTRO!$A:$B,2,FALSE),"NO ESTÁ EN EL MAESTRO"))</f>
        <v/>
      </c>
      <c r="G101" s="7" t="n"/>
      <c r="H101" s="7" t="n"/>
      <c r="I101" s="8">
        <f>IF(E101="","",IFERROR(G101*VLOOKUP(E101,MAESTRO!$A:$D,4,FALSE),0)+N(H101))</f>
        <v/>
      </c>
      <c r="J101" s="6">
        <f>IF(OR(E101="",N(G101)=0),"",IFERROR(IF(VLOOKUP(E101,MAESTRO!$A:$E,5,FALSE)="","",VLOOKUP(E101,MAESTRO!$A:$E,5,FALSE)&amp;" · "&amp;G101),""))</f>
        <v/>
      </c>
      <c r="K101" s="5" t="n"/>
    </row>
    <row r="102">
      <c r="A102" s="4" t="n"/>
      <c r="B102" s="5" t="n"/>
      <c r="C102" s="6">
        <f>IF(B102="","",IFERROR(VLOOKUP(B102,TIPOS!$A:$B,2,FALSE),""))</f>
        <v/>
      </c>
      <c r="D102" s="5" t="n"/>
      <c r="E102" s="5" t="n"/>
      <c r="F102" s="6">
        <f>IF(E102="","",IFERROR(VLOOKUP(E102,MAESTRO!$A:$B,2,FALSE),"NO ESTÁ EN EL MAESTRO"))</f>
        <v/>
      </c>
      <c r="G102" s="7" t="n"/>
      <c r="H102" s="7" t="n"/>
      <c r="I102" s="8">
        <f>IF(E102="","",IFERROR(G102*VLOOKUP(E102,MAESTRO!$A:$D,4,FALSE),0)+N(H102))</f>
        <v/>
      </c>
      <c r="J102" s="6">
        <f>IF(OR(E102="",N(G102)=0),"",IFERROR(IF(VLOOKUP(E102,MAESTRO!$A:$E,5,FALSE)="","",VLOOKUP(E102,MAESTRO!$A:$E,5,FALSE)&amp;" · "&amp;G102),""))</f>
        <v/>
      </c>
      <c r="K102" s="5" t="n"/>
    </row>
    <row r="103">
      <c r="A103" s="4" t="n"/>
      <c r="B103" s="5" t="n"/>
      <c r="C103" s="6">
        <f>IF(B103="","",IFERROR(VLOOKUP(B103,TIPOS!$A:$B,2,FALSE),""))</f>
        <v/>
      </c>
      <c r="D103" s="5" t="n"/>
      <c r="E103" s="5" t="n"/>
      <c r="F103" s="6">
        <f>IF(E103="","",IFERROR(VLOOKUP(E103,MAESTRO!$A:$B,2,FALSE),"NO ESTÁ EN EL MAESTRO"))</f>
        <v/>
      </c>
      <c r="G103" s="7" t="n"/>
      <c r="H103" s="7" t="n"/>
      <c r="I103" s="8">
        <f>IF(E103="","",IFERROR(G103*VLOOKUP(E103,MAESTRO!$A:$D,4,FALSE),0)+N(H103))</f>
        <v/>
      </c>
      <c r="J103" s="6">
        <f>IF(OR(E103="",N(G103)=0),"",IFERROR(IF(VLOOKUP(E103,MAESTRO!$A:$E,5,FALSE)="","",VLOOKUP(E103,MAESTRO!$A:$E,5,FALSE)&amp;" · "&amp;G103),""))</f>
        <v/>
      </c>
      <c r="K103" s="5" t="n"/>
    </row>
    <row r="104">
      <c r="A104" s="4" t="n"/>
      <c r="B104" s="5" t="n"/>
      <c r="C104" s="6">
        <f>IF(B104="","",IFERROR(VLOOKUP(B104,TIPOS!$A:$B,2,FALSE),""))</f>
        <v/>
      </c>
      <c r="D104" s="5" t="n"/>
      <c r="E104" s="5" t="n"/>
      <c r="F104" s="6">
        <f>IF(E104="","",IFERROR(VLOOKUP(E104,MAESTRO!$A:$B,2,FALSE),"NO ESTÁ EN EL MAESTRO"))</f>
        <v/>
      </c>
      <c r="G104" s="7" t="n"/>
      <c r="H104" s="7" t="n"/>
      <c r="I104" s="8">
        <f>IF(E104="","",IFERROR(G104*VLOOKUP(E104,MAESTRO!$A:$D,4,FALSE),0)+N(H104))</f>
        <v/>
      </c>
      <c r="J104" s="6">
        <f>IF(OR(E104="",N(G104)=0),"",IFERROR(IF(VLOOKUP(E104,MAESTRO!$A:$E,5,FALSE)="","",VLOOKUP(E104,MAESTRO!$A:$E,5,FALSE)&amp;" · "&amp;G104),""))</f>
        <v/>
      </c>
      <c r="K104" s="5" t="n"/>
    </row>
    <row r="105">
      <c r="A105" s="4" t="n"/>
      <c r="B105" s="5" t="n"/>
      <c r="C105" s="6">
        <f>IF(B105="","",IFERROR(VLOOKUP(B105,TIPOS!$A:$B,2,FALSE),""))</f>
        <v/>
      </c>
      <c r="D105" s="5" t="n"/>
      <c r="E105" s="5" t="n"/>
      <c r="F105" s="6">
        <f>IF(E105="","",IFERROR(VLOOKUP(E105,MAESTRO!$A:$B,2,FALSE),"NO ESTÁ EN EL MAESTRO"))</f>
        <v/>
      </c>
      <c r="G105" s="7" t="n"/>
      <c r="H105" s="7" t="n"/>
      <c r="I105" s="8">
        <f>IF(E105="","",IFERROR(G105*VLOOKUP(E105,MAESTRO!$A:$D,4,FALSE),0)+N(H105))</f>
        <v/>
      </c>
      <c r="J105" s="6">
        <f>IF(OR(E105="",N(G105)=0),"",IFERROR(IF(VLOOKUP(E105,MAESTRO!$A:$E,5,FALSE)="","",VLOOKUP(E105,MAESTRO!$A:$E,5,FALSE)&amp;" · "&amp;G105),""))</f>
        <v/>
      </c>
      <c r="K105" s="5" t="n"/>
    </row>
    <row r="106">
      <c r="A106" s="4" t="n"/>
      <c r="B106" s="5" t="n"/>
      <c r="C106" s="6">
        <f>IF(B106="","",IFERROR(VLOOKUP(B106,TIPOS!$A:$B,2,FALSE),""))</f>
        <v/>
      </c>
      <c r="D106" s="5" t="n"/>
      <c r="E106" s="5" t="n"/>
      <c r="F106" s="6">
        <f>IF(E106="","",IFERROR(VLOOKUP(E106,MAESTRO!$A:$B,2,FALSE),"NO ESTÁ EN EL MAESTRO"))</f>
        <v/>
      </c>
      <c r="G106" s="7" t="n"/>
      <c r="H106" s="7" t="n"/>
      <c r="I106" s="8">
        <f>IF(E106="","",IFERROR(G106*VLOOKUP(E106,MAESTRO!$A:$D,4,FALSE),0)+N(H106))</f>
        <v/>
      </c>
      <c r="J106" s="6">
        <f>IF(OR(E106="",N(G106)=0),"",IFERROR(IF(VLOOKUP(E106,MAESTRO!$A:$E,5,FALSE)="","",VLOOKUP(E106,MAESTRO!$A:$E,5,FALSE)&amp;" · "&amp;G106),""))</f>
        <v/>
      </c>
      <c r="K106" s="5" t="n"/>
    </row>
    <row r="107">
      <c r="A107" s="4" t="n"/>
      <c r="B107" s="5" t="n"/>
      <c r="C107" s="6">
        <f>IF(B107="","",IFERROR(VLOOKUP(B107,TIPOS!$A:$B,2,FALSE),""))</f>
        <v/>
      </c>
      <c r="D107" s="5" t="n"/>
      <c r="E107" s="5" t="n"/>
      <c r="F107" s="6">
        <f>IF(E107="","",IFERROR(VLOOKUP(E107,MAESTRO!$A:$B,2,FALSE),"NO ESTÁ EN EL MAESTRO"))</f>
        <v/>
      </c>
      <c r="G107" s="7" t="n"/>
      <c r="H107" s="7" t="n"/>
      <c r="I107" s="8">
        <f>IF(E107="","",IFERROR(G107*VLOOKUP(E107,MAESTRO!$A:$D,4,FALSE),0)+N(H107))</f>
        <v/>
      </c>
      <c r="J107" s="6">
        <f>IF(OR(E107="",N(G107)=0),"",IFERROR(IF(VLOOKUP(E107,MAESTRO!$A:$E,5,FALSE)="","",VLOOKUP(E107,MAESTRO!$A:$E,5,FALSE)&amp;" · "&amp;G107),""))</f>
        <v/>
      </c>
      <c r="K107" s="5" t="n"/>
    </row>
    <row r="108">
      <c r="A108" s="4" t="n"/>
      <c r="B108" s="5" t="n"/>
      <c r="C108" s="6">
        <f>IF(B108="","",IFERROR(VLOOKUP(B108,TIPOS!$A:$B,2,FALSE),""))</f>
        <v/>
      </c>
      <c r="D108" s="5" t="n"/>
      <c r="E108" s="5" t="n"/>
      <c r="F108" s="6">
        <f>IF(E108="","",IFERROR(VLOOKUP(E108,MAESTRO!$A:$B,2,FALSE),"NO ESTÁ EN EL MAESTRO"))</f>
        <v/>
      </c>
      <c r="G108" s="7" t="n"/>
      <c r="H108" s="7" t="n"/>
      <c r="I108" s="8">
        <f>IF(E108="","",IFERROR(G108*VLOOKUP(E108,MAESTRO!$A:$D,4,FALSE),0)+N(H108))</f>
        <v/>
      </c>
      <c r="J108" s="6">
        <f>IF(OR(E108="",N(G108)=0),"",IFERROR(IF(VLOOKUP(E108,MAESTRO!$A:$E,5,FALSE)="","",VLOOKUP(E108,MAESTRO!$A:$E,5,FALSE)&amp;" · "&amp;G108),""))</f>
        <v/>
      </c>
      <c r="K108" s="5" t="n"/>
    </row>
    <row r="109">
      <c r="A109" s="4" t="n"/>
      <c r="B109" s="5" t="n"/>
      <c r="C109" s="6">
        <f>IF(B109="","",IFERROR(VLOOKUP(B109,TIPOS!$A:$B,2,FALSE),""))</f>
        <v/>
      </c>
      <c r="D109" s="5" t="n"/>
      <c r="E109" s="5" t="n"/>
      <c r="F109" s="6">
        <f>IF(E109="","",IFERROR(VLOOKUP(E109,MAESTRO!$A:$B,2,FALSE),"NO ESTÁ EN EL MAESTRO"))</f>
        <v/>
      </c>
      <c r="G109" s="7" t="n"/>
      <c r="H109" s="7" t="n"/>
      <c r="I109" s="8">
        <f>IF(E109="","",IFERROR(G109*VLOOKUP(E109,MAESTRO!$A:$D,4,FALSE),0)+N(H109))</f>
        <v/>
      </c>
      <c r="J109" s="6">
        <f>IF(OR(E109="",N(G109)=0),"",IFERROR(IF(VLOOKUP(E109,MAESTRO!$A:$E,5,FALSE)="","",VLOOKUP(E109,MAESTRO!$A:$E,5,FALSE)&amp;" · "&amp;G109),""))</f>
        <v/>
      </c>
      <c r="K109" s="5" t="n"/>
    </row>
    <row r="110">
      <c r="A110" s="4" t="n"/>
      <c r="B110" s="5" t="n"/>
      <c r="C110" s="6">
        <f>IF(B110="","",IFERROR(VLOOKUP(B110,TIPOS!$A:$B,2,FALSE),""))</f>
        <v/>
      </c>
      <c r="D110" s="5" t="n"/>
      <c r="E110" s="5" t="n"/>
      <c r="F110" s="6">
        <f>IF(E110="","",IFERROR(VLOOKUP(E110,MAESTRO!$A:$B,2,FALSE),"NO ESTÁ EN EL MAESTRO"))</f>
        <v/>
      </c>
      <c r="G110" s="7" t="n"/>
      <c r="H110" s="7" t="n"/>
      <c r="I110" s="8">
        <f>IF(E110="","",IFERROR(G110*VLOOKUP(E110,MAESTRO!$A:$D,4,FALSE),0)+N(H110))</f>
        <v/>
      </c>
      <c r="J110" s="6">
        <f>IF(OR(E110="",N(G110)=0),"",IFERROR(IF(VLOOKUP(E110,MAESTRO!$A:$E,5,FALSE)="","",VLOOKUP(E110,MAESTRO!$A:$E,5,FALSE)&amp;" · "&amp;G110),""))</f>
        <v/>
      </c>
      <c r="K110" s="5" t="n"/>
    </row>
    <row r="111">
      <c r="A111" s="4" t="n"/>
      <c r="B111" s="5" t="n"/>
      <c r="C111" s="6">
        <f>IF(B111="","",IFERROR(VLOOKUP(B111,TIPOS!$A:$B,2,FALSE),""))</f>
        <v/>
      </c>
      <c r="D111" s="5" t="n"/>
      <c r="E111" s="5" t="n"/>
      <c r="F111" s="6">
        <f>IF(E111="","",IFERROR(VLOOKUP(E111,MAESTRO!$A:$B,2,FALSE),"NO ESTÁ EN EL MAESTRO"))</f>
        <v/>
      </c>
      <c r="G111" s="7" t="n"/>
      <c r="H111" s="7" t="n"/>
      <c r="I111" s="8">
        <f>IF(E111="","",IFERROR(G111*VLOOKUP(E111,MAESTRO!$A:$D,4,FALSE),0)+N(H111))</f>
        <v/>
      </c>
      <c r="J111" s="6">
        <f>IF(OR(E111="",N(G111)=0),"",IFERROR(IF(VLOOKUP(E111,MAESTRO!$A:$E,5,FALSE)="","",VLOOKUP(E111,MAESTRO!$A:$E,5,FALSE)&amp;" · "&amp;G111),""))</f>
        <v/>
      </c>
      <c r="K111" s="5" t="n"/>
    </row>
    <row r="112">
      <c r="A112" s="4" t="n"/>
      <c r="B112" s="5" t="n"/>
      <c r="C112" s="6">
        <f>IF(B112="","",IFERROR(VLOOKUP(B112,TIPOS!$A:$B,2,FALSE),""))</f>
        <v/>
      </c>
      <c r="D112" s="5" t="n"/>
      <c r="E112" s="5" t="n"/>
      <c r="F112" s="6">
        <f>IF(E112="","",IFERROR(VLOOKUP(E112,MAESTRO!$A:$B,2,FALSE),"NO ESTÁ EN EL MAESTRO"))</f>
        <v/>
      </c>
      <c r="G112" s="7" t="n"/>
      <c r="H112" s="7" t="n"/>
      <c r="I112" s="8">
        <f>IF(E112="","",IFERROR(G112*VLOOKUP(E112,MAESTRO!$A:$D,4,FALSE),0)+N(H112))</f>
        <v/>
      </c>
      <c r="J112" s="6">
        <f>IF(OR(E112="",N(G112)=0),"",IFERROR(IF(VLOOKUP(E112,MAESTRO!$A:$E,5,FALSE)="","",VLOOKUP(E112,MAESTRO!$A:$E,5,FALSE)&amp;" · "&amp;G112),""))</f>
        <v/>
      </c>
      <c r="K112" s="5" t="n"/>
    </row>
    <row r="113">
      <c r="A113" s="4" t="n"/>
      <c r="B113" s="5" t="n"/>
      <c r="C113" s="6">
        <f>IF(B113="","",IFERROR(VLOOKUP(B113,TIPOS!$A:$B,2,FALSE),""))</f>
        <v/>
      </c>
      <c r="D113" s="5" t="n"/>
      <c r="E113" s="5" t="n"/>
      <c r="F113" s="6">
        <f>IF(E113="","",IFERROR(VLOOKUP(E113,MAESTRO!$A:$B,2,FALSE),"NO ESTÁ EN EL MAESTRO"))</f>
        <v/>
      </c>
      <c r="G113" s="7" t="n"/>
      <c r="H113" s="7" t="n"/>
      <c r="I113" s="8">
        <f>IF(E113="","",IFERROR(G113*VLOOKUP(E113,MAESTRO!$A:$D,4,FALSE),0)+N(H113))</f>
        <v/>
      </c>
      <c r="J113" s="6">
        <f>IF(OR(E113="",N(G113)=0),"",IFERROR(IF(VLOOKUP(E113,MAESTRO!$A:$E,5,FALSE)="","",VLOOKUP(E113,MAESTRO!$A:$E,5,FALSE)&amp;" · "&amp;G113),""))</f>
        <v/>
      </c>
      <c r="K113" s="5" t="n"/>
    </row>
    <row r="114">
      <c r="A114" s="4" t="n"/>
      <c r="B114" s="5" t="n"/>
      <c r="C114" s="6">
        <f>IF(B114="","",IFERROR(VLOOKUP(B114,TIPOS!$A:$B,2,FALSE),""))</f>
        <v/>
      </c>
      <c r="D114" s="5" t="n"/>
      <c r="E114" s="5" t="n"/>
      <c r="F114" s="6">
        <f>IF(E114="","",IFERROR(VLOOKUP(E114,MAESTRO!$A:$B,2,FALSE),"NO ESTÁ EN EL MAESTRO"))</f>
        <v/>
      </c>
      <c r="G114" s="7" t="n"/>
      <c r="H114" s="7" t="n"/>
      <c r="I114" s="8">
        <f>IF(E114="","",IFERROR(G114*VLOOKUP(E114,MAESTRO!$A:$D,4,FALSE),0)+N(H114))</f>
        <v/>
      </c>
      <c r="J114" s="6">
        <f>IF(OR(E114="",N(G114)=0),"",IFERROR(IF(VLOOKUP(E114,MAESTRO!$A:$E,5,FALSE)="","",VLOOKUP(E114,MAESTRO!$A:$E,5,FALSE)&amp;" · "&amp;G114),""))</f>
        <v/>
      </c>
      <c r="K114" s="5" t="n"/>
    </row>
    <row r="115">
      <c r="A115" s="4" t="n"/>
      <c r="B115" s="5" t="n"/>
      <c r="C115" s="6">
        <f>IF(B115="","",IFERROR(VLOOKUP(B115,TIPOS!$A:$B,2,FALSE),""))</f>
        <v/>
      </c>
      <c r="D115" s="5" t="n"/>
      <c r="E115" s="5" t="n"/>
      <c r="F115" s="6">
        <f>IF(E115="","",IFERROR(VLOOKUP(E115,MAESTRO!$A:$B,2,FALSE),"NO ESTÁ EN EL MAESTRO"))</f>
        <v/>
      </c>
      <c r="G115" s="7" t="n"/>
      <c r="H115" s="7" t="n"/>
      <c r="I115" s="8">
        <f>IF(E115="","",IFERROR(G115*VLOOKUP(E115,MAESTRO!$A:$D,4,FALSE),0)+N(H115))</f>
        <v/>
      </c>
      <c r="J115" s="6">
        <f>IF(OR(E115="",N(G115)=0),"",IFERROR(IF(VLOOKUP(E115,MAESTRO!$A:$E,5,FALSE)="","",VLOOKUP(E115,MAESTRO!$A:$E,5,FALSE)&amp;" · "&amp;G115),""))</f>
        <v/>
      </c>
      <c r="K115" s="5" t="n"/>
    </row>
    <row r="116">
      <c r="A116" s="4" t="n"/>
      <c r="B116" s="5" t="n"/>
      <c r="C116" s="6">
        <f>IF(B116="","",IFERROR(VLOOKUP(B116,TIPOS!$A:$B,2,FALSE),""))</f>
        <v/>
      </c>
      <c r="D116" s="5" t="n"/>
      <c r="E116" s="5" t="n"/>
      <c r="F116" s="6">
        <f>IF(E116="","",IFERROR(VLOOKUP(E116,MAESTRO!$A:$B,2,FALSE),"NO ESTÁ EN EL MAESTRO"))</f>
        <v/>
      </c>
      <c r="G116" s="7" t="n"/>
      <c r="H116" s="7" t="n"/>
      <c r="I116" s="8">
        <f>IF(E116="","",IFERROR(G116*VLOOKUP(E116,MAESTRO!$A:$D,4,FALSE),0)+N(H116))</f>
        <v/>
      </c>
      <c r="J116" s="6">
        <f>IF(OR(E116="",N(G116)=0),"",IFERROR(IF(VLOOKUP(E116,MAESTRO!$A:$E,5,FALSE)="","",VLOOKUP(E116,MAESTRO!$A:$E,5,FALSE)&amp;" · "&amp;G116),""))</f>
        <v/>
      </c>
      <c r="K116" s="5" t="n"/>
    </row>
    <row r="117">
      <c r="A117" s="4" t="n"/>
      <c r="B117" s="5" t="n"/>
      <c r="C117" s="6">
        <f>IF(B117="","",IFERROR(VLOOKUP(B117,TIPOS!$A:$B,2,FALSE),""))</f>
        <v/>
      </c>
      <c r="D117" s="5" t="n"/>
      <c r="E117" s="5" t="n"/>
      <c r="F117" s="6">
        <f>IF(E117="","",IFERROR(VLOOKUP(E117,MAESTRO!$A:$B,2,FALSE),"NO ESTÁ EN EL MAESTRO"))</f>
        <v/>
      </c>
      <c r="G117" s="7" t="n"/>
      <c r="H117" s="7" t="n"/>
      <c r="I117" s="8">
        <f>IF(E117="","",IFERROR(G117*VLOOKUP(E117,MAESTRO!$A:$D,4,FALSE),0)+N(H117))</f>
        <v/>
      </c>
      <c r="J117" s="6">
        <f>IF(OR(E117="",N(G117)=0),"",IFERROR(IF(VLOOKUP(E117,MAESTRO!$A:$E,5,FALSE)="","",VLOOKUP(E117,MAESTRO!$A:$E,5,FALSE)&amp;" · "&amp;G117),""))</f>
        <v/>
      </c>
      <c r="K117" s="5" t="n"/>
    </row>
    <row r="118">
      <c r="A118" s="4" t="n"/>
      <c r="B118" s="5" t="n"/>
      <c r="C118" s="6">
        <f>IF(B118="","",IFERROR(VLOOKUP(B118,TIPOS!$A:$B,2,FALSE),""))</f>
        <v/>
      </c>
      <c r="D118" s="5" t="n"/>
      <c r="E118" s="5" t="n"/>
      <c r="F118" s="6">
        <f>IF(E118="","",IFERROR(VLOOKUP(E118,MAESTRO!$A:$B,2,FALSE),"NO ESTÁ EN EL MAESTRO"))</f>
        <v/>
      </c>
      <c r="G118" s="7" t="n"/>
      <c r="H118" s="7" t="n"/>
      <c r="I118" s="8">
        <f>IF(E118="","",IFERROR(G118*VLOOKUP(E118,MAESTRO!$A:$D,4,FALSE),0)+N(H118))</f>
        <v/>
      </c>
      <c r="J118" s="6">
        <f>IF(OR(E118="",N(G118)=0),"",IFERROR(IF(VLOOKUP(E118,MAESTRO!$A:$E,5,FALSE)="","",VLOOKUP(E118,MAESTRO!$A:$E,5,FALSE)&amp;" · "&amp;G118),""))</f>
        <v/>
      </c>
      <c r="K118" s="5" t="n"/>
    </row>
    <row r="119">
      <c r="A119" s="4" t="n"/>
      <c r="B119" s="5" t="n"/>
      <c r="C119" s="6">
        <f>IF(B119="","",IFERROR(VLOOKUP(B119,TIPOS!$A:$B,2,FALSE),""))</f>
        <v/>
      </c>
      <c r="D119" s="5" t="n"/>
      <c r="E119" s="5" t="n"/>
      <c r="F119" s="6">
        <f>IF(E119="","",IFERROR(VLOOKUP(E119,MAESTRO!$A:$B,2,FALSE),"NO ESTÁ EN EL MAESTRO"))</f>
        <v/>
      </c>
      <c r="G119" s="7" t="n"/>
      <c r="H119" s="7" t="n"/>
      <c r="I119" s="8">
        <f>IF(E119="","",IFERROR(G119*VLOOKUP(E119,MAESTRO!$A:$D,4,FALSE),0)+N(H119))</f>
        <v/>
      </c>
      <c r="J119" s="6">
        <f>IF(OR(E119="",N(G119)=0),"",IFERROR(IF(VLOOKUP(E119,MAESTRO!$A:$E,5,FALSE)="","",VLOOKUP(E119,MAESTRO!$A:$E,5,FALSE)&amp;" · "&amp;G119),""))</f>
        <v/>
      </c>
      <c r="K119" s="5" t="n"/>
    </row>
    <row r="120">
      <c r="A120" s="4" t="n"/>
      <c r="B120" s="5" t="n"/>
      <c r="C120" s="6">
        <f>IF(B120="","",IFERROR(VLOOKUP(B120,TIPOS!$A:$B,2,FALSE),""))</f>
        <v/>
      </c>
      <c r="D120" s="5" t="n"/>
      <c r="E120" s="5" t="n"/>
      <c r="F120" s="6">
        <f>IF(E120="","",IFERROR(VLOOKUP(E120,MAESTRO!$A:$B,2,FALSE),"NO ESTÁ EN EL MAESTRO"))</f>
        <v/>
      </c>
      <c r="G120" s="7" t="n"/>
      <c r="H120" s="7" t="n"/>
      <c r="I120" s="8">
        <f>IF(E120="","",IFERROR(G120*VLOOKUP(E120,MAESTRO!$A:$D,4,FALSE),0)+N(H120))</f>
        <v/>
      </c>
      <c r="J120" s="6">
        <f>IF(OR(E120="",N(G120)=0),"",IFERROR(IF(VLOOKUP(E120,MAESTRO!$A:$E,5,FALSE)="","",VLOOKUP(E120,MAESTRO!$A:$E,5,FALSE)&amp;" · "&amp;G120),""))</f>
        <v/>
      </c>
      <c r="K120" s="5" t="n"/>
    </row>
    <row r="121">
      <c r="A121" s="4" t="n"/>
      <c r="B121" s="5" t="n"/>
      <c r="C121" s="6">
        <f>IF(B121="","",IFERROR(VLOOKUP(B121,TIPOS!$A:$B,2,FALSE),""))</f>
        <v/>
      </c>
      <c r="D121" s="5" t="n"/>
      <c r="E121" s="5" t="n"/>
      <c r="F121" s="6">
        <f>IF(E121="","",IFERROR(VLOOKUP(E121,MAESTRO!$A:$B,2,FALSE),"NO ESTÁ EN EL MAESTRO"))</f>
        <v/>
      </c>
      <c r="G121" s="7" t="n"/>
      <c r="H121" s="7" t="n"/>
      <c r="I121" s="8">
        <f>IF(E121="","",IFERROR(G121*VLOOKUP(E121,MAESTRO!$A:$D,4,FALSE),0)+N(H121))</f>
        <v/>
      </c>
      <c r="J121" s="6">
        <f>IF(OR(E121="",N(G121)=0),"",IFERROR(IF(VLOOKUP(E121,MAESTRO!$A:$E,5,FALSE)="","",VLOOKUP(E121,MAESTRO!$A:$E,5,FALSE)&amp;" · "&amp;G121),""))</f>
        <v/>
      </c>
      <c r="K121" s="5" t="n"/>
    </row>
    <row r="122">
      <c r="A122" s="4" t="n"/>
      <c r="B122" s="5" t="n"/>
      <c r="C122" s="6">
        <f>IF(B122="","",IFERROR(VLOOKUP(B122,TIPOS!$A:$B,2,FALSE),""))</f>
        <v/>
      </c>
      <c r="D122" s="5" t="n"/>
      <c r="E122" s="5" t="n"/>
      <c r="F122" s="6">
        <f>IF(E122="","",IFERROR(VLOOKUP(E122,MAESTRO!$A:$B,2,FALSE),"NO ESTÁ EN EL MAESTRO"))</f>
        <v/>
      </c>
      <c r="G122" s="7" t="n"/>
      <c r="H122" s="7" t="n"/>
      <c r="I122" s="8">
        <f>IF(E122="","",IFERROR(G122*VLOOKUP(E122,MAESTRO!$A:$D,4,FALSE),0)+N(H122))</f>
        <v/>
      </c>
      <c r="J122" s="6">
        <f>IF(OR(E122="",N(G122)=0),"",IFERROR(IF(VLOOKUP(E122,MAESTRO!$A:$E,5,FALSE)="","",VLOOKUP(E122,MAESTRO!$A:$E,5,FALSE)&amp;" · "&amp;G122),""))</f>
        <v/>
      </c>
      <c r="K122" s="5" t="n"/>
    </row>
    <row r="123">
      <c r="A123" s="4" t="n"/>
      <c r="B123" s="5" t="n"/>
      <c r="C123" s="6">
        <f>IF(B123="","",IFERROR(VLOOKUP(B123,TIPOS!$A:$B,2,FALSE),""))</f>
        <v/>
      </c>
      <c r="D123" s="5" t="n"/>
      <c r="E123" s="5" t="n"/>
      <c r="F123" s="6">
        <f>IF(E123="","",IFERROR(VLOOKUP(E123,MAESTRO!$A:$B,2,FALSE),"NO ESTÁ EN EL MAESTRO"))</f>
        <v/>
      </c>
      <c r="G123" s="7" t="n"/>
      <c r="H123" s="7" t="n"/>
      <c r="I123" s="8">
        <f>IF(E123="","",IFERROR(G123*VLOOKUP(E123,MAESTRO!$A:$D,4,FALSE),0)+N(H123))</f>
        <v/>
      </c>
      <c r="J123" s="6">
        <f>IF(OR(E123="",N(G123)=0),"",IFERROR(IF(VLOOKUP(E123,MAESTRO!$A:$E,5,FALSE)="","",VLOOKUP(E123,MAESTRO!$A:$E,5,FALSE)&amp;" · "&amp;G123),""))</f>
        <v/>
      </c>
      <c r="K123" s="5" t="n"/>
    </row>
    <row r="124">
      <c r="A124" s="4" t="n"/>
      <c r="B124" s="5" t="n"/>
      <c r="C124" s="6">
        <f>IF(B124="","",IFERROR(VLOOKUP(B124,TIPOS!$A:$B,2,FALSE),""))</f>
        <v/>
      </c>
      <c r="D124" s="5" t="n"/>
      <c r="E124" s="5" t="n"/>
      <c r="F124" s="6">
        <f>IF(E124="","",IFERROR(VLOOKUP(E124,MAESTRO!$A:$B,2,FALSE),"NO ESTÁ EN EL MAESTRO"))</f>
        <v/>
      </c>
      <c r="G124" s="7" t="n"/>
      <c r="H124" s="7" t="n"/>
      <c r="I124" s="8">
        <f>IF(E124="","",IFERROR(G124*VLOOKUP(E124,MAESTRO!$A:$D,4,FALSE),0)+N(H124))</f>
        <v/>
      </c>
      <c r="J124" s="6">
        <f>IF(OR(E124="",N(G124)=0),"",IFERROR(IF(VLOOKUP(E124,MAESTRO!$A:$E,5,FALSE)="","",VLOOKUP(E124,MAESTRO!$A:$E,5,FALSE)&amp;" · "&amp;G124),""))</f>
        <v/>
      </c>
      <c r="K124" s="5" t="n"/>
    </row>
    <row r="125">
      <c r="A125" s="4" t="n"/>
      <c r="B125" s="5" t="n"/>
      <c r="C125" s="6">
        <f>IF(B125="","",IFERROR(VLOOKUP(B125,TIPOS!$A:$B,2,FALSE),""))</f>
        <v/>
      </c>
      <c r="D125" s="5" t="n"/>
      <c r="E125" s="5" t="n"/>
      <c r="F125" s="6">
        <f>IF(E125="","",IFERROR(VLOOKUP(E125,MAESTRO!$A:$B,2,FALSE),"NO ESTÁ EN EL MAESTRO"))</f>
        <v/>
      </c>
      <c r="G125" s="7" t="n"/>
      <c r="H125" s="7" t="n"/>
      <c r="I125" s="8">
        <f>IF(E125="","",IFERROR(G125*VLOOKUP(E125,MAESTRO!$A:$D,4,FALSE),0)+N(H125))</f>
        <v/>
      </c>
      <c r="J125" s="6">
        <f>IF(OR(E125="",N(G125)=0),"",IFERROR(IF(VLOOKUP(E125,MAESTRO!$A:$E,5,FALSE)="","",VLOOKUP(E125,MAESTRO!$A:$E,5,FALSE)&amp;" · "&amp;G125),""))</f>
        <v/>
      </c>
      <c r="K125" s="5" t="n"/>
    </row>
    <row r="126">
      <c r="A126" s="4" t="n"/>
      <c r="B126" s="5" t="n"/>
      <c r="C126" s="6">
        <f>IF(B126="","",IFERROR(VLOOKUP(B126,TIPOS!$A:$B,2,FALSE),""))</f>
        <v/>
      </c>
      <c r="D126" s="5" t="n"/>
      <c r="E126" s="5" t="n"/>
      <c r="F126" s="6">
        <f>IF(E126="","",IFERROR(VLOOKUP(E126,MAESTRO!$A:$B,2,FALSE),"NO ESTÁ EN EL MAESTRO"))</f>
        <v/>
      </c>
      <c r="G126" s="7" t="n"/>
      <c r="H126" s="7" t="n"/>
      <c r="I126" s="8">
        <f>IF(E126="","",IFERROR(G126*VLOOKUP(E126,MAESTRO!$A:$D,4,FALSE),0)+N(H126))</f>
        <v/>
      </c>
      <c r="J126" s="6">
        <f>IF(OR(E126="",N(G126)=0),"",IFERROR(IF(VLOOKUP(E126,MAESTRO!$A:$E,5,FALSE)="","",VLOOKUP(E126,MAESTRO!$A:$E,5,FALSE)&amp;" · "&amp;G126),""))</f>
        <v/>
      </c>
      <c r="K126" s="5" t="n"/>
    </row>
    <row r="127">
      <c r="A127" s="4" t="n"/>
      <c r="B127" s="5" t="n"/>
      <c r="C127" s="6">
        <f>IF(B127="","",IFERROR(VLOOKUP(B127,TIPOS!$A:$B,2,FALSE),""))</f>
        <v/>
      </c>
      <c r="D127" s="5" t="n"/>
      <c r="E127" s="5" t="n"/>
      <c r="F127" s="6">
        <f>IF(E127="","",IFERROR(VLOOKUP(E127,MAESTRO!$A:$B,2,FALSE),"NO ESTÁ EN EL MAESTRO"))</f>
        <v/>
      </c>
      <c r="G127" s="7" t="n"/>
      <c r="H127" s="7" t="n"/>
      <c r="I127" s="8">
        <f>IF(E127="","",IFERROR(G127*VLOOKUP(E127,MAESTRO!$A:$D,4,FALSE),0)+N(H127))</f>
        <v/>
      </c>
      <c r="J127" s="6">
        <f>IF(OR(E127="",N(G127)=0),"",IFERROR(IF(VLOOKUP(E127,MAESTRO!$A:$E,5,FALSE)="","",VLOOKUP(E127,MAESTRO!$A:$E,5,FALSE)&amp;" · "&amp;G127),""))</f>
        <v/>
      </c>
      <c r="K127" s="5" t="n"/>
    </row>
    <row r="128">
      <c r="A128" s="4" t="n"/>
      <c r="B128" s="5" t="n"/>
      <c r="C128" s="6">
        <f>IF(B128="","",IFERROR(VLOOKUP(B128,TIPOS!$A:$B,2,FALSE),""))</f>
        <v/>
      </c>
      <c r="D128" s="5" t="n"/>
      <c r="E128" s="5" t="n"/>
      <c r="F128" s="6">
        <f>IF(E128="","",IFERROR(VLOOKUP(E128,MAESTRO!$A:$B,2,FALSE),"NO ESTÁ EN EL MAESTRO"))</f>
        <v/>
      </c>
      <c r="G128" s="7" t="n"/>
      <c r="H128" s="7" t="n"/>
      <c r="I128" s="8">
        <f>IF(E128="","",IFERROR(G128*VLOOKUP(E128,MAESTRO!$A:$D,4,FALSE),0)+N(H128))</f>
        <v/>
      </c>
      <c r="J128" s="6">
        <f>IF(OR(E128="",N(G128)=0),"",IFERROR(IF(VLOOKUP(E128,MAESTRO!$A:$E,5,FALSE)="","",VLOOKUP(E128,MAESTRO!$A:$E,5,FALSE)&amp;" · "&amp;G128),""))</f>
        <v/>
      </c>
      <c r="K128" s="5" t="n"/>
    </row>
    <row r="129">
      <c r="A129" s="4" t="n"/>
      <c r="B129" s="5" t="n"/>
      <c r="C129" s="6">
        <f>IF(B129="","",IFERROR(VLOOKUP(B129,TIPOS!$A:$B,2,FALSE),""))</f>
        <v/>
      </c>
      <c r="D129" s="5" t="n"/>
      <c r="E129" s="5" t="n"/>
      <c r="F129" s="6">
        <f>IF(E129="","",IFERROR(VLOOKUP(E129,MAESTRO!$A:$B,2,FALSE),"NO ESTÁ EN EL MAESTRO"))</f>
        <v/>
      </c>
      <c r="G129" s="7" t="n"/>
      <c r="H129" s="7" t="n"/>
      <c r="I129" s="8">
        <f>IF(E129="","",IFERROR(G129*VLOOKUP(E129,MAESTRO!$A:$D,4,FALSE),0)+N(H129))</f>
        <v/>
      </c>
      <c r="J129" s="6">
        <f>IF(OR(E129="",N(G129)=0),"",IFERROR(IF(VLOOKUP(E129,MAESTRO!$A:$E,5,FALSE)="","",VLOOKUP(E129,MAESTRO!$A:$E,5,FALSE)&amp;" · "&amp;G129),""))</f>
        <v/>
      </c>
      <c r="K129" s="5" t="n"/>
    </row>
    <row r="130">
      <c r="A130" s="4" t="n"/>
      <c r="B130" s="5" t="n"/>
      <c r="C130" s="6">
        <f>IF(B130="","",IFERROR(VLOOKUP(B130,TIPOS!$A:$B,2,FALSE),""))</f>
        <v/>
      </c>
      <c r="D130" s="5" t="n"/>
      <c r="E130" s="5" t="n"/>
      <c r="F130" s="6">
        <f>IF(E130="","",IFERROR(VLOOKUP(E130,MAESTRO!$A:$B,2,FALSE),"NO ESTÁ EN EL MAESTRO"))</f>
        <v/>
      </c>
      <c r="G130" s="7" t="n"/>
      <c r="H130" s="7" t="n"/>
      <c r="I130" s="8">
        <f>IF(E130="","",IFERROR(G130*VLOOKUP(E130,MAESTRO!$A:$D,4,FALSE),0)+N(H130))</f>
        <v/>
      </c>
      <c r="J130" s="6">
        <f>IF(OR(E130="",N(G130)=0),"",IFERROR(IF(VLOOKUP(E130,MAESTRO!$A:$E,5,FALSE)="","",VLOOKUP(E130,MAESTRO!$A:$E,5,FALSE)&amp;" · "&amp;G130),""))</f>
        <v/>
      </c>
      <c r="K130" s="5" t="n"/>
    </row>
    <row r="131">
      <c r="A131" s="4" t="n"/>
      <c r="B131" s="5" t="n"/>
      <c r="C131" s="6">
        <f>IF(B131="","",IFERROR(VLOOKUP(B131,TIPOS!$A:$B,2,FALSE),""))</f>
        <v/>
      </c>
      <c r="D131" s="5" t="n"/>
      <c r="E131" s="5" t="n"/>
      <c r="F131" s="6">
        <f>IF(E131="","",IFERROR(VLOOKUP(E131,MAESTRO!$A:$B,2,FALSE),"NO ESTÁ EN EL MAESTRO"))</f>
        <v/>
      </c>
      <c r="G131" s="7" t="n"/>
      <c r="H131" s="7" t="n"/>
      <c r="I131" s="8">
        <f>IF(E131="","",IFERROR(G131*VLOOKUP(E131,MAESTRO!$A:$D,4,FALSE),0)+N(H131))</f>
        <v/>
      </c>
      <c r="J131" s="6">
        <f>IF(OR(E131="",N(G131)=0),"",IFERROR(IF(VLOOKUP(E131,MAESTRO!$A:$E,5,FALSE)="","",VLOOKUP(E131,MAESTRO!$A:$E,5,FALSE)&amp;" · "&amp;G131),""))</f>
        <v/>
      </c>
      <c r="K131" s="5" t="n"/>
    </row>
    <row r="132">
      <c r="A132" s="4" t="n"/>
      <c r="B132" s="5" t="n"/>
      <c r="C132" s="6">
        <f>IF(B132="","",IFERROR(VLOOKUP(B132,TIPOS!$A:$B,2,FALSE),""))</f>
        <v/>
      </c>
      <c r="D132" s="5" t="n"/>
      <c r="E132" s="5" t="n"/>
      <c r="F132" s="6">
        <f>IF(E132="","",IFERROR(VLOOKUP(E132,MAESTRO!$A:$B,2,FALSE),"NO ESTÁ EN EL MAESTRO"))</f>
        <v/>
      </c>
      <c r="G132" s="7" t="n"/>
      <c r="H132" s="7" t="n"/>
      <c r="I132" s="8">
        <f>IF(E132="","",IFERROR(G132*VLOOKUP(E132,MAESTRO!$A:$D,4,FALSE),0)+N(H132))</f>
        <v/>
      </c>
      <c r="J132" s="6">
        <f>IF(OR(E132="",N(G132)=0),"",IFERROR(IF(VLOOKUP(E132,MAESTRO!$A:$E,5,FALSE)="","",VLOOKUP(E132,MAESTRO!$A:$E,5,FALSE)&amp;" · "&amp;G132),""))</f>
        <v/>
      </c>
      <c r="K132" s="5" t="n"/>
    </row>
    <row r="133">
      <c r="A133" s="4" t="n"/>
      <c r="B133" s="5" t="n"/>
      <c r="C133" s="6">
        <f>IF(B133="","",IFERROR(VLOOKUP(B133,TIPOS!$A:$B,2,FALSE),""))</f>
        <v/>
      </c>
      <c r="D133" s="5" t="n"/>
      <c r="E133" s="5" t="n"/>
      <c r="F133" s="6">
        <f>IF(E133="","",IFERROR(VLOOKUP(E133,MAESTRO!$A:$B,2,FALSE),"NO ESTÁ EN EL MAESTRO"))</f>
        <v/>
      </c>
      <c r="G133" s="7" t="n"/>
      <c r="H133" s="7" t="n"/>
      <c r="I133" s="8">
        <f>IF(E133="","",IFERROR(G133*VLOOKUP(E133,MAESTRO!$A:$D,4,FALSE),0)+N(H133))</f>
        <v/>
      </c>
      <c r="J133" s="6">
        <f>IF(OR(E133="",N(G133)=0),"",IFERROR(IF(VLOOKUP(E133,MAESTRO!$A:$E,5,FALSE)="","",VLOOKUP(E133,MAESTRO!$A:$E,5,FALSE)&amp;" · "&amp;G133),""))</f>
        <v/>
      </c>
      <c r="K133" s="5" t="n"/>
    </row>
    <row r="134">
      <c r="A134" s="4" t="n"/>
      <c r="B134" s="5" t="n"/>
      <c r="C134" s="6">
        <f>IF(B134="","",IFERROR(VLOOKUP(B134,TIPOS!$A:$B,2,FALSE),""))</f>
        <v/>
      </c>
      <c r="D134" s="5" t="n"/>
      <c r="E134" s="5" t="n"/>
      <c r="F134" s="6">
        <f>IF(E134="","",IFERROR(VLOOKUP(E134,MAESTRO!$A:$B,2,FALSE),"NO ESTÁ EN EL MAESTRO"))</f>
        <v/>
      </c>
      <c r="G134" s="7" t="n"/>
      <c r="H134" s="7" t="n"/>
      <c r="I134" s="8">
        <f>IF(E134="","",IFERROR(G134*VLOOKUP(E134,MAESTRO!$A:$D,4,FALSE),0)+N(H134))</f>
        <v/>
      </c>
      <c r="J134" s="6">
        <f>IF(OR(E134="",N(G134)=0),"",IFERROR(IF(VLOOKUP(E134,MAESTRO!$A:$E,5,FALSE)="","",VLOOKUP(E134,MAESTRO!$A:$E,5,FALSE)&amp;" · "&amp;G134),""))</f>
        <v/>
      </c>
      <c r="K134" s="5" t="n"/>
    </row>
    <row r="135">
      <c r="A135" s="4" t="n"/>
      <c r="B135" s="5" t="n"/>
      <c r="C135" s="6">
        <f>IF(B135="","",IFERROR(VLOOKUP(B135,TIPOS!$A:$B,2,FALSE),""))</f>
        <v/>
      </c>
      <c r="D135" s="5" t="n"/>
      <c r="E135" s="5" t="n"/>
      <c r="F135" s="6">
        <f>IF(E135="","",IFERROR(VLOOKUP(E135,MAESTRO!$A:$B,2,FALSE),"NO ESTÁ EN EL MAESTRO"))</f>
        <v/>
      </c>
      <c r="G135" s="7" t="n"/>
      <c r="H135" s="7" t="n"/>
      <c r="I135" s="8">
        <f>IF(E135="","",IFERROR(G135*VLOOKUP(E135,MAESTRO!$A:$D,4,FALSE),0)+N(H135))</f>
        <v/>
      </c>
      <c r="J135" s="6">
        <f>IF(OR(E135="",N(G135)=0),"",IFERROR(IF(VLOOKUP(E135,MAESTRO!$A:$E,5,FALSE)="","",VLOOKUP(E135,MAESTRO!$A:$E,5,FALSE)&amp;" · "&amp;G135),""))</f>
        <v/>
      </c>
      <c r="K135" s="5" t="n"/>
    </row>
    <row r="136">
      <c r="A136" s="4" t="n"/>
      <c r="B136" s="5" t="n"/>
      <c r="C136" s="6">
        <f>IF(B136="","",IFERROR(VLOOKUP(B136,TIPOS!$A:$B,2,FALSE),""))</f>
        <v/>
      </c>
      <c r="D136" s="5" t="n"/>
      <c r="E136" s="5" t="n"/>
      <c r="F136" s="6">
        <f>IF(E136="","",IFERROR(VLOOKUP(E136,MAESTRO!$A:$B,2,FALSE),"NO ESTÁ EN EL MAESTRO"))</f>
        <v/>
      </c>
      <c r="G136" s="7" t="n"/>
      <c r="H136" s="7" t="n"/>
      <c r="I136" s="8">
        <f>IF(E136="","",IFERROR(G136*VLOOKUP(E136,MAESTRO!$A:$D,4,FALSE),0)+N(H136))</f>
        <v/>
      </c>
      <c r="J136" s="6">
        <f>IF(OR(E136="",N(G136)=0),"",IFERROR(IF(VLOOKUP(E136,MAESTRO!$A:$E,5,FALSE)="","",VLOOKUP(E136,MAESTRO!$A:$E,5,FALSE)&amp;" · "&amp;G136),""))</f>
        <v/>
      </c>
      <c r="K136" s="5" t="n"/>
    </row>
    <row r="137">
      <c r="A137" s="4" t="n"/>
      <c r="B137" s="5" t="n"/>
      <c r="C137" s="6">
        <f>IF(B137="","",IFERROR(VLOOKUP(B137,TIPOS!$A:$B,2,FALSE),""))</f>
        <v/>
      </c>
      <c r="D137" s="5" t="n"/>
      <c r="E137" s="5" t="n"/>
      <c r="F137" s="6">
        <f>IF(E137="","",IFERROR(VLOOKUP(E137,MAESTRO!$A:$B,2,FALSE),"NO ESTÁ EN EL MAESTRO"))</f>
        <v/>
      </c>
      <c r="G137" s="7" t="n"/>
      <c r="H137" s="7" t="n"/>
      <c r="I137" s="8">
        <f>IF(E137="","",IFERROR(G137*VLOOKUP(E137,MAESTRO!$A:$D,4,FALSE),0)+N(H137))</f>
        <v/>
      </c>
      <c r="J137" s="6">
        <f>IF(OR(E137="",N(G137)=0),"",IFERROR(IF(VLOOKUP(E137,MAESTRO!$A:$E,5,FALSE)="","",VLOOKUP(E137,MAESTRO!$A:$E,5,FALSE)&amp;" · "&amp;G137),""))</f>
        <v/>
      </c>
      <c r="K137" s="5" t="n"/>
    </row>
    <row r="138">
      <c r="A138" s="4" t="n"/>
      <c r="B138" s="5" t="n"/>
      <c r="C138" s="6">
        <f>IF(B138="","",IFERROR(VLOOKUP(B138,TIPOS!$A:$B,2,FALSE),""))</f>
        <v/>
      </c>
      <c r="D138" s="5" t="n"/>
      <c r="E138" s="5" t="n"/>
      <c r="F138" s="6">
        <f>IF(E138="","",IFERROR(VLOOKUP(E138,MAESTRO!$A:$B,2,FALSE),"NO ESTÁ EN EL MAESTRO"))</f>
        <v/>
      </c>
      <c r="G138" s="7" t="n"/>
      <c r="H138" s="7" t="n"/>
      <c r="I138" s="8">
        <f>IF(E138="","",IFERROR(G138*VLOOKUP(E138,MAESTRO!$A:$D,4,FALSE),0)+N(H138))</f>
        <v/>
      </c>
      <c r="J138" s="6">
        <f>IF(OR(E138="",N(G138)=0),"",IFERROR(IF(VLOOKUP(E138,MAESTRO!$A:$E,5,FALSE)="","",VLOOKUP(E138,MAESTRO!$A:$E,5,FALSE)&amp;" · "&amp;G138),""))</f>
        <v/>
      </c>
      <c r="K138" s="5" t="n"/>
    </row>
    <row r="139">
      <c r="A139" s="4" t="n"/>
      <c r="B139" s="5" t="n"/>
      <c r="C139" s="6">
        <f>IF(B139="","",IFERROR(VLOOKUP(B139,TIPOS!$A:$B,2,FALSE),""))</f>
        <v/>
      </c>
      <c r="D139" s="5" t="n"/>
      <c r="E139" s="5" t="n"/>
      <c r="F139" s="6">
        <f>IF(E139="","",IFERROR(VLOOKUP(E139,MAESTRO!$A:$B,2,FALSE),"NO ESTÁ EN EL MAESTRO"))</f>
        <v/>
      </c>
      <c r="G139" s="7" t="n"/>
      <c r="H139" s="7" t="n"/>
      <c r="I139" s="8">
        <f>IF(E139="","",IFERROR(G139*VLOOKUP(E139,MAESTRO!$A:$D,4,FALSE),0)+N(H139))</f>
        <v/>
      </c>
      <c r="J139" s="6">
        <f>IF(OR(E139="",N(G139)=0),"",IFERROR(IF(VLOOKUP(E139,MAESTRO!$A:$E,5,FALSE)="","",VLOOKUP(E139,MAESTRO!$A:$E,5,FALSE)&amp;" · "&amp;G139),""))</f>
        <v/>
      </c>
      <c r="K139" s="5" t="n"/>
    </row>
    <row r="140">
      <c r="A140" s="4" t="n"/>
      <c r="B140" s="5" t="n"/>
      <c r="C140" s="6">
        <f>IF(B140="","",IFERROR(VLOOKUP(B140,TIPOS!$A:$B,2,FALSE),""))</f>
        <v/>
      </c>
      <c r="D140" s="5" t="n"/>
      <c r="E140" s="5" t="n"/>
      <c r="F140" s="6">
        <f>IF(E140="","",IFERROR(VLOOKUP(E140,MAESTRO!$A:$B,2,FALSE),"NO ESTÁ EN EL MAESTRO"))</f>
        <v/>
      </c>
      <c r="G140" s="7" t="n"/>
      <c r="H140" s="7" t="n"/>
      <c r="I140" s="8">
        <f>IF(E140="","",IFERROR(G140*VLOOKUP(E140,MAESTRO!$A:$D,4,FALSE),0)+N(H140))</f>
        <v/>
      </c>
      <c r="J140" s="6">
        <f>IF(OR(E140="",N(G140)=0),"",IFERROR(IF(VLOOKUP(E140,MAESTRO!$A:$E,5,FALSE)="","",VLOOKUP(E140,MAESTRO!$A:$E,5,FALSE)&amp;" · "&amp;G140),""))</f>
        <v/>
      </c>
      <c r="K140" s="5" t="n"/>
    </row>
    <row r="141">
      <c r="A141" s="4" t="n"/>
      <c r="B141" s="5" t="n"/>
      <c r="C141" s="6">
        <f>IF(B141="","",IFERROR(VLOOKUP(B141,TIPOS!$A:$B,2,FALSE),""))</f>
        <v/>
      </c>
      <c r="D141" s="5" t="n"/>
      <c r="E141" s="5" t="n"/>
      <c r="F141" s="6">
        <f>IF(E141="","",IFERROR(VLOOKUP(E141,MAESTRO!$A:$B,2,FALSE),"NO ESTÁ EN EL MAESTRO"))</f>
        <v/>
      </c>
      <c r="G141" s="7" t="n"/>
      <c r="H141" s="7" t="n"/>
      <c r="I141" s="8">
        <f>IF(E141="","",IFERROR(G141*VLOOKUP(E141,MAESTRO!$A:$D,4,FALSE),0)+N(H141))</f>
        <v/>
      </c>
      <c r="J141" s="6">
        <f>IF(OR(E141="",N(G141)=0),"",IFERROR(IF(VLOOKUP(E141,MAESTRO!$A:$E,5,FALSE)="","",VLOOKUP(E141,MAESTRO!$A:$E,5,FALSE)&amp;" · "&amp;G141),""))</f>
        <v/>
      </c>
      <c r="K141" s="5" t="n"/>
    </row>
    <row r="142">
      <c r="A142" s="4" t="n"/>
      <c r="B142" s="5" t="n"/>
      <c r="C142" s="6">
        <f>IF(B142="","",IFERROR(VLOOKUP(B142,TIPOS!$A:$B,2,FALSE),""))</f>
        <v/>
      </c>
      <c r="D142" s="5" t="n"/>
      <c r="E142" s="5" t="n"/>
      <c r="F142" s="6">
        <f>IF(E142="","",IFERROR(VLOOKUP(E142,MAESTRO!$A:$B,2,FALSE),"NO ESTÁ EN EL MAESTRO"))</f>
        <v/>
      </c>
      <c r="G142" s="7" t="n"/>
      <c r="H142" s="7" t="n"/>
      <c r="I142" s="8">
        <f>IF(E142="","",IFERROR(G142*VLOOKUP(E142,MAESTRO!$A:$D,4,FALSE),0)+N(H142))</f>
        <v/>
      </c>
      <c r="J142" s="6">
        <f>IF(OR(E142="",N(G142)=0),"",IFERROR(IF(VLOOKUP(E142,MAESTRO!$A:$E,5,FALSE)="","",VLOOKUP(E142,MAESTRO!$A:$E,5,FALSE)&amp;" · "&amp;G142),""))</f>
        <v/>
      </c>
      <c r="K142" s="5" t="n"/>
    </row>
    <row r="143">
      <c r="A143" s="4" t="n"/>
      <c r="B143" s="5" t="n"/>
      <c r="C143" s="6">
        <f>IF(B143="","",IFERROR(VLOOKUP(B143,TIPOS!$A:$B,2,FALSE),""))</f>
        <v/>
      </c>
      <c r="D143" s="5" t="n"/>
      <c r="E143" s="5" t="n"/>
      <c r="F143" s="6">
        <f>IF(E143="","",IFERROR(VLOOKUP(E143,MAESTRO!$A:$B,2,FALSE),"NO ESTÁ EN EL MAESTRO"))</f>
        <v/>
      </c>
      <c r="G143" s="7" t="n"/>
      <c r="H143" s="7" t="n"/>
      <c r="I143" s="8">
        <f>IF(E143="","",IFERROR(G143*VLOOKUP(E143,MAESTRO!$A:$D,4,FALSE),0)+N(H143))</f>
        <v/>
      </c>
      <c r="J143" s="6">
        <f>IF(OR(E143="",N(G143)=0),"",IFERROR(IF(VLOOKUP(E143,MAESTRO!$A:$E,5,FALSE)="","",VLOOKUP(E143,MAESTRO!$A:$E,5,FALSE)&amp;" · "&amp;G143),""))</f>
        <v/>
      </c>
      <c r="K143" s="5" t="n"/>
    </row>
    <row r="144">
      <c r="A144" s="4" t="n"/>
      <c r="B144" s="5" t="n"/>
      <c r="C144" s="6">
        <f>IF(B144="","",IFERROR(VLOOKUP(B144,TIPOS!$A:$B,2,FALSE),""))</f>
        <v/>
      </c>
      <c r="D144" s="5" t="n"/>
      <c r="E144" s="5" t="n"/>
      <c r="F144" s="6">
        <f>IF(E144="","",IFERROR(VLOOKUP(E144,MAESTRO!$A:$B,2,FALSE),"NO ESTÁ EN EL MAESTRO"))</f>
        <v/>
      </c>
      <c r="G144" s="7" t="n"/>
      <c r="H144" s="7" t="n"/>
      <c r="I144" s="8">
        <f>IF(E144="","",IFERROR(G144*VLOOKUP(E144,MAESTRO!$A:$D,4,FALSE),0)+N(H144))</f>
        <v/>
      </c>
      <c r="J144" s="6">
        <f>IF(OR(E144="",N(G144)=0),"",IFERROR(IF(VLOOKUP(E144,MAESTRO!$A:$E,5,FALSE)="","",VLOOKUP(E144,MAESTRO!$A:$E,5,FALSE)&amp;" · "&amp;G144),""))</f>
        <v/>
      </c>
      <c r="K144" s="5" t="n"/>
    </row>
    <row r="145">
      <c r="A145" s="4" t="n"/>
      <c r="B145" s="5" t="n"/>
      <c r="C145" s="6">
        <f>IF(B145="","",IFERROR(VLOOKUP(B145,TIPOS!$A:$B,2,FALSE),""))</f>
        <v/>
      </c>
      <c r="D145" s="5" t="n"/>
      <c r="E145" s="5" t="n"/>
      <c r="F145" s="6">
        <f>IF(E145="","",IFERROR(VLOOKUP(E145,MAESTRO!$A:$B,2,FALSE),"NO ESTÁ EN EL MAESTRO"))</f>
        <v/>
      </c>
      <c r="G145" s="7" t="n"/>
      <c r="H145" s="7" t="n"/>
      <c r="I145" s="8">
        <f>IF(E145="","",IFERROR(G145*VLOOKUP(E145,MAESTRO!$A:$D,4,FALSE),0)+N(H145))</f>
        <v/>
      </c>
      <c r="J145" s="6">
        <f>IF(OR(E145="",N(G145)=0),"",IFERROR(IF(VLOOKUP(E145,MAESTRO!$A:$E,5,FALSE)="","",VLOOKUP(E145,MAESTRO!$A:$E,5,FALSE)&amp;" · "&amp;G145),""))</f>
        <v/>
      </c>
      <c r="K145" s="5" t="n"/>
    </row>
    <row r="146">
      <c r="A146" s="4" t="n"/>
      <c r="B146" s="5" t="n"/>
      <c r="C146" s="6">
        <f>IF(B146="","",IFERROR(VLOOKUP(B146,TIPOS!$A:$B,2,FALSE),""))</f>
        <v/>
      </c>
      <c r="D146" s="5" t="n"/>
      <c r="E146" s="5" t="n"/>
      <c r="F146" s="6">
        <f>IF(E146="","",IFERROR(VLOOKUP(E146,MAESTRO!$A:$B,2,FALSE),"NO ESTÁ EN EL MAESTRO"))</f>
        <v/>
      </c>
      <c r="G146" s="7" t="n"/>
      <c r="H146" s="7" t="n"/>
      <c r="I146" s="8">
        <f>IF(E146="","",IFERROR(G146*VLOOKUP(E146,MAESTRO!$A:$D,4,FALSE),0)+N(H146))</f>
        <v/>
      </c>
      <c r="J146" s="6">
        <f>IF(OR(E146="",N(G146)=0),"",IFERROR(IF(VLOOKUP(E146,MAESTRO!$A:$E,5,FALSE)="","",VLOOKUP(E146,MAESTRO!$A:$E,5,FALSE)&amp;" · "&amp;G146),""))</f>
        <v/>
      </c>
      <c r="K146" s="5" t="n"/>
    </row>
    <row r="147">
      <c r="A147" s="4" t="n"/>
      <c r="B147" s="5" t="n"/>
      <c r="C147" s="6">
        <f>IF(B147="","",IFERROR(VLOOKUP(B147,TIPOS!$A:$B,2,FALSE),""))</f>
        <v/>
      </c>
      <c r="D147" s="5" t="n"/>
      <c r="E147" s="5" t="n"/>
      <c r="F147" s="6">
        <f>IF(E147="","",IFERROR(VLOOKUP(E147,MAESTRO!$A:$B,2,FALSE),"NO ESTÁ EN EL MAESTRO"))</f>
        <v/>
      </c>
      <c r="G147" s="7" t="n"/>
      <c r="H147" s="7" t="n"/>
      <c r="I147" s="8">
        <f>IF(E147="","",IFERROR(G147*VLOOKUP(E147,MAESTRO!$A:$D,4,FALSE),0)+N(H147))</f>
        <v/>
      </c>
      <c r="J147" s="6">
        <f>IF(OR(E147="",N(G147)=0),"",IFERROR(IF(VLOOKUP(E147,MAESTRO!$A:$E,5,FALSE)="","",VLOOKUP(E147,MAESTRO!$A:$E,5,FALSE)&amp;" · "&amp;G147),""))</f>
        <v/>
      </c>
      <c r="K147" s="5" t="n"/>
    </row>
    <row r="148">
      <c r="A148" s="4" t="n"/>
      <c r="B148" s="5" t="n"/>
      <c r="C148" s="6">
        <f>IF(B148="","",IFERROR(VLOOKUP(B148,TIPOS!$A:$B,2,FALSE),""))</f>
        <v/>
      </c>
      <c r="D148" s="5" t="n"/>
      <c r="E148" s="5" t="n"/>
      <c r="F148" s="6">
        <f>IF(E148="","",IFERROR(VLOOKUP(E148,MAESTRO!$A:$B,2,FALSE),"NO ESTÁ EN EL MAESTRO"))</f>
        <v/>
      </c>
      <c r="G148" s="7" t="n"/>
      <c r="H148" s="7" t="n"/>
      <c r="I148" s="8">
        <f>IF(E148="","",IFERROR(G148*VLOOKUP(E148,MAESTRO!$A:$D,4,FALSE),0)+N(H148))</f>
        <v/>
      </c>
      <c r="J148" s="6">
        <f>IF(OR(E148="",N(G148)=0),"",IFERROR(IF(VLOOKUP(E148,MAESTRO!$A:$E,5,FALSE)="","",VLOOKUP(E148,MAESTRO!$A:$E,5,FALSE)&amp;" · "&amp;G148),""))</f>
        <v/>
      </c>
      <c r="K148" s="5" t="n"/>
    </row>
    <row r="149">
      <c r="A149" s="4" t="n"/>
      <c r="B149" s="5" t="n"/>
      <c r="C149" s="6">
        <f>IF(B149="","",IFERROR(VLOOKUP(B149,TIPOS!$A:$B,2,FALSE),""))</f>
        <v/>
      </c>
      <c r="D149" s="5" t="n"/>
      <c r="E149" s="5" t="n"/>
      <c r="F149" s="6">
        <f>IF(E149="","",IFERROR(VLOOKUP(E149,MAESTRO!$A:$B,2,FALSE),"NO ESTÁ EN EL MAESTRO"))</f>
        <v/>
      </c>
      <c r="G149" s="7" t="n"/>
      <c r="H149" s="7" t="n"/>
      <c r="I149" s="8">
        <f>IF(E149="","",IFERROR(G149*VLOOKUP(E149,MAESTRO!$A:$D,4,FALSE),0)+N(H149))</f>
        <v/>
      </c>
      <c r="J149" s="6">
        <f>IF(OR(E149="",N(G149)=0),"",IFERROR(IF(VLOOKUP(E149,MAESTRO!$A:$E,5,FALSE)="","",VLOOKUP(E149,MAESTRO!$A:$E,5,FALSE)&amp;" · "&amp;G149),""))</f>
        <v/>
      </c>
      <c r="K149" s="5" t="n"/>
    </row>
    <row r="150">
      <c r="A150" s="4" t="n"/>
      <c r="B150" s="5" t="n"/>
      <c r="C150" s="6">
        <f>IF(B150="","",IFERROR(VLOOKUP(B150,TIPOS!$A:$B,2,FALSE),""))</f>
        <v/>
      </c>
      <c r="D150" s="5" t="n"/>
      <c r="E150" s="5" t="n"/>
      <c r="F150" s="6">
        <f>IF(E150="","",IFERROR(VLOOKUP(E150,MAESTRO!$A:$B,2,FALSE),"NO ESTÁ EN EL MAESTRO"))</f>
        <v/>
      </c>
      <c r="G150" s="7" t="n"/>
      <c r="H150" s="7" t="n"/>
      <c r="I150" s="8">
        <f>IF(E150="","",IFERROR(G150*VLOOKUP(E150,MAESTRO!$A:$D,4,FALSE),0)+N(H150))</f>
        <v/>
      </c>
      <c r="J150" s="6">
        <f>IF(OR(E150="",N(G150)=0),"",IFERROR(IF(VLOOKUP(E150,MAESTRO!$A:$E,5,FALSE)="","",VLOOKUP(E150,MAESTRO!$A:$E,5,FALSE)&amp;" · "&amp;G150),""))</f>
        <v/>
      </c>
      <c r="K150" s="5" t="n"/>
    </row>
    <row r="151">
      <c r="A151" s="4" t="n"/>
      <c r="B151" s="5" t="n"/>
      <c r="C151" s="6">
        <f>IF(B151="","",IFERROR(VLOOKUP(B151,TIPOS!$A:$B,2,FALSE),""))</f>
        <v/>
      </c>
      <c r="D151" s="5" t="n"/>
      <c r="E151" s="5" t="n"/>
      <c r="F151" s="6">
        <f>IF(E151="","",IFERROR(VLOOKUP(E151,MAESTRO!$A:$B,2,FALSE),"NO ESTÁ EN EL MAESTRO"))</f>
        <v/>
      </c>
      <c r="G151" s="7" t="n"/>
      <c r="H151" s="7" t="n"/>
      <c r="I151" s="8">
        <f>IF(E151="","",IFERROR(G151*VLOOKUP(E151,MAESTRO!$A:$D,4,FALSE),0)+N(H151))</f>
        <v/>
      </c>
      <c r="J151" s="6">
        <f>IF(OR(E151="",N(G151)=0),"",IFERROR(IF(VLOOKUP(E151,MAESTRO!$A:$E,5,FALSE)="","",VLOOKUP(E151,MAESTRO!$A:$E,5,FALSE)&amp;" · "&amp;G151),""))</f>
        <v/>
      </c>
      <c r="K151" s="5" t="n"/>
    </row>
    <row r="152">
      <c r="A152" s="4" t="n"/>
      <c r="B152" s="5" t="n"/>
      <c r="C152" s="6">
        <f>IF(B152="","",IFERROR(VLOOKUP(B152,TIPOS!$A:$B,2,FALSE),""))</f>
        <v/>
      </c>
      <c r="D152" s="5" t="n"/>
      <c r="E152" s="5" t="n"/>
      <c r="F152" s="6">
        <f>IF(E152="","",IFERROR(VLOOKUP(E152,MAESTRO!$A:$B,2,FALSE),"NO ESTÁ EN EL MAESTRO"))</f>
        <v/>
      </c>
      <c r="G152" s="7" t="n"/>
      <c r="H152" s="7" t="n"/>
      <c r="I152" s="8">
        <f>IF(E152="","",IFERROR(G152*VLOOKUP(E152,MAESTRO!$A:$D,4,FALSE),0)+N(H152))</f>
        <v/>
      </c>
      <c r="J152" s="6">
        <f>IF(OR(E152="",N(G152)=0),"",IFERROR(IF(VLOOKUP(E152,MAESTRO!$A:$E,5,FALSE)="","",VLOOKUP(E152,MAESTRO!$A:$E,5,FALSE)&amp;" · "&amp;G152),""))</f>
        <v/>
      </c>
      <c r="K152" s="5" t="n"/>
    </row>
    <row r="153">
      <c r="A153" s="4" t="n"/>
      <c r="B153" s="5" t="n"/>
      <c r="C153" s="6">
        <f>IF(B153="","",IFERROR(VLOOKUP(B153,TIPOS!$A:$B,2,FALSE),""))</f>
        <v/>
      </c>
      <c r="D153" s="5" t="n"/>
      <c r="E153" s="5" t="n"/>
      <c r="F153" s="6">
        <f>IF(E153="","",IFERROR(VLOOKUP(E153,MAESTRO!$A:$B,2,FALSE),"NO ESTÁ EN EL MAESTRO"))</f>
        <v/>
      </c>
      <c r="G153" s="7" t="n"/>
      <c r="H153" s="7" t="n"/>
      <c r="I153" s="8">
        <f>IF(E153="","",IFERROR(G153*VLOOKUP(E153,MAESTRO!$A:$D,4,FALSE),0)+N(H153))</f>
        <v/>
      </c>
      <c r="J153" s="6">
        <f>IF(OR(E153="",N(G153)=0),"",IFERROR(IF(VLOOKUP(E153,MAESTRO!$A:$E,5,FALSE)="","",VLOOKUP(E153,MAESTRO!$A:$E,5,FALSE)&amp;" · "&amp;G153),""))</f>
        <v/>
      </c>
      <c r="K153" s="5" t="n"/>
    </row>
    <row r="154">
      <c r="A154" s="4" t="n"/>
      <c r="B154" s="5" t="n"/>
      <c r="C154" s="6">
        <f>IF(B154="","",IFERROR(VLOOKUP(B154,TIPOS!$A:$B,2,FALSE),""))</f>
        <v/>
      </c>
      <c r="D154" s="5" t="n"/>
      <c r="E154" s="5" t="n"/>
      <c r="F154" s="6">
        <f>IF(E154="","",IFERROR(VLOOKUP(E154,MAESTRO!$A:$B,2,FALSE),"NO ESTÁ EN EL MAESTRO"))</f>
        <v/>
      </c>
      <c r="G154" s="7" t="n"/>
      <c r="H154" s="7" t="n"/>
      <c r="I154" s="8">
        <f>IF(E154="","",IFERROR(G154*VLOOKUP(E154,MAESTRO!$A:$D,4,FALSE),0)+N(H154))</f>
        <v/>
      </c>
      <c r="J154" s="6">
        <f>IF(OR(E154="",N(G154)=0),"",IFERROR(IF(VLOOKUP(E154,MAESTRO!$A:$E,5,FALSE)="","",VLOOKUP(E154,MAESTRO!$A:$E,5,FALSE)&amp;" · "&amp;G154),""))</f>
        <v/>
      </c>
      <c r="K154" s="5" t="n"/>
    </row>
    <row r="155">
      <c r="A155" s="4" t="n"/>
      <c r="B155" s="5" t="n"/>
      <c r="C155" s="6">
        <f>IF(B155="","",IFERROR(VLOOKUP(B155,TIPOS!$A:$B,2,FALSE),""))</f>
        <v/>
      </c>
      <c r="D155" s="5" t="n"/>
      <c r="E155" s="5" t="n"/>
      <c r="F155" s="6">
        <f>IF(E155="","",IFERROR(VLOOKUP(E155,MAESTRO!$A:$B,2,FALSE),"NO ESTÁ EN EL MAESTRO"))</f>
        <v/>
      </c>
      <c r="G155" s="7" t="n"/>
      <c r="H155" s="7" t="n"/>
      <c r="I155" s="8">
        <f>IF(E155="","",IFERROR(G155*VLOOKUP(E155,MAESTRO!$A:$D,4,FALSE),0)+N(H155))</f>
        <v/>
      </c>
      <c r="J155" s="6">
        <f>IF(OR(E155="",N(G155)=0),"",IFERROR(IF(VLOOKUP(E155,MAESTRO!$A:$E,5,FALSE)="","",VLOOKUP(E155,MAESTRO!$A:$E,5,FALSE)&amp;" · "&amp;G155),""))</f>
        <v/>
      </c>
      <c r="K155" s="5" t="n"/>
    </row>
    <row r="156">
      <c r="A156" s="4" t="n"/>
      <c r="B156" s="5" t="n"/>
      <c r="C156" s="6">
        <f>IF(B156="","",IFERROR(VLOOKUP(B156,TIPOS!$A:$B,2,FALSE),""))</f>
        <v/>
      </c>
      <c r="D156" s="5" t="n"/>
      <c r="E156" s="5" t="n"/>
      <c r="F156" s="6">
        <f>IF(E156="","",IFERROR(VLOOKUP(E156,MAESTRO!$A:$B,2,FALSE),"NO ESTÁ EN EL MAESTRO"))</f>
        <v/>
      </c>
      <c r="G156" s="7" t="n"/>
      <c r="H156" s="7" t="n"/>
      <c r="I156" s="8">
        <f>IF(E156="","",IFERROR(G156*VLOOKUP(E156,MAESTRO!$A:$D,4,FALSE),0)+N(H156))</f>
        <v/>
      </c>
      <c r="J156" s="6">
        <f>IF(OR(E156="",N(G156)=0),"",IFERROR(IF(VLOOKUP(E156,MAESTRO!$A:$E,5,FALSE)="","",VLOOKUP(E156,MAESTRO!$A:$E,5,FALSE)&amp;" · "&amp;G156),""))</f>
        <v/>
      </c>
      <c r="K156" s="5" t="n"/>
    </row>
    <row r="157">
      <c r="A157" s="4" t="n"/>
      <c r="B157" s="5" t="n"/>
      <c r="C157" s="6">
        <f>IF(B157="","",IFERROR(VLOOKUP(B157,TIPOS!$A:$B,2,FALSE),""))</f>
        <v/>
      </c>
      <c r="D157" s="5" t="n"/>
      <c r="E157" s="5" t="n"/>
      <c r="F157" s="6">
        <f>IF(E157="","",IFERROR(VLOOKUP(E157,MAESTRO!$A:$B,2,FALSE),"NO ESTÁ EN EL MAESTRO"))</f>
        <v/>
      </c>
      <c r="G157" s="7" t="n"/>
      <c r="H157" s="7" t="n"/>
      <c r="I157" s="8">
        <f>IF(E157="","",IFERROR(G157*VLOOKUP(E157,MAESTRO!$A:$D,4,FALSE),0)+N(H157))</f>
        <v/>
      </c>
      <c r="J157" s="6">
        <f>IF(OR(E157="",N(G157)=0),"",IFERROR(IF(VLOOKUP(E157,MAESTRO!$A:$E,5,FALSE)="","",VLOOKUP(E157,MAESTRO!$A:$E,5,FALSE)&amp;" · "&amp;G157),""))</f>
        <v/>
      </c>
      <c r="K157" s="5" t="n"/>
    </row>
    <row r="158">
      <c r="A158" s="4" t="n"/>
      <c r="B158" s="5" t="n"/>
      <c r="C158" s="6">
        <f>IF(B158="","",IFERROR(VLOOKUP(B158,TIPOS!$A:$B,2,FALSE),""))</f>
        <v/>
      </c>
      <c r="D158" s="5" t="n"/>
      <c r="E158" s="5" t="n"/>
      <c r="F158" s="6">
        <f>IF(E158="","",IFERROR(VLOOKUP(E158,MAESTRO!$A:$B,2,FALSE),"NO ESTÁ EN EL MAESTRO"))</f>
        <v/>
      </c>
      <c r="G158" s="7" t="n"/>
      <c r="H158" s="7" t="n"/>
      <c r="I158" s="8">
        <f>IF(E158="","",IFERROR(G158*VLOOKUP(E158,MAESTRO!$A:$D,4,FALSE),0)+N(H158))</f>
        <v/>
      </c>
      <c r="J158" s="6">
        <f>IF(OR(E158="",N(G158)=0),"",IFERROR(IF(VLOOKUP(E158,MAESTRO!$A:$E,5,FALSE)="","",VLOOKUP(E158,MAESTRO!$A:$E,5,FALSE)&amp;" · "&amp;G158),""))</f>
        <v/>
      </c>
      <c r="K158" s="5" t="n"/>
    </row>
    <row r="159">
      <c r="A159" s="4" t="n"/>
      <c r="B159" s="5" t="n"/>
      <c r="C159" s="6">
        <f>IF(B159="","",IFERROR(VLOOKUP(B159,TIPOS!$A:$B,2,FALSE),""))</f>
        <v/>
      </c>
      <c r="D159" s="5" t="n"/>
      <c r="E159" s="5" t="n"/>
      <c r="F159" s="6">
        <f>IF(E159="","",IFERROR(VLOOKUP(E159,MAESTRO!$A:$B,2,FALSE),"NO ESTÁ EN EL MAESTRO"))</f>
        <v/>
      </c>
      <c r="G159" s="7" t="n"/>
      <c r="H159" s="7" t="n"/>
      <c r="I159" s="8">
        <f>IF(E159="","",IFERROR(G159*VLOOKUP(E159,MAESTRO!$A:$D,4,FALSE),0)+N(H159))</f>
        <v/>
      </c>
      <c r="J159" s="6">
        <f>IF(OR(E159="",N(G159)=0),"",IFERROR(IF(VLOOKUP(E159,MAESTRO!$A:$E,5,FALSE)="","",VLOOKUP(E159,MAESTRO!$A:$E,5,FALSE)&amp;" · "&amp;G159),""))</f>
        <v/>
      </c>
      <c r="K159" s="5" t="n"/>
    </row>
    <row r="160">
      <c r="A160" s="4" t="n"/>
      <c r="B160" s="5" t="n"/>
      <c r="C160" s="6">
        <f>IF(B160="","",IFERROR(VLOOKUP(B160,TIPOS!$A:$B,2,FALSE),""))</f>
        <v/>
      </c>
      <c r="D160" s="5" t="n"/>
      <c r="E160" s="5" t="n"/>
      <c r="F160" s="6">
        <f>IF(E160="","",IFERROR(VLOOKUP(E160,MAESTRO!$A:$B,2,FALSE),"NO ESTÁ EN EL MAESTRO"))</f>
        <v/>
      </c>
      <c r="G160" s="7" t="n"/>
      <c r="H160" s="7" t="n"/>
      <c r="I160" s="8">
        <f>IF(E160="","",IFERROR(G160*VLOOKUP(E160,MAESTRO!$A:$D,4,FALSE),0)+N(H160))</f>
        <v/>
      </c>
      <c r="J160" s="6">
        <f>IF(OR(E160="",N(G160)=0),"",IFERROR(IF(VLOOKUP(E160,MAESTRO!$A:$E,5,FALSE)="","",VLOOKUP(E160,MAESTRO!$A:$E,5,FALSE)&amp;" · "&amp;G160),""))</f>
        <v/>
      </c>
      <c r="K160" s="5" t="n"/>
    </row>
    <row r="161">
      <c r="A161" s="4" t="n"/>
      <c r="B161" s="5" t="n"/>
      <c r="C161" s="6">
        <f>IF(B161="","",IFERROR(VLOOKUP(B161,TIPOS!$A:$B,2,FALSE),""))</f>
        <v/>
      </c>
      <c r="D161" s="5" t="n"/>
      <c r="E161" s="5" t="n"/>
      <c r="F161" s="6">
        <f>IF(E161="","",IFERROR(VLOOKUP(E161,MAESTRO!$A:$B,2,FALSE),"NO ESTÁ EN EL MAESTRO"))</f>
        <v/>
      </c>
      <c r="G161" s="7" t="n"/>
      <c r="H161" s="7" t="n"/>
      <c r="I161" s="8">
        <f>IF(E161="","",IFERROR(G161*VLOOKUP(E161,MAESTRO!$A:$D,4,FALSE),0)+N(H161))</f>
        <v/>
      </c>
      <c r="J161" s="6">
        <f>IF(OR(E161="",N(G161)=0),"",IFERROR(IF(VLOOKUP(E161,MAESTRO!$A:$E,5,FALSE)="","",VLOOKUP(E161,MAESTRO!$A:$E,5,FALSE)&amp;" · "&amp;G161),""))</f>
        <v/>
      </c>
      <c r="K161" s="5" t="n"/>
    </row>
    <row r="162">
      <c r="A162" s="4" t="n"/>
      <c r="B162" s="5" t="n"/>
      <c r="C162" s="6">
        <f>IF(B162="","",IFERROR(VLOOKUP(B162,TIPOS!$A:$B,2,FALSE),""))</f>
        <v/>
      </c>
      <c r="D162" s="5" t="n"/>
      <c r="E162" s="5" t="n"/>
      <c r="F162" s="6">
        <f>IF(E162="","",IFERROR(VLOOKUP(E162,MAESTRO!$A:$B,2,FALSE),"NO ESTÁ EN EL MAESTRO"))</f>
        <v/>
      </c>
      <c r="G162" s="7" t="n"/>
      <c r="H162" s="7" t="n"/>
      <c r="I162" s="8">
        <f>IF(E162="","",IFERROR(G162*VLOOKUP(E162,MAESTRO!$A:$D,4,FALSE),0)+N(H162))</f>
        <v/>
      </c>
      <c r="J162" s="6">
        <f>IF(OR(E162="",N(G162)=0),"",IFERROR(IF(VLOOKUP(E162,MAESTRO!$A:$E,5,FALSE)="","",VLOOKUP(E162,MAESTRO!$A:$E,5,FALSE)&amp;" · "&amp;G162),""))</f>
        <v/>
      </c>
      <c r="K162" s="5" t="n"/>
    </row>
    <row r="163">
      <c r="A163" s="4" t="n"/>
      <c r="B163" s="5" t="n"/>
      <c r="C163" s="6">
        <f>IF(B163="","",IFERROR(VLOOKUP(B163,TIPOS!$A:$B,2,FALSE),""))</f>
        <v/>
      </c>
      <c r="D163" s="5" t="n"/>
      <c r="E163" s="5" t="n"/>
      <c r="F163" s="6">
        <f>IF(E163="","",IFERROR(VLOOKUP(E163,MAESTRO!$A:$B,2,FALSE),"NO ESTÁ EN EL MAESTRO"))</f>
        <v/>
      </c>
      <c r="G163" s="7" t="n"/>
      <c r="H163" s="7" t="n"/>
      <c r="I163" s="8">
        <f>IF(E163="","",IFERROR(G163*VLOOKUP(E163,MAESTRO!$A:$D,4,FALSE),0)+N(H163))</f>
        <v/>
      </c>
      <c r="J163" s="6">
        <f>IF(OR(E163="",N(G163)=0),"",IFERROR(IF(VLOOKUP(E163,MAESTRO!$A:$E,5,FALSE)="","",VLOOKUP(E163,MAESTRO!$A:$E,5,FALSE)&amp;" · "&amp;G163),""))</f>
        <v/>
      </c>
      <c r="K163" s="5" t="n"/>
    </row>
    <row r="164">
      <c r="A164" s="4" t="n"/>
      <c r="B164" s="5" t="n"/>
      <c r="C164" s="6">
        <f>IF(B164="","",IFERROR(VLOOKUP(B164,TIPOS!$A:$B,2,FALSE),""))</f>
        <v/>
      </c>
      <c r="D164" s="5" t="n"/>
      <c r="E164" s="5" t="n"/>
      <c r="F164" s="6">
        <f>IF(E164="","",IFERROR(VLOOKUP(E164,MAESTRO!$A:$B,2,FALSE),"NO ESTÁ EN EL MAESTRO"))</f>
        <v/>
      </c>
      <c r="G164" s="7" t="n"/>
      <c r="H164" s="7" t="n"/>
      <c r="I164" s="8">
        <f>IF(E164="","",IFERROR(G164*VLOOKUP(E164,MAESTRO!$A:$D,4,FALSE),0)+N(H164))</f>
        <v/>
      </c>
      <c r="J164" s="6">
        <f>IF(OR(E164="",N(G164)=0),"",IFERROR(IF(VLOOKUP(E164,MAESTRO!$A:$E,5,FALSE)="","",VLOOKUP(E164,MAESTRO!$A:$E,5,FALSE)&amp;" · "&amp;G164),""))</f>
        <v/>
      </c>
      <c r="K164" s="5" t="n"/>
    </row>
    <row r="165">
      <c r="A165" s="4" t="n"/>
      <c r="B165" s="5" t="n"/>
      <c r="C165" s="6">
        <f>IF(B165="","",IFERROR(VLOOKUP(B165,TIPOS!$A:$B,2,FALSE),""))</f>
        <v/>
      </c>
      <c r="D165" s="5" t="n"/>
      <c r="E165" s="5" t="n"/>
      <c r="F165" s="6">
        <f>IF(E165="","",IFERROR(VLOOKUP(E165,MAESTRO!$A:$B,2,FALSE),"NO ESTÁ EN EL MAESTRO"))</f>
        <v/>
      </c>
      <c r="G165" s="7" t="n"/>
      <c r="H165" s="7" t="n"/>
      <c r="I165" s="8">
        <f>IF(E165="","",IFERROR(G165*VLOOKUP(E165,MAESTRO!$A:$D,4,FALSE),0)+N(H165))</f>
        <v/>
      </c>
      <c r="J165" s="6">
        <f>IF(OR(E165="",N(G165)=0),"",IFERROR(IF(VLOOKUP(E165,MAESTRO!$A:$E,5,FALSE)="","",VLOOKUP(E165,MAESTRO!$A:$E,5,FALSE)&amp;" · "&amp;G165),""))</f>
        <v/>
      </c>
      <c r="K165" s="5" t="n"/>
    </row>
    <row r="166">
      <c r="A166" s="4" t="n"/>
      <c r="B166" s="5" t="n"/>
      <c r="C166" s="6">
        <f>IF(B166="","",IFERROR(VLOOKUP(B166,TIPOS!$A:$B,2,FALSE),""))</f>
        <v/>
      </c>
      <c r="D166" s="5" t="n"/>
      <c r="E166" s="5" t="n"/>
      <c r="F166" s="6">
        <f>IF(E166="","",IFERROR(VLOOKUP(E166,MAESTRO!$A:$B,2,FALSE),"NO ESTÁ EN EL MAESTRO"))</f>
        <v/>
      </c>
      <c r="G166" s="7" t="n"/>
      <c r="H166" s="7" t="n"/>
      <c r="I166" s="8">
        <f>IF(E166="","",IFERROR(G166*VLOOKUP(E166,MAESTRO!$A:$D,4,FALSE),0)+N(H166))</f>
        <v/>
      </c>
      <c r="J166" s="6">
        <f>IF(OR(E166="",N(G166)=0),"",IFERROR(IF(VLOOKUP(E166,MAESTRO!$A:$E,5,FALSE)="","",VLOOKUP(E166,MAESTRO!$A:$E,5,FALSE)&amp;" · "&amp;G166),""))</f>
        <v/>
      </c>
      <c r="K166" s="5" t="n"/>
    </row>
    <row r="167">
      <c r="A167" s="4" t="n"/>
      <c r="B167" s="5" t="n"/>
      <c r="C167" s="6">
        <f>IF(B167="","",IFERROR(VLOOKUP(B167,TIPOS!$A:$B,2,FALSE),""))</f>
        <v/>
      </c>
      <c r="D167" s="5" t="n"/>
      <c r="E167" s="5" t="n"/>
      <c r="F167" s="6">
        <f>IF(E167="","",IFERROR(VLOOKUP(E167,MAESTRO!$A:$B,2,FALSE),"NO ESTÁ EN EL MAESTRO"))</f>
        <v/>
      </c>
      <c r="G167" s="7" t="n"/>
      <c r="H167" s="7" t="n"/>
      <c r="I167" s="8">
        <f>IF(E167="","",IFERROR(G167*VLOOKUP(E167,MAESTRO!$A:$D,4,FALSE),0)+N(H167))</f>
        <v/>
      </c>
      <c r="J167" s="6">
        <f>IF(OR(E167="",N(G167)=0),"",IFERROR(IF(VLOOKUP(E167,MAESTRO!$A:$E,5,FALSE)="","",VLOOKUP(E167,MAESTRO!$A:$E,5,FALSE)&amp;" · "&amp;G167),""))</f>
        <v/>
      </c>
      <c r="K167" s="5" t="n"/>
    </row>
    <row r="168">
      <c r="A168" s="4" t="n"/>
      <c r="B168" s="5" t="n"/>
      <c r="C168" s="6">
        <f>IF(B168="","",IFERROR(VLOOKUP(B168,TIPOS!$A:$B,2,FALSE),""))</f>
        <v/>
      </c>
      <c r="D168" s="5" t="n"/>
      <c r="E168" s="5" t="n"/>
      <c r="F168" s="6">
        <f>IF(E168="","",IFERROR(VLOOKUP(E168,MAESTRO!$A:$B,2,FALSE),"NO ESTÁ EN EL MAESTRO"))</f>
        <v/>
      </c>
      <c r="G168" s="7" t="n"/>
      <c r="H168" s="7" t="n"/>
      <c r="I168" s="8">
        <f>IF(E168="","",IFERROR(G168*VLOOKUP(E168,MAESTRO!$A:$D,4,FALSE),0)+N(H168))</f>
        <v/>
      </c>
      <c r="J168" s="6">
        <f>IF(OR(E168="",N(G168)=0),"",IFERROR(IF(VLOOKUP(E168,MAESTRO!$A:$E,5,FALSE)="","",VLOOKUP(E168,MAESTRO!$A:$E,5,FALSE)&amp;" · "&amp;G168),""))</f>
        <v/>
      </c>
      <c r="K168" s="5" t="n"/>
    </row>
    <row r="169">
      <c r="A169" s="4" t="n"/>
      <c r="B169" s="5" t="n"/>
      <c r="C169" s="6">
        <f>IF(B169="","",IFERROR(VLOOKUP(B169,TIPOS!$A:$B,2,FALSE),""))</f>
        <v/>
      </c>
      <c r="D169" s="5" t="n"/>
      <c r="E169" s="5" t="n"/>
      <c r="F169" s="6">
        <f>IF(E169="","",IFERROR(VLOOKUP(E169,MAESTRO!$A:$B,2,FALSE),"NO ESTÁ EN EL MAESTRO"))</f>
        <v/>
      </c>
      <c r="G169" s="7" t="n"/>
      <c r="H169" s="7" t="n"/>
      <c r="I169" s="8">
        <f>IF(E169="","",IFERROR(G169*VLOOKUP(E169,MAESTRO!$A:$D,4,FALSE),0)+N(H169))</f>
        <v/>
      </c>
      <c r="J169" s="6">
        <f>IF(OR(E169="",N(G169)=0),"",IFERROR(IF(VLOOKUP(E169,MAESTRO!$A:$E,5,FALSE)="","",VLOOKUP(E169,MAESTRO!$A:$E,5,FALSE)&amp;" · "&amp;G169),""))</f>
        <v/>
      </c>
      <c r="K169" s="5" t="n"/>
    </row>
    <row r="170">
      <c r="A170" s="4" t="n"/>
      <c r="B170" s="5" t="n"/>
      <c r="C170" s="6">
        <f>IF(B170="","",IFERROR(VLOOKUP(B170,TIPOS!$A:$B,2,FALSE),""))</f>
        <v/>
      </c>
      <c r="D170" s="5" t="n"/>
      <c r="E170" s="5" t="n"/>
      <c r="F170" s="6">
        <f>IF(E170="","",IFERROR(VLOOKUP(E170,MAESTRO!$A:$B,2,FALSE),"NO ESTÁ EN EL MAESTRO"))</f>
        <v/>
      </c>
      <c r="G170" s="7" t="n"/>
      <c r="H170" s="7" t="n"/>
      <c r="I170" s="8">
        <f>IF(E170="","",IFERROR(G170*VLOOKUP(E170,MAESTRO!$A:$D,4,FALSE),0)+N(H170))</f>
        <v/>
      </c>
      <c r="J170" s="6">
        <f>IF(OR(E170="",N(G170)=0),"",IFERROR(IF(VLOOKUP(E170,MAESTRO!$A:$E,5,FALSE)="","",VLOOKUP(E170,MAESTRO!$A:$E,5,FALSE)&amp;" · "&amp;G170),""))</f>
        <v/>
      </c>
      <c r="K170" s="5" t="n"/>
    </row>
    <row r="171">
      <c r="A171" s="4" t="n"/>
      <c r="B171" s="5" t="n"/>
      <c r="C171" s="6">
        <f>IF(B171="","",IFERROR(VLOOKUP(B171,TIPOS!$A:$B,2,FALSE),""))</f>
        <v/>
      </c>
      <c r="D171" s="5" t="n"/>
      <c r="E171" s="5" t="n"/>
      <c r="F171" s="6">
        <f>IF(E171="","",IFERROR(VLOOKUP(E171,MAESTRO!$A:$B,2,FALSE),"NO ESTÁ EN EL MAESTRO"))</f>
        <v/>
      </c>
      <c r="G171" s="7" t="n"/>
      <c r="H171" s="7" t="n"/>
      <c r="I171" s="8">
        <f>IF(E171="","",IFERROR(G171*VLOOKUP(E171,MAESTRO!$A:$D,4,FALSE),0)+N(H171))</f>
        <v/>
      </c>
      <c r="J171" s="6">
        <f>IF(OR(E171="",N(G171)=0),"",IFERROR(IF(VLOOKUP(E171,MAESTRO!$A:$E,5,FALSE)="","",VLOOKUP(E171,MAESTRO!$A:$E,5,FALSE)&amp;" · "&amp;G171),""))</f>
        <v/>
      </c>
      <c r="K171" s="5" t="n"/>
    </row>
    <row r="172">
      <c r="A172" s="4" t="n"/>
      <c r="B172" s="5" t="n"/>
      <c r="C172" s="6">
        <f>IF(B172="","",IFERROR(VLOOKUP(B172,TIPOS!$A:$B,2,FALSE),""))</f>
        <v/>
      </c>
      <c r="D172" s="5" t="n"/>
      <c r="E172" s="5" t="n"/>
      <c r="F172" s="6">
        <f>IF(E172="","",IFERROR(VLOOKUP(E172,MAESTRO!$A:$B,2,FALSE),"NO ESTÁ EN EL MAESTRO"))</f>
        <v/>
      </c>
      <c r="G172" s="7" t="n"/>
      <c r="H172" s="7" t="n"/>
      <c r="I172" s="8">
        <f>IF(E172="","",IFERROR(G172*VLOOKUP(E172,MAESTRO!$A:$D,4,FALSE),0)+N(H172))</f>
        <v/>
      </c>
      <c r="J172" s="6">
        <f>IF(OR(E172="",N(G172)=0),"",IFERROR(IF(VLOOKUP(E172,MAESTRO!$A:$E,5,FALSE)="","",VLOOKUP(E172,MAESTRO!$A:$E,5,FALSE)&amp;" · "&amp;G172),""))</f>
        <v/>
      </c>
      <c r="K172" s="5" t="n"/>
    </row>
    <row r="173">
      <c r="A173" s="4" t="n"/>
      <c r="B173" s="5" t="n"/>
      <c r="C173" s="6">
        <f>IF(B173="","",IFERROR(VLOOKUP(B173,TIPOS!$A:$B,2,FALSE),""))</f>
        <v/>
      </c>
      <c r="D173" s="5" t="n"/>
      <c r="E173" s="5" t="n"/>
      <c r="F173" s="6">
        <f>IF(E173="","",IFERROR(VLOOKUP(E173,MAESTRO!$A:$B,2,FALSE),"NO ESTÁ EN EL MAESTRO"))</f>
        <v/>
      </c>
      <c r="G173" s="7" t="n"/>
      <c r="H173" s="7" t="n"/>
      <c r="I173" s="8">
        <f>IF(E173="","",IFERROR(G173*VLOOKUP(E173,MAESTRO!$A:$D,4,FALSE),0)+N(H173))</f>
        <v/>
      </c>
      <c r="J173" s="6">
        <f>IF(OR(E173="",N(G173)=0),"",IFERROR(IF(VLOOKUP(E173,MAESTRO!$A:$E,5,FALSE)="","",VLOOKUP(E173,MAESTRO!$A:$E,5,FALSE)&amp;" · "&amp;G173),""))</f>
        <v/>
      </c>
      <c r="K173" s="5" t="n"/>
    </row>
    <row r="174">
      <c r="A174" s="4" t="n"/>
      <c r="B174" s="5" t="n"/>
      <c r="C174" s="6">
        <f>IF(B174="","",IFERROR(VLOOKUP(B174,TIPOS!$A:$B,2,FALSE),""))</f>
        <v/>
      </c>
      <c r="D174" s="5" t="n"/>
      <c r="E174" s="5" t="n"/>
      <c r="F174" s="6">
        <f>IF(E174="","",IFERROR(VLOOKUP(E174,MAESTRO!$A:$B,2,FALSE),"NO ESTÁ EN EL MAESTRO"))</f>
        <v/>
      </c>
      <c r="G174" s="7" t="n"/>
      <c r="H174" s="7" t="n"/>
      <c r="I174" s="8">
        <f>IF(E174="","",IFERROR(G174*VLOOKUP(E174,MAESTRO!$A:$D,4,FALSE),0)+N(H174))</f>
        <v/>
      </c>
      <c r="J174" s="6">
        <f>IF(OR(E174="",N(G174)=0),"",IFERROR(IF(VLOOKUP(E174,MAESTRO!$A:$E,5,FALSE)="","",VLOOKUP(E174,MAESTRO!$A:$E,5,FALSE)&amp;" · "&amp;G174),""))</f>
        <v/>
      </c>
      <c r="K174" s="5" t="n"/>
    </row>
    <row r="175">
      <c r="A175" s="4" t="n"/>
      <c r="B175" s="5" t="n"/>
      <c r="C175" s="6">
        <f>IF(B175="","",IFERROR(VLOOKUP(B175,TIPOS!$A:$B,2,FALSE),""))</f>
        <v/>
      </c>
      <c r="D175" s="5" t="n"/>
      <c r="E175" s="5" t="n"/>
      <c r="F175" s="6">
        <f>IF(E175="","",IFERROR(VLOOKUP(E175,MAESTRO!$A:$B,2,FALSE),"NO ESTÁ EN EL MAESTRO"))</f>
        <v/>
      </c>
      <c r="G175" s="7" t="n"/>
      <c r="H175" s="7" t="n"/>
      <c r="I175" s="8">
        <f>IF(E175="","",IFERROR(G175*VLOOKUP(E175,MAESTRO!$A:$D,4,FALSE),0)+N(H175))</f>
        <v/>
      </c>
      <c r="J175" s="6">
        <f>IF(OR(E175="",N(G175)=0),"",IFERROR(IF(VLOOKUP(E175,MAESTRO!$A:$E,5,FALSE)="","",VLOOKUP(E175,MAESTRO!$A:$E,5,FALSE)&amp;" · "&amp;G175),""))</f>
        <v/>
      </c>
      <c r="K175" s="5" t="n"/>
    </row>
    <row r="176">
      <c r="A176" s="4" t="n"/>
      <c r="B176" s="5" t="n"/>
      <c r="C176" s="6">
        <f>IF(B176="","",IFERROR(VLOOKUP(B176,TIPOS!$A:$B,2,FALSE),""))</f>
        <v/>
      </c>
      <c r="D176" s="5" t="n"/>
      <c r="E176" s="5" t="n"/>
      <c r="F176" s="6">
        <f>IF(E176="","",IFERROR(VLOOKUP(E176,MAESTRO!$A:$B,2,FALSE),"NO ESTÁ EN EL MAESTRO"))</f>
        <v/>
      </c>
      <c r="G176" s="7" t="n"/>
      <c r="H176" s="7" t="n"/>
      <c r="I176" s="8">
        <f>IF(E176="","",IFERROR(G176*VLOOKUP(E176,MAESTRO!$A:$D,4,FALSE),0)+N(H176))</f>
        <v/>
      </c>
      <c r="J176" s="6">
        <f>IF(OR(E176="",N(G176)=0),"",IFERROR(IF(VLOOKUP(E176,MAESTRO!$A:$E,5,FALSE)="","",VLOOKUP(E176,MAESTRO!$A:$E,5,FALSE)&amp;" · "&amp;G176),""))</f>
        <v/>
      </c>
      <c r="K176" s="5" t="n"/>
    </row>
    <row r="177">
      <c r="A177" s="4" t="n"/>
      <c r="B177" s="5" t="n"/>
      <c r="C177" s="6">
        <f>IF(B177="","",IFERROR(VLOOKUP(B177,TIPOS!$A:$B,2,FALSE),""))</f>
        <v/>
      </c>
      <c r="D177" s="5" t="n"/>
      <c r="E177" s="5" t="n"/>
      <c r="F177" s="6">
        <f>IF(E177="","",IFERROR(VLOOKUP(E177,MAESTRO!$A:$B,2,FALSE),"NO ESTÁ EN EL MAESTRO"))</f>
        <v/>
      </c>
      <c r="G177" s="7" t="n"/>
      <c r="H177" s="7" t="n"/>
      <c r="I177" s="8">
        <f>IF(E177="","",IFERROR(G177*VLOOKUP(E177,MAESTRO!$A:$D,4,FALSE),0)+N(H177))</f>
        <v/>
      </c>
      <c r="J177" s="6">
        <f>IF(OR(E177="",N(G177)=0),"",IFERROR(IF(VLOOKUP(E177,MAESTRO!$A:$E,5,FALSE)="","",VLOOKUP(E177,MAESTRO!$A:$E,5,FALSE)&amp;" · "&amp;G177),""))</f>
        <v/>
      </c>
      <c r="K177" s="5" t="n"/>
    </row>
    <row r="178">
      <c r="A178" s="4" t="n"/>
      <c r="B178" s="5" t="n"/>
      <c r="C178" s="6">
        <f>IF(B178="","",IFERROR(VLOOKUP(B178,TIPOS!$A:$B,2,FALSE),""))</f>
        <v/>
      </c>
      <c r="D178" s="5" t="n"/>
      <c r="E178" s="5" t="n"/>
      <c r="F178" s="6">
        <f>IF(E178="","",IFERROR(VLOOKUP(E178,MAESTRO!$A:$B,2,FALSE),"NO ESTÁ EN EL MAESTRO"))</f>
        <v/>
      </c>
      <c r="G178" s="7" t="n"/>
      <c r="H178" s="7" t="n"/>
      <c r="I178" s="8">
        <f>IF(E178="","",IFERROR(G178*VLOOKUP(E178,MAESTRO!$A:$D,4,FALSE),0)+N(H178))</f>
        <v/>
      </c>
      <c r="J178" s="6">
        <f>IF(OR(E178="",N(G178)=0),"",IFERROR(IF(VLOOKUP(E178,MAESTRO!$A:$E,5,FALSE)="","",VLOOKUP(E178,MAESTRO!$A:$E,5,FALSE)&amp;" · "&amp;G178),""))</f>
        <v/>
      </c>
      <c r="K178" s="5" t="n"/>
    </row>
    <row r="179">
      <c r="A179" s="4" t="n"/>
      <c r="B179" s="5" t="n"/>
      <c r="C179" s="6">
        <f>IF(B179="","",IFERROR(VLOOKUP(B179,TIPOS!$A:$B,2,FALSE),""))</f>
        <v/>
      </c>
      <c r="D179" s="5" t="n"/>
      <c r="E179" s="5" t="n"/>
      <c r="F179" s="6">
        <f>IF(E179="","",IFERROR(VLOOKUP(E179,MAESTRO!$A:$B,2,FALSE),"NO ESTÁ EN EL MAESTRO"))</f>
        <v/>
      </c>
      <c r="G179" s="7" t="n"/>
      <c r="H179" s="7" t="n"/>
      <c r="I179" s="8">
        <f>IF(E179="","",IFERROR(G179*VLOOKUP(E179,MAESTRO!$A:$D,4,FALSE),0)+N(H179))</f>
        <v/>
      </c>
      <c r="J179" s="6">
        <f>IF(OR(E179="",N(G179)=0),"",IFERROR(IF(VLOOKUP(E179,MAESTRO!$A:$E,5,FALSE)="","",VLOOKUP(E179,MAESTRO!$A:$E,5,FALSE)&amp;" · "&amp;G179),""))</f>
        <v/>
      </c>
      <c r="K179" s="5" t="n"/>
    </row>
    <row r="180">
      <c r="A180" s="4" t="n"/>
      <c r="B180" s="5" t="n"/>
      <c r="C180" s="6">
        <f>IF(B180="","",IFERROR(VLOOKUP(B180,TIPOS!$A:$B,2,FALSE),""))</f>
        <v/>
      </c>
      <c r="D180" s="5" t="n"/>
      <c r="E180" s="5" t="n"/>
      <c r="F180" s="6">
        <f>IF(E180="","",IFERROR(VLOOKUP(E180,MAESTRO!$A:$B,2,FALSE),"NO ESTÁ EN EL MAESTRO"))</f>
        <v/>
      </c>
      <c r="G180" s="7" t="n"/>
      <c r="H180" s="7" t="n"/>
      <c r="I180" s="8">
        <f>IF(E180="","",IFERROR(G180*VLOOKUP(E180,MAESTRO!$A:$D,4,FALSE),0)+N(H180))</f>
        <v/>
      </c>
      <c r="J180" s="6">
        <f>IF(OR(E180="",N(G180)=0),"",IFERROR(IF(VLOOKUP(E180,MAESTRO!$A:$E,5,FALSE)="","",VLOOKUP(E180,MAESTRO!$A:$E,5,FALSE)&amp;" · "&amp;G180),""))</f>
        <v/>
      </c>
      <c r="K180" s="5" t="n"/>
    </row>
    <row r="181">
      <c r="A181" s="4" t="n"/>
      <c r="B181" s="5" t="n"/>
      <c r="C181" s="6">
        <f>IF(B181="","",IFERROR(VLOOKUP(B181,TIPOS!$A:$B,2,FALSE),""))</f>
        <v/>
      </c>
      <c r="D181" s="5" t="n"/>
      <c r="E181" s="5" t="n"/>
      <c r="F181" s="6">
        <f>IF(E181="","",IFERROR(VLOOKUP(E181,MAESTRO!$A:$B,2,FALSE),"NO ESTÁ EN EL MAESTRO"))</f>
        <v/>
      </c>
      <c r="G181" s="7" t="n"/>
      <c r="H181" s="7" t="n"/>
      <c r="I181" s="8">
        <f>IF(E181="","",IFERROR(G181*VLOOKUP(E181,MAESTRO!$A:$D,4,FALSE),0)+N(H181))</f>
        <v/>
      </c>
      <c r="J181" s="6">
        <f>IF(OR(E181="",N(G181)=0),"",IFERROR(IF(VLOOKUP(E181,MAESTRO!$A:$E,5,FALSE)="","",VLOOKUP(E181,MAESTRO!$A:$E,5,FALSE)&amp;" · "&amp;G181),""))</f>
        <v/>
      </c>
      <c r="K181" s="5" t="n"/>
    </row>
    <row r="182">
      <c r="A182" s="4" t="n"/>
      <c r="B182" s="5" t="n"/>
      <c r="C182" s="6">
        <f>IF(B182="","",IFERROR(VLOOKUP(B182,TIPOS!$A:$B,2,FALSE),""))</f>
        <v/>
      </c>
      <c r="D182" s="5" t="n"/>
      <c r="E182" s="5" t="n"/>
      <c r="F182" s="6">
        <f>IF(E182="","",IFERROR(VLOOKUP(E182,MAESTRO!$A:$B,2,FALSE),"NO ESTÁ EN EL MAESTRO"))</f>
        <v/>
      </c>
      <c r="G182" s="7" t="n"/>
      <c r="H182" s="7" t="n"/>
      <c r="I182" s="8">
        <f>IF(E182="","",IFERROR(G182*VLOOKUP(E182,MAESTRO!$A:$D,4,FALSE),0)+N(H182))</f>
        <v/>
      </c>
      <c r="J182" s="6">
        <f>IF(OR(E182="",N(G182)=0),"",IFERROR(IF(VLOOKUP(E182,MAESTRO!$A:$E,5,FALSE)="","",VLOOKUP(E182,MAESTRO!$A:$E,5,FALSE)&amp;" · "&amp;G182),""))</f>
        <v/>
      </c>
      <c r="K182" s="5" t="n"/>
    </row>
    <row r="183">
      <c r="A183" s="4" t="n"/>
      <c r="B183" s="5" t="n"/>
      <c r="C183" s="6">
        <f>IF(B183="","",IFERROR(VLOOKUP(B183,TIPOS!$A:$B,2,FALSE),""))</f>
        <v/>
      </c>
      <c r="D183" s="5" t="n"/>
      <c r="E183" s="5" t="n"/>
      <c r="F183" s="6">
        <f>IF(E183="","",IFERROR(VLOOKUP(E183,MAESTRO!$A:$B,2,FALSE),"NO ESTÁ EN EL MAESTRO"))</f>
        <v/>
      </c>
      <c r="G183" s="7" t="n"/>
      <c r="H183" s="7" t="n"/>
      <c r="I183" s="8">
        <f>IF(E183="","",IFERROR(G183*VLOOKUP(E183,MAESTRO!$A:$D,4,FALSE),0)+N(H183))</f>
        <v/>
      </c>
      <c r="J183" s="6">
        <f>IF(OR(E183="",N(G183)=0),"",IFERROR(IF(VLOOKUP(E183,MAESTRO!$A:$E,5,FALSE)="","",VLOOKUP(E183,MAESTRO!$A:$E,5,FALSE)&amp;" · "&amp;G183),""))</f>
        <v/>
      </c>
      <c r="K183" s="5" t="n"/>
    </row>
    <row r="184">
      <c r="A184" s="4" t="n"/>
      <c r="B184" s="5" t="n"/>
      <c r="C184" s="6">
        <f>IF(B184="","",IFERROR(VLOOKUP(B184,TIPOS!$A:$B,2,FALSE),""))</f>
        <v/>
      </c>
      <c r="D184" s="5" t="n"/>
      <c r="E184" s="5" t="n"/>
      <c r="F184" s="6">
        <f>IF(E184="","",IFERROR(VLOOKUP(E184,MAESTRO!$A:$B,2,FALSE),"NO ESTÁ EN EL MAESTRO"))</f>
        <v/>
      </c>
      <c r="G184" s="7" t="n"/>
      <c r="H184" s="7" t="n"/>
      <c r="I184" s="8">
        <f>IF(E184="","",IFERROR(G184*VLOOKUP(E184,MAESTRO!$A:$D,4,FALSE),0)+N(H184))</f>
        <v/>
      </c>
      <c r="J184" s="6">
        <f>IF(OR(E184="",N(G184)=0),"",IFERROR(IF(VLOOKUP(E184,MAESTRO!$A:$E,5,FALSE)="","",VLOOKUP(E184,MAESTRO!$A:$E,5,FALSE)&amp;" · "&amp;G184),""))</f>
        <v/>
      </c>
      <c r="K184" s="5" t="n"/>
    </row>
    <row r="185">
      <c r="A185" s="4" t="n"/>
      <c r="B185" s="5" t="n"/>
      <c r="C185" s="6">
        <f>IF(B185="","",IFERROR(VLOOKUP(B185,TIPOS!$A:$B,2,FALSE),""))</f>
        <v/>
      </c>
      <c r="D185" s="5" t="n"/>
      <c r="E185" s="5" t="n"/>
      <c r="F185" s="6">
        <f>IF(E185="","",IFERROR(VLOOKUP(E185,MAESTRO!$A:$B,2,FALSE),"NO ESTÁ EN EL MAESTRO"))</f>
        <v/>
      </c>
      <c r="G185" s="7" t="n"/>
      <c r="H185" s="7" t="n"/>
      <c r="I185" s="8">
        <f>IF(E185="","",IFERROR(G185*VLOOKUP(E185,MAESTRO!$A:$D,4,FALSE),0)+N(H185))</f>
        <v/>
      </c>
      <c r="J185" s="6">
        <f>IF(OR(E185="",N(G185)=0),"",IFERROR(IF(VLOOKUP(E185,MAESTRO!$A:$E,5,FALSE)="","",VLOOKUP(E185,MAESTRO!$A:$E,5,FALSE)&amp;" · "&amp;G185),""))</f>
        <v/>
      </c>
      <c r="K185" s="5" t="n"/>
    </row>
    <row r="186">
      <c r="A186" s="4" t="n"/>
      <c r="B186" s="5" t="n"/>
      <c r="C186" s="6">
        <f>IF(B186="","",IFERROR(VLOOKUP(B186,TIPOS!$A:$B,2,FALSE),""))</f>
        <v/>
      </c>
      <c r="D186" s="5" t="n"/>
      <c r="E186" s="5" t="n"/>
      <c r="F186" s="6">
        <f>IF(E186="","",IFERROR(VLOOKUP(E186,MAESTRO!$A:$B,2,FALSE),"NO ESTÁ EN EL MAESTRO"))</f>
        <v/>
      </c>
      <c r="G186" s="7" t="n"/>
      <c r="H186" s="7" t="n"/>
      <c r="I186" s="8">
        <f>IF(E186="","",IFERROR(G186*VLOOKUP(E186,MAESTRO!$A:$D,4,FALSE),0)+N(H186))</f>
        <v/>
      </c>
      <c r="J186" s="6">
        <f>IF(OR(E186="",N(G186)=0),"",IFERROR(IF(VLOOKUP(E186,MAESTRO!$A:$E,5,FALSE)="","",VLOOKUP(E186,MAESTRO!$A:$E,5,FALSE)&amp;" · "&amp;G186),""))</f>
        <v/>
      </c>
      <c r="K186" s="5" t="n"/>
    </row>
    <row r="187">
      <c r="A187" s="4" t="n"/>
      <c r="B187" s="5" t="n"/>
      <c r="C187" s="6">
        <f>IF(B187="","",IFERROR(VLOOKUP(B187,TIPOS!$A:$B,2,FALSE),""))</f>
        <v/>
      </c>
      <c r="D187" s="5" t="n"/>
      <c r="E187" s="5" t="n"/>
      <c r="F187" s="6">
        <f>IF(E187="","",IFERROR(VLOOKUP(E187,MAESTRO!$A:$B,2,FALSE),"NO ESTÁ EN EL MAESTRO"))</f>
        <v/>
      </c>
      <c r="G187" s="7" t="n"/>
      <c r="H187" s="7" t="n"/>
      <c r="I187" s="8">
        <f>IF(E187="","",IFERROR(G187*VLOOKUP(E187,MAESTRO!$A:$D,4,FALSE),0)+N(H187))</f>
        <v/>
      </c>
      <c r="J187" s="6">
        <f>IF(OR(E187="",N(G187)=0),"",IFERROR(IF(VLOOKUP(E187,MAESTRO!$A:$E,5,FALSE)="","",VLOOKUP(E187,MAESTRO!$A:$E,5,FALSE)&amp;" · "&amp;G187),""))</f>
        <v/>
      </c>
      <c r="K187" s="5" t="n"/>
    </row>
    <row r="188">
      <c r="A188" s="4" t="n"/>
      <c r="B188" s="5" t="n"/>
      <c r="C188" s="6">
        <f>IF(B188="","",IFERROR(VLOOKUP(B188,TIPOS!$A:$B,2,FALSE),""))</f>
        <v/>
      </c>
      <c r="D188" s="5" t="n"/>
      <c r="E188" s="5" t="n"/>
      <c r="F188" s="6">
        <f>IF(E188="","",IFERROR(VLOOKUP(E188,MAESTRO!$A:$B,2,FALSE),"NO ESTÁ EN EL MAESTRO"))</f>
        <v/>
      </c>
      <c r="G188" s="7" t="n"/>
      <c r="H188" s="7" t="n"/>
      <c r="I188" s="8">
        <f>IF(E188="","",IFERROR(G188*VLOOKUP(E188,MAESTRO!$A:$D,4,FALSE),0)+N(H188))</f>
        <v/>
      </c>
      <c r="J188" s="6">
        <f>IF(OR(E188="",N(G188)=0),"",IFERROR(IF(VLOOKUP(E188,MAESTRO!$A:$E,5,FALSE)="","",VLOOKUP(E188,MAESTRO!$A:$E,5,FALSE)&amp;" · "&amp;G188),""))</f>
        <v/>
      </c>
      <c r="K188" s="5" t="n"/>
    </row>
    <row r="189">
      <c r="A189" s="4" t="n"/>
      <c r="B189" s="5" t="n"/>
      <c r="C189" s="6">
        <f>IF(B189="","",IFERROR(VLOOKUP(B189,TIPOS!$A:$B,2,FALSE),""))</f>
        <v/>
      </c>
      <c r="D189" s="5" t="n"/>
      <c r="E189" s="5" t="n"/>
      <c r="F189" s="6">
        <f>IF(E189="","",IFERROR(VLOOKUP(E189,MAESTRO!$A:$B,2,FALSE),"NO ESTÁ EN EL MAESTRO"))</f>
        <v/>
      </c>
      <c r="G189" s="7" t="n"/>
      <c r="H189" s="7" t="n"/>
      <c r="I189" s="8">
        <f>IF(E189="","",IFERROR(G189*VLOOKUP(E189,MAESTRO!$A:$D,4,FALSE),0)+N(H189))</f>
        <v/>
      </c>
      <c r="J189" s="6">
        <f>IF(OR(E189="",N(G189)=0),"",IFERROR(IF(VLOOKUP(E189,MAESTRO!$A:$E,5,FALSE)="","",VLOOKUP(E189,MAESTRO!$A:$E,5,FALSE)&amp;" · "&amp;G189),""))</f>
        <v/>
      </c>
      <c r="K189" s="5" t="n"/>
    </row>
    <row r="190">
      <c r="A190" s="4" t="n"/>
      <c r="B190" s="5" t="n"/>
      <c r="C190" s="6">
        <f>IF(B190="","",IFERROR(VLOOKUP(B190,TIPOS!$A:$B,2,FALSE),""))</f>
        <v/>
      </c>
      <c r="D190" s="5" t="n"/>
      <c r="E190" s="5" t="n"/>
      <c r="F190" s="6">
        <f>IF(E190="","",IFERROR(VLOOKUP(E190,MAESTRO!$A:$B,2,FALSE),"NO ESTÁ EN EL MAESTRO"))</f>
        <v/>
      </c>
      <c r="G190" s="7" t="n"/>
      <c r="H190" s="7" t="n"/>
      <c r="I190" s="8">
        <f>IF(E190="","",IFERROR(G190*VLOOKUP(E190,MAESTRO!$A:$D,4,FALSE),0)+N(H190))</f>
        <v/>
      </c>
      <c r="J190" s="6">
        <f>IF(OR(E190="",N(G190)=0),"",IFERROR(IF(VLOOKUP(E190,MAESTRO!$A:$E,5,FALSE)="","",VLOOKUP(E190,MAESTRO!$A:$E,5,FALSE)&amp;" · "&amp;G190),""))</f>
        <v/>
      </c>
      <c r="K190" s="5" t="n"/>
    </row>
    <row r="191">
      <c r="A191" s="4" t="n"/>
      <c r="B191" s="5" t="n"/>
      <c r="C191" s="6">
        <f>IF(B191="","",IFERROR(VLOOKUP(B191,TIPOS!$A:$B,2,FALSE),""))</f>
        <v/>
      </c>
      <c r="D191" s="5" t="n"/>
      <c r="E191" s="5" t="n"/>
      <c r="F191" s="6">
        <f>IF(E191="","",IFERROR(VLOOKUP(E191,MAESTRO!$A:$B,2,FALSE),"NO ESTÁ EN EL MAESTRO"))</f>
        <v/>
      </c>
      <c r="G191" s="7" t="n"/>
      <c r="H191" s="7" t="n"/>
      <c r="I191" s="8">
        <f>IF(E191="","",IFERROR(G191*VLOOKUP(E191,MAESTRO!$A:$D,4,FALSE),0)+N(H191))</f>
        <v/>
      </c>
      <c r="J191" s="6">
        <f>IF(OR(E191="",N(G191)=0),"",IFERROR(IF(VLOOKUP(E191,MAESTRO!$A:$E,5,FALSE)="","",VLOOKUP(E191,MAESTRO!$A:$E,5,FALSE)&amp;" · "&amp;G191),""))</f>
        <v/>
      </c>
      <c r="K191" s="5" t="n"/>
    </row>
    <row r="192">
      <c r="A192" s="4" t="n"/>
      <c r="B192" s="5" t="n"/>
      <c r="C192" s="6">
        <f>IF(B192="","",IFERROR(VLOOKUP(B192,TIPOS!$A:$B,2,FALSE),""))</f>
        <v/>
      </c>
      <c r="D192" s="5" t="n"/>
      <c r="E192" s="5" t="n"/>
      <c r="F192" s="6">
        <f>IF(E192="","",IFERROR(VLOOKUP(E192,MAESTRO!$A:$B,2,FALSE),"NO ESTÁ EN EL MAESTRO"))</f>
        <v/>
      </c>
      <c r="G192" s="7" t="n"/>
      <c r="H192" s="7" t="n"/>
      <c r="I192" s="8">
        <f>IF(E192="","",IFERROR(G192*VLOOKUP(E192,MAESTRO!$A:$D,4,FALSE),0)+N(H192))</f>
        <v/>
      </c>
      <c r="J192" s="6">
        <f>IF(OR(E192="",N(G192)=0),"",IFERROR(IF(VLOOKUP(E192,MAESTRO!$A:$E,5,FALSE)="","",VLOOKUP(E192,MAESTRO!$A:$E,5,FALSE)&amp;" · "&amp;G192),""))</f>
        <v/>
      </c>
      <c r="K192" s="5" t="n"/>
    </row>
    <row r="193">
      <c r="A193" s="4" t="n"/>
      <c r="B193" s="5" t="n"/>
      <c r="C193" s="6">
        <f>IF(B193="","",IFERROR(VLOOKUP(B193,TIPOS!$A:$B,2,FALSE),""))</f>
        <v/>
      </c>
      <c r="D193" s="5" t="n"/>
      <c r="E193" s="5" t="n"/>
      <c r="F193" s="6">
        <f>IF(E193="","",IFERROR(VLOOKUP(E193,MAESTRO!$A:$B,2,FALSE),"NO ESTÁ EN EL MAESTRO"))</f>
        <v/>
      </c>
      <c r="G193" s="7" t="n"/>
      <c r="H193" s="7" t="n"/>
      <c r="I193" s="8">
        <f>IF(E193="","",IFERROR(G193*VLOOKUP(E193,MAESTRO!$A:$D,4,FALSE),0)+N(H193))</f>
        <v/>
      </c>
      <c r="J193" s="6">
        <f>IF(OR(E193="",N(G193)=0),"",IFERROR(IF(VLOOKUP(E193,MAESTRO!$A:$E,5,FALSE)="","",VLOOKUP(E193,MAESTRO!$A:$E,5,FALSE)&amp;" · "&amp;G193),""))</f>
        <v/>
      </c>
      <c r="K193" s="5" t="n"/>
    </row>
    <row r="194">
      <c r="A194" s="4" t="n"/>
      <c r="B194" s="5" t="n"/>
      <c r="C194" s="6">
        <f>IF(B194="","",IFERROR(VLOOKUP(B194,TIPOS!$A:$B,2,FALSE),""))</f>
        <v/>
      </c>
      <c r="D194" s="5" t="n"/>
      <c r="E194" s="5" t="n"/>
      <c r="F194" s="6">
        <f>IF(E194="","",IFERROR(VLOOKUP(E194,MAESTRO!$A:$B,2,FALSE),"NO ESTÁ EN EL MAESTRO"))</f>
        <v/>
      </c>
      <c r="G194" s="7" t="n"/>
      <c r="H194" s="7" t="n"/>
      <c r="I194" s="8">
        <f>IF(E194="","",IFERROR(G194*VLOOKUP(E194,MAESTRO!$A:$D,4,FALSE),0)+N(H194))</f>
        <v/>
      </c>
      <c r="J194" s="6">
        <f>IF(OR(E194="",N(G194)=0),"",IFERROR(IF(VLOOKUP(E194,MAESTRO!$A:$E,5,FALSE)="","",VLOOKUP(E194,MAESTRO!$A:$E,5,FALSE)&amp;" · "&amp;G194),""))</f>
        <v/>
      </c>
      <c r="K194" s="5" t="n"/>
    </row>
    <row r="195">
      <c r="A195" s="4" t="n"/>
      <c r="B195" s="5" t="n"/>
      <c r="C195" s="6">
        <f>IF(B195="","",IFERROR(VLOOKUP(B195,TIPOS!$A:$B,2,FALSE),""))</f>
        <v/>
      </c>
      <c r="D195" s="5" t="n"/>
      <c r="E195" s="5" t="n"/>
      <c r="F195" s="6">
        <f>IF(E195="","",IFERROR(VLOOKUP(E195,MAESTRO!$A:$B,2,FALSE),"NO ESTÁ EN EL MAESTRO"))</f>
        <v/>
      </c>
      <c r="G195" s="7" t="n"/>
      <c r="H195" s="7" t="n"/>
      <c r="I195" s="8">
        <f>IF(E195="","",IFERROR(G195*VLOOKUP(E195,MAESTRO!$A:$D,4,FALSE),0)+N(H195))</f>
        <v/>
      </c>
      <c r="J195" s="6">
        <f>IF(OR(E195="",N(G195)=0),"",IFERROR(IF(VLOOKUP(E195,MAESTRO!$A:$E,5,FALSE)="","",VLOOKUP(E195,MAESTRO!$A:$E,5,FALSE)&amp;" · "&amp;G195),""))</f>
        <v/>
      </c>
      <c r="K195" s="5" t="n"/>
    </row>
    <row r="196">
      <c r="A196" s="4" t="n"/>
      <c r="B196" s="5" t="n"/>
      <c r="C196" s="6">
        <f>IF(B196="","",IFERROR(VLOOKUP(B196,TIPOS!$A:$B,2,FALSE),""))</f>
        <v/>
      </c>
      <c r="D196" s="5" t="n"/>
      <c r="E196" s="5" t="n"/>
      <c r="F196" s="6">
        <f>IF(E196="","",IFERROR(VLOOKUP(E196,MAESTRO!$A:$B,2,FALSE),"NO ESTÁ EN EL MAESTRO"))</f>
        <v/>
      </c>
      <c r="G196" s="7" t="n"/>
      <c r="H196" s="7" t="n"/>
      <c r="I196" s="8">
        <f>IF(E196="","",IFERROR(G196*VLOOKUP(E196,MAESTRO!$A:$D,4,FALSE),0)+N(H196))</f>
        <v/>
      </c>
      <c r="J196" s="6">
        <f>IF(OR(E196="",N(G196)=0),"",IFERROR(IF(VLOOKUP(E196,MAESTRO!$A:$E,5,FALSE)="","",VLOOKUP(E196,MAESTRO!$A:$E,5,FALSE)&amp;" · "&amp;G196),""))</f>
        <v/>
      </c>
      <c r="K196" s="5" t="n"/>
    </row>
    <row r="197">
      <c r="A197" s="4" t="n"/>
      <c r="B197" s="5" t="n"/>
      <c r="C197" s="6">
        <f>IF(B197="","",IFERROR(VLOOKUP(B197,TIPOS!$A:$B,2,FALSE),""))</f>
        <v/>
      </c>
      <c r="D197" s="5" t="n"/>
      <c r="E197" s="5" t="n"/>
      <c r="F197" s="6">
        <f>IF(E197="","",IFERROR(VLOOKUP(E197,MAESTRO!$A:$B,2,FALSE),"NO ESTÁ EN EL MAESTRO"))</f>
        <v/>
      </c>
      <c r="G197" s="7" t="n"/>
      <c r="H197" s="7" t="n"/>
      <c r="I197" s="8">
        <f>IF(E197="","",IFERROR(G197*VLOOKUP(E197,MAESTRO!$A:$D,4,FALSE),0)+N(H197))</f>
        <v/>
      </c>
      <c r="J197" s="6">
        <f>IF(OR(E197="",N(G197)=0),"",IFERROR(IF(VLOOKUP(E197,MAESTRO!$A:$E,5,FALSE)="","",VLOOKUP(E197,MAESTRO!$A:$E,5,FALSE)&amp;" · "&amp;G197),""))</f>
        <v/>
      </c>
      <c r="K197" s="5" t="n"/>
    </row>
    <row r="198">
      <c r="A198" s="4" t="n"/>
      <c r="B198" s="5" t="n"/>
      <c r="C198" s="6">
        <f>IF(B198="","",IFERROR(VLOOKUP(B198,TIPOS!$A:$B,2,FALSE),""))</f>
        <v/>
      </c>
      <c r="D198" s="5" t="n"/>
      <c r="E198" s="5" t="n"/>
      <c r="F198" s="6">
        <f>IF(E198="","",IFERROR(VLOOKUP(E198,MAESTRO!$A:$B,2,FALSE),"NO ESTÁ EN EL MAESTRO"))</f>
        <v/>
      </c>
      <c r="G198" s="7" t="n"/>
      <c r="H198" s="7" t="n"/>
      <c r="I198" s="8">
        <f>IF(E198="","",IFERROR(G198*VLOOKUP(E198,MAESTRO!$A:$D,4,FALSE),0)+N(H198))</f>
        <v/>
      </c>
      <c r="J198" s="6">
        <f>IF(OR(E198="",N(G198)=0),"",IFERROR(IF(VLOOKUP(E198,MAESTRO!$A:$E,5,FALSE)="","",VLOOKUP(E198,MAESTRO!$A:$E,5,FALSE)&amp;" · "&amp;G198),""))</f>
        <v/>
      </c>
      <c r="K198" s="5" t="n"/>
    </row>
    <row r="199">
      <c r="A199" s="4" t="n"/>
      <c r="B199" s="5" t="n"/>
      <c r="C199" s="6">
        <f>IF(B199="","",IFERROR(VLOOKUP(B199,TIPOS!$A:$B,2,FALSE),""))</f>
        <v/>
      </c>
      <c r="D199" s="5" t="n"/>
      <c r="E199" s="5" t="n"/>
      <c r="F199" s="6">
        <f>IF(E199="","",IFERROR(VLOOKUP(E199,MAESTRO!$A:$B,2,FALSE),"NO ESTÁ EN EL MAESTRO"))</f>
        <v/>
      </c>
      <c r="G199" s="7" t="n"/>
      <c r="H199" s="7" t="n"/>
      <c r="I199" s="8">
        <f>IF(E199="","",IFERROR(G199*VLOOKUP(E199,MAESTRO!$A:$D,4,FALSE),0)+N(H199))</f>
        <v/>
      </c>
      <c r="J199" s="6">
        <f>IF(OR(E199="",N(G199)=0),"",IFERROR(IF(VLOOKUP(E199,MAESTRO!$A:$E,5,FALSE)="","",VLOOKUP(E199,MAESTRO!$A:$E,5,FALSE)&amp;" · "&amp;G199),""))</f>
        <v/>
      </c>
      <c r="K199" s="5" t="n"/>
    </row>
    <row r="200">
      <c r="A200" s="4" t="n"/>
      <c r="B200" s="5" t="n"/>
      <c r="C200" s="6">
        <f>IF(B200="","",IFERROR(VLOOKUP(B200,TIPOS!$A:$B,2,FALSE),""))</f>
        <v/>
      </c>
      <c r="D200" s="5" t="n"/>
      <c r="E200" s="5" t="n"/>
      <c r="F200" s="6">
        <f>IF(E200="","",IFERROR(VLOOKUP(E200,MAESTRO!$A:$B,2,FALSE),"NO ESTÁ EN EL MAESTRO"))</f>
        <v/>
      </c>
      <c r="G200" s="7" t="n"/>
      <c r="H200" s="7" t="n"/>
      <c r="I200" s="8">
        <f>IF(E200="","",IFERROR(G200*VLOOKUP(E200,MAESTRO!$A:$D,4,FALSE),0)+N(H200))</f>
        <v/>
      </c>
      <c r="J200" s="6">
        <f>IF(OR(E200="",N(G200)=0),"",IFERROR(IF(VLOOKUP(E200,MAESTRO!$A:$E,5,FALSE)="","",VLOOKUP(E200,MAESTRO!$A:$E,5,FALSE)&amp;" · "&amp;G200),""))</f>
        <v/>
      </c>
      <c r="K200" s="5" t="n"/>
    </row>
    <row r="201">
      <c r="A201" s="4" t="n"/>
      <c r="B201" s="5" t="n"/>
      <c r="C201" s="6">
        <f>IF(B201="","",IFERROR(VLOOKUP(B201,TIPOS!$A:$B,2,FALSE),""))</f>
        <v/>
      </c>
      <c r="D201" s="5" t="n"/>
      <c r="E201" s="5" t="n"/>
      <c r="F201" s="6">
        <f>IF(E201="","",IFERROR(VLOOKUP(E201,MAESTRO!$A:$B,2,FALSE),"NO ESTÁ EN EL MAESTRO"))</f>
        <v/>
      </c>
      <c r="G201" s="7" t="n"/>
      <c r="H201" s="7" t="n"/>
      <c r="I201" s="8">
        <f>IF(E201="","",IFERROR(G201*VLOOKUP(E201,MAESTRO!$A:$D,4,FALSE),0)+N(H201))</f>
        <v/>
      </c>
      <c r="J201" s="6">
        <f>IF(OR(E201="",N(G201)=0),"",IFERROR(IF(VLOOKUP(E201,MAESTRO!$A:$E,5,FALSE)="","",VLOOKUP(E201,MAESTRO!$A:$E,5,FALSE)&amp;" · "&amp;G201),""))</f>
        <v/>
      </c>
      <c r="K201" s="5" t="n"/>
    </row>
    <row r="202">
      <c r="A202" s="4" t="n"/>
      <c r="B202" s="5" t="n"/>
      <c r="C202" s="6">
        <f>IF(B202="","",IFERROR(VLOOKUP(B202,TIPOS!$A:$B,2,FALSE),""))</f>
        <v/>
      </c>
      <c r="D202" s="5" t="n"/>
      <c r="E202" s="5" t="n"/>
      <c r="F202" s="6">
        <f>IF(E202="","",IFERROR(VLOOKUP(E202,MAESTRO!$A:$B,2,FALSE),"NO ESTÁ EN EL MAESTRO"))</f>
        <v/>
      </c>
      <c r="G202" s="7" t="n"/>
      <c r="H202" s="7" t="n"/>
      <c r="I202" s="8">
        <f>IF(E202="","",IFERROR(G202*VLOOKUP(E202,MAESTRO!$A:$D,4,FALSE),0)+N(H202))</f>
        <v/>
      </c>
      <c r="J202" s="6">
        <f>IF(OR(E202="",N(G202)=0),"",IFERROR(IF(VLOOKUP(E202,MAESTRO!$A:$E,5,FALSE)="","",VLOOKUP(E202,MAESTRO!$A:$E,5,FALSE)&amp;" · "&amp;G202),""))</f>
        <v/>
      </c>
      <c r="K202" s="5" t="n"/>
    </row>
    <row r="203">
      <c r="A203" s="4" t="n"/>
      <c r="B203" s="5" t="n"/>
      <c r="C203" s="6">
        <f>IF(B203="","",IFERROR(VLOOKUP(B203,TIPOS!$A:$B,2,FALSE),""))</f>
        <v/>
      </c>
      <c r="D203" s="5" t="n"/>
      <c r="E203" s="5" t="n"/>
      <c r="F203" s="6">
        <f>IF(E203="","",IFERROR(VLOOKUP(E203,MAESTRO!$A:$B,2,FALSE),"NO ESTÁ EN EL MAESTRO"))</f>
        <v/>
      </c>
      <c r="G203" s="7" t="n"/>
      <c r="H203" s="7" t="n"/>
      <c r="I203" s="8">
        <f>IF(E203="","",IFERROR(G203*VLOOKUP(E203,MAESTRO!$A:$D,4,FALSE),0)+N(H203))</f>
        <v/>
      </c>
      <c r="J203" s="6">
        <f>IF(OR(E203="",N(G203)=0),"",IFERROR(IF(VLOOKUP(E203,MAESTRO!$A:$E,5,FALSE)="","",VLOOKUP(E203,MAESTRO!$A:$E,5,FALSE)&amp;" · "&amp;G203),""))</f>
        <v/>
      </c>
      <c r="K203" s="5" t="n"/>
    </row>
    <row r="204">
      <c r="A204" s="4" t="n"/>
      <c r="B204" s="5" t="n"/>
      <c r="C204" s="6">
        <f>IF(B204="","",IFERROR(VLOOKUP(B204,TIPOS!$A:$B,2,FALSE),""))</f>
        <v/>
      </c>
      <c r="D204" s="5" t="n"/>
      <c r="E204" s="5" t="n"/>
      <c r="F204" s="6">
        <f>IF(E204="","",IFERROR(VLOOKUP(E204,MAESTRO!$A:$B,2,FALSE),"NO ESTÁ EN EL MAESTRO"))</f>
        <v/>
      </c>
      <c r="G204" s="7" t="n"/>
      <c r="H204" s="7" t="n"/>
      <c r="I204" s="8">
        <f>IF(E204="","",IFERROR(G204*VLOOKUP(E204,MAESTRO!$A:$D,4,FALSE),0)+N(H204))</f>
        <v/>
      </c>
      <c r="J204" s="6">
        <f>IF(OR(E204="",N(G204)=0),"",IFERROR(IF(VLOOKUP(E204,MAESTRO!$A:$E,5,FALSE)="","",VLOOKUP(E204,MAESTRO!$A:$E,5,FALSE)&amp;" · "&amp;G204),""))</f>
        <v/>
      </c>
      <c r="K204" s="5" t="n"/>
    </row>
  </sheetData>
  <autoFilter ref="A4:K204"/>
  <mergeCells count="1">
    <mergeCell ref="A2:K2"/>
  </mergeCells>
  <dataValidations count="2">
    <dataValidation sqref="B5:B204" showDropDown="0" showInputMessage="0" showErrorMessage="0" allowBlank="1" type="list">
      <formula1>=TIPOS!$A$2:$A$8</formula1>
    </dataValidation>
    <dataValidation sqref="E5:E204" showDropDown="0" showInputMessage="0" showErrorMessage="0" allowBlank="1" type="list">
      <formula1>=MAESTRO!$A$2:$A$23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4" customWidth="1" min="2" max="2"/>
    <col width="10" customWidth="1" min="3" max="3"/>
    <col width="14" customWidth="1" min="4" max="4"/>
    <col width="18" customWidth="1" min="5" max="5"/>
  </cols>
  <sheetData>
    <row r="1">
      <c r="A1" s="3" t="inlineStr">
        <is>
          <t>CÓDIGO</t>
        </is>
      </c>
      <c r="B1" s="3" t="inlineStr">
        <is>
          <t>DESCRIPCIÓN</t>
        </is>
      </c>
      <c r="C1" s="3" t="inlineStr">
        <is>
          <t>FAMILIA</t>
        </is>
      </c>
      <c r="D1" s="3" t="inlineStr">
        <is>
          <t>UNIDADES POR CAJA</t>
        </is>
      </c>
      <c r="E1" s="3" t="inlineStr">
        <is>
          <t>CAJA PLÁSTICA QUE LO GUARDA</t>
        </is>
      </c>
    </row>
    <row r="2">
      <c r="A2" s="9" t="n">
        <v>3500162</v>
      </c>
      <c r="B2" s="10" t="inlineStr">
        <is>
          <t>ENVASE MARRÓN 330 CC</t>
        </is>
      </c>
      <c r="C2" s="9" t="inlineStr">
        <is>
          <t>E07</t>
        </is>
      </c>
      <c r="D2" s="9" t="n">
        <v>30</v>
      </c>
      <c r="E2" s="9" t="n">
        <v>3500159</v>
      </c>
    </row>
    <row r="3">
      <c r="A3" s="9" t="n">
        <v>3500213</v>
      </c>
      <c r="B3" s="10" t="inlineStr">
        <is>
          <t>ENVASE FLINT AGUILA 330CC RETORNABLE</t>
        </is>
      </c>
      <c r="C3" s="9" t="inlineStr">
        <is>
          <t>E07</t>
        </is>
      </c>
      <c r="D3" s="9" t="n">
        <v>30</v>
      </c>
      <c r="E3" s="9" t="n">
        <v>3500159</v>
      </c>
    </row>
    <row r="4">
      <c r="A4" s="9" t="n">
        <v>3500446</v>
      </c>
      <c r="B4" s="10" t="inlineStr">
        <is>
          <t>ENVASE MARRON CLUB COL 330R</t>
        </is>
      </c>
      <c r="C4" s="9" t="inlineStr">
        <is>
          <t>E07</t>
        </is>
      </c>
      <c r="D4" s="9" t="n">
        <v>30</v>
      </c>
      <c r="E4" s="9" t="n">
        <v>3500159</v>
      </c>
    </row>
    <row r="5">
      <c r="A5" s="9" t="n">
        <v>3501430</v>
      </c>
      <c r="B5" s="10" t="inlineStr">
        <is>
          <t>ENVASE COSTENA BACANA 320CC R</t>
        </is>
      </c>
      <c r="C5" s="9" t="inlineStr">
        <is>
          <t>E07</t>
        </is>
      </c>
      <c r="D5" s="9" t="n">
        <v>30</v>
      </c>
      <c r="E5" s="9" t="n">
        <v>3500159</v>
      </c>
    </row>
    <row r="6">
      <c r="A6" s="9" t="n">
        <v>3500005</v>
      </c>
      <c r="B6" s="10" t="inlineStr">
        <is>
          <t>ENVASE COSTEÑITA 175 CC</t>
        </is>
      </c>
      <c r="C6" s="9" t="inlineStr">
        <is>
          <t>E07</t>
        </is>
      </c>
      <c r="D6" s="9" t="n">
        <v>38</v>
      </c>
      <c r="E6" s="9" t="n">
        <v>3500231</v>
      </c>
    </row>
    <row r="7">
      <c r="A7" s="9" t="n">
        <v>3500207</v>
      </c>
      <c r="B7" s="10" t="inlineStr">
        <is>
          <t>BOTELLA MARRON 225 CC RB</t>
        </is>
      </c>
      <c r="C7" s="9" t="inlineStr">
        <is>
          <t>E07</t>
        </is>
      </c>
      <c r="D7" s="9" t="n">
        <v>38</v>
      </c>
      <c r="E7" s="9" t="n">
        <v>3500231</v>
      </c>
    </row>
    <row r="8">
      <c r="A8" s="9" t="n">
        <v>3501225</v>
      </c>
      <c r="B8" s="10" t="inlineStr">
        <is>
          <t>BOTELLA FLINT 250 CC</t>
        </is>
      </c>
      <c r="C8" s="9" t="inlineStr">
        <is>
          <t>E07</t>
        </is>
      </c>
      <c r="D8" s="9" t="n">
        <v>38</v>
      </c>
      <c r="E8" s="9" t="n">
        <v>3501224</v>
      </c>
    </row>
    <row r="9">
      <c r="A9" s="9" t="n">
        <v>3501226</v>
      </c>
      <c r="B9" s="10" t="inlineStr">
        <is>
          <t>BOTELLA MARRON 250 CC</t>
        </is>
      </c>
      <c r="C9" s="9" t="inlineStr">
        <is>
          <t>E07</t>
        </is>
      </c>
      <c r="D9" s="9" t="n">
        <v>38</v>
      </c>
      <c r="E9" s="9" t="n">
        <v>3501224</v>
      </c>
    </row>
    <row r="10">
      <c r="A10" s="9" t="n">
        <v>3500373</v>
      </c>
      <c r="B10" s="10" t="inlineStr">
        <is>
          <t>Envase Marrón 750R</t>
        </is>
      </c>
      <c r="C10" s="9" t="inlineStr">
        <is>
          <t>E09</t>
        </is>
      </c>
      <c r="D10" s="9" t="n">
        <v>16</v>
      </c>
      <c r="E10" s="9" t="n">
        <v>3500374</v>
      </c>
    </row>
    <row r="11">
      <c r="A11" s="9" t="n">
        <v>3500383</v>
      </c>
      <c r="B11" s="10" t="inlineStr">
        <is>
          <t>Envase Flint 750R</t>
        </is>
      </c>
      <c r="C11" s="9" t="inlineStr">
        <is>
          <t>E09</t>
        </is>
      </c>
      <c r="D11" s="9" t="n">
        <v>16</v>
      </c>
      <c r="E11" s="9" t="n">
        <v>3500374</v>
      </c>
    </row>
    <row r="12">
      <c r="A12" s="9" t="n">
        <v>3500887</v>
      </c>
      <c r="B12" s="10" t="inlineStr">
        <is>
          <t>BOTELLA FLINT 1000R</t>
        </is>
      </c>
      <c r="C12" s="9" t="inlineStr">
        <is>
          <t>E09</t>
        </is>
      </c>
      <c r="D12" s="9" t="n">
        <v>13</v>
      </c>
      <c r="E12" s="9" t="n">
        <v>3501211</v>
      </c>
    </row>
    <row r="13">
      <c r="A13" s="9" t="n">
        <v>3500888</v>
      </c>
      <c r="B13" s="10" t="inlineStr">
        <is>
          <t>BOTELLA MARRON 1000CC</t>
        </is>
      </c>
      <c r="C13" s="9" t="inlineStr">
        <is>
          <t>E09</t>
        </is>
      </c>
      <c r="D13" s="9" t="n">
        <v>13</v>
      </c>
      <c r="E13" s="9" t="n">
        <v>3501211</v>
      </c>
    </row>
    <row r="14">
      <c r="A14" s="9" t="n">
        <v>3501539</v>
      </c>
      <c r="B14" s="10" t="inlineStr">
        <is>
          <t>BOTELLA MARRON 850 ML R</t>
        </is>
      </c>
      <c r="C14" s="9" t="inlineStr">
        <is>
          <t>E09</t>
        </is>
      </c>
      <c r="D14" s="9" t="n">
        <v>13</v>
      </c>
      <c r="E14" s="9" t="n">
        <v>3501211</v>
      </c>
    </row>
    <row r="15">
      <c r="A15" s="9" t="n">
        <v>3500159</v>
      </c>
      <c r="B15" s="10" t="inlineStr">
        <is>
          <t>CAJA PLÁSTICA CAFE 330 CC X 30</t>
        </is>
      </c>
      <c r="C15" s="9" t="inlineStr">
        <is>
          <t>E01</t>
        </is>
      </c>
      <c r="D15" s="9" t="n">
        <v>1</v>
      </c>
      <c r="E15" s="9" t="n"/>
    </row>
    <row r="16">
      <c r="A16" s="9" t="n">
        <v>3500231</v>
      </c>
      <c r="B16" s="10" t="inlineStr">
        <is>
          <t>CANASTA PLASTICA CAFE 225 CC X 38</t>
        </is>
      </c>
      <c r="C16" s="9" t="inlineStr">
        <is>
          <t>E01</t>
        </is>
      </c>
      <c r="D16" s="9" t="n">
        <v>1</v>
      </c>
      <c r="E16" s="9" t="n"/>
    </row>
    <row r="17">
      <c r="A17" s="9" t="n">
        <v>3501224</v>
      </c>
      <c r="B17" s="10" t="inlineStr">
        <is>
          <t>CAJA PLASTICA MARRON 250cc x38</t>
        </is>
      </c>
      <c r="C17" s="9" t="inlineStr">
        <is>
          <t>E01</t>
        </is>
      </c>
      <c r="D17" s="9" t="n">
        <v>1</v>
      </c>
      <c r="E17" s="9" t="n"/>
    </row>
    <row r="18">
      <c r="A18" s="9" t="n">
        <v>3501211</v>
      </c>
      <c r="B18" s="10" t="inlineStr">
        <is>
          <t>CAJA PLASTICA MARRON 1000cc x13</t>
        </is>
      </c>
      <c r="C18" s="9" t="inlineStr">
        <is>
          <t>E01</t>
        </is>
      </c>
      <c r="D18" s="9" t="n">
        <v>1</v>
      </c>
      <c r="E18" s="9" t="n"/>
    </row>
    <row r="19">
      <c r="A19" s="9" t="n">
        <v>3500374</v>
      </c>
      <c r="B19" s="10" t="inlineStr">
        <is>
          <t>CAJA MARRÓN 750CC X 16</t>
        </is>
      </c>
      <c r="C19" s="9" t="inlineStr">
        <is>
          <t>E01</t>
        </is>
      </c>
      <c r="D19" s="9" t="n">
        <v>1</v>
      </c>
      <c r="E19" s="9" t="n"/>
    </row>
    <row r="20">
      <c r="A20" s="9" t="n">
        <v>3500163</v>
      </c>
      <c r="B20" s="10" t="inlineStr">
        <is>
          <t>ESTIBA CERV MADERA 330CC 1280X1080 X 120</t>
        </is>
      </c>
      <c r="C20" s="9" t="inlineStr">
        <is>
          <t>E03</t>
        </is>
      </c>
      <c r="D20" s="9" t="n">
        <v>1</v>
      </c>
      <c r="E20" s="9" t="n"/>
    </row>
    <row r="21">
      <c r="A21" s="9" t="n">
        <v>3500024</v>
      </c>
      <c r="B21" s="10" t="inlineStr">
        <is>
          <t>CILINDRO CO2 20 KG</t>
        </is>
      </c>
      <c r="C21" s="9" t="inlineStr">
        <is>
          <t>E02</t>
        </is>
      </c>
      <c r="D21" s="9" t="n">
        <v>1</v>
      </c>
      <c r="E21" s="9" t="n"/>
    </row>
    <row r="22">
      <c r="A22" s="9" t="n">
        <v>3500025</v>
      </c>
      <c r="B22" s="10" t="inlineStr">
        <is>
          <t>BARRIL ACERO INOX DIN 30 LT</t>
        </is>
      </c>
      <c r="C22" s="9" t="inlineStr">
        <is>
          <t>E05</t>
        </is>
      </c>
      <c r="D22" s="9" t="n">
        <v>1</v>
      </c>
      <c r="E22" s="9" t="n"/>
    </row>
    <row r="23">
      <c r="A23" s="9" t="n">
        <v>3500587</v>
      </c>
      <c r="B23" s="10" t="inlineStr">
        <is>
          <t>BBC BARRIL ACERO INOX DIN 30 LT</t>
        </is>
      </c>
      <c r="C23" s="9" t="inlineStr">
        <is>
          <t>E05</t>
        </is>
      </c>
      <c r="D23" s="9" t="n">
        <v>1</v>
      </c>
      <c r="E23" s="9" t="n"/>
    </row>
    <row r="25">
      <c r="A25" s="11" t="inlineStr">
        <is>
          <t>Las cajas plásticas, estibas, cilindros y barriles se cuentan por unidad (1). La 330 guarda los envases de 330 y de 320.</t>
        </is>
      </c>
    </row>
    <row r="26">
      <c r="A26" s="12" t="inlineStr">
        <is>
          <t>Confirma la caja del 250 (3501225 / 3501226): aquí va 3501224; en la línea 4 la depa la toma con 3500231.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70" customWidth="1" min="3" max="3"/>
  </cols>
  <sheetData>
    <row r="1">
      <c r="A1" s="13" t="inlineStr">
        <is>
          <t>TIPO DE NOVEDAD</t>
        </is>
      </c>
      <c r="B1" s="13" t="inlineStr">
        <is>
          <t>SUMA EN</t>
        </is>
      </c>
      <c r="C1" s="13" t="inlineStr">
        <is>
          <t>QUÉ ES</t>
        </is>
      </c>
    </row>
    <row r="2">
      <c r="A2" s="14" t="inlineStr">
        <is>
          <t>SINIESTRO</t>
        </is>
      </c>
      <c r="B2" s="14" t="inlineStr">
        <is>
          <t>CONTEO</t>
        </is>
      </c>
      <c r="C2" s="14" t="inlineStr">
        <is>
          <t>Envase o caja que está en siniestro (no se ve en el conteo, pero existe).</t>
        </is>
      </c>
    </row>
    <row r="3">
      <c r="A3" s="14" t="inlineStr">
        <is>
          <t>FAC PROVEEDOR</t>
        </is>
      </c>
      <c r="B3" s="14" t="inlineStr">
        <is>
          <t>CONTEO</t>
        </is>
      </c>
      <c r="C3" s="14" t="inlineStr">
        <is>
          <t>Lo facturado por el proveedor que todavía no llega físico / está por recibir.</t>
        </is>
      </c>
    </row>
    <row r="4">
      <c r="A4" s="14" t="inlineStr">
        <is>
          <t>BAJA PENDIENTE POR DISPOSICION</t>
        </is>
      </c>
      <c r="B4" s="14" t="inlineStr">
        <is>
          <t>CONTEO</t>
        </is>
      </c>
      <c r="C4" s="14" t="inlineStr">
        <is>
          <t>Material dado de baja que espera disposición final.</t>
        </is>
      </c>
    </row>
    <row r="5">
      <c r="A5" s="14" t="inlineStr">
        <is>
          <t>BAJA</t>
        </is>
      </c>
      <c r="B5" s="14" t="inlineStr">
        <is>
          <t>CONTEO</t>
        </is>
      </c>
      <c r="C5" s="14" t="inlineStr">
        <is>
          <t>Otra baja que se suma al conteo (escribe en OBSERVACIÓN cuál).</t>
        </is>
      </c>
    </row>
    <row r="6">
      <c r="A6" s="14" t="inlineStr">
        <is>
          <t>PEND NOVEDADES CD</t>
        </is>
      </c>
      <c r="B6" s="14" t="inlineStr">
        <is>
          <t>SAP</t>
        </is>
      </c>
      <c r="C6" s="14" t="inlineStr">
        <is>
          <t>Entregas / documentos pendientes del CD: van con su N° de entrega.</t>
        </is>
      </c>
    </row>
    <row r="7">
      <c r="A7" s="14" t="inlineStr">
        <is>
          <t>OTRA (SUMA AL CONTEO)</t>
        </is>
      </c>
      <c r="B7" s="14" t="inlineStr">
        <is>
          <t>CONTEO</t>
        </is>
      </c>
      <c r="C7" s="14" t="inlineStr">
        <is>
          <t>Cualquier otra novedad que suma al lado del conteo.</t>
        </is>
      </c>
    </row>
    <row r="8">
      <c r="A8" s="14" t="inlineStr">
        <is>
          <t>OTRA (SUMA A SAP)</t>
        </is>
      </c>
      <c r="B8" s="14" t="inlineStr">
        <is>
          <t>SAP</t>
        </is>
      </c>
      <c r="C8" s="14" t="inlineStr">
        <is>
          <t>Cualquier otra novedad que suma al lado de SAP.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2026-10-14T19:28:28Z</dcterms:created>
  <dcterms:modified xmlns:dcterms="http://purl.org/dc/terms/" xmlns:xsi="http://www.w3.org/2001/XMLSchema-instance" xsi:type="dcterms:W3CDTF">2026-10-14T19:28:28Z</dcterms:modified>
</cp:coreProperties>
</file>