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Día por turno" state="visible" r:id="rId5"/>
    <sheet sheetId="3" name="Por tipo" state="visible" r:id="rId6"/>
    <sheet sheetId="4" name="Viajes" state="visible" r:id="rId7"/>
  </sheets>
  <definedNames>
    <definedName name="_xlnm._FilterDatabase" localSheetId="1" hidden="1">'Día por turno'!$A$6:$L$11</definedName>
    <definedName name="_xlnm._FilterDatabase" localSheetId="2" hidden="1">'Por tipo'!$A$6:$I$9</definedName>
    <definedName name="_xlnm._FilterDatabase" localSheetId="3" hidden="1">Viajes!$A$6:$Q$14</definedName>
    <definedName name="_xlnm.Print_Titles" localSheetId="1">'Día por turno'!$6:$6</definedName>
    <definedName name="_xlnm.Print_Titles" localSheetId="2">'Por tipo'!$6:$6</definedName>
    <definedName name="_xlnm.Print_Titles" localSheetId="3">'Viajes'!$6:$6</definedName>
  </definedNames>
  <calcPr calcId="171027" fullCalcOnLoad="1"/>
</workbook>
</file>

<file path=xl/sharedStrings.xml><?xml version="1.0" encoding="utf-8"?>
<sst xmlns="http://schemas.openxmlformats.org/spreadsheetml/2006/main" count="199" uniqueCount="111">
  <si>
    <t>Traspasos · control y ejecución</t>
  </si>
  <si>
    <t>DÍAS DEL RANGO</t>
  </si>
  <si>
    <t>Lunes, 21 de septiembre de 2026 a martes, 22 de septiembre de 2026</t>
  </si>
  <si>
    <t>todos los turnos · todos los tipos  ·  exportó Cristian Padilla</t>
  </si>
  <si>
    <t xml:space="preserve">  ADHERENCIA AL PLAN</t>
  </si>
  <si>
    <r>
      <rPr>
        <color rgb="FFFFC000"/>
        <sz val="20"/>
        <rFont val="Calibri"/>
      </rPr>
      <t>█████████</t>
    </r>
    <r>
      <rPr>
        <color rgb="FFC1C7CC"/>
        <sz val="20"/>
        <rFont val="Calibri"/>
      </rPr>
      <t>███</t>
    </r>
  </si>
  <si>
    <t>36 de 46 viajes planeados</t>
  </si>
  <si>
    <t>cada bloque ≈ 4 viajes del plan</t>
  </si>
  <si>
    <t xml:space="preserve">FALTARON  </t>
  </si>
  <si>
    <t>EL PERÍODO</t>
  </si>
  <si>
    <t>VIAJES PLANEADOS</t>
  </si>
  <si>
    <t>VIAJES CUMPLIDOS</t>
  </si>
  <si>
    <t>ADICIONALES</t>
  </si>
  <si>
    <t>FALTARON</t>
  </si>
  <si>
    <t>LO DEMÁS</t>
  </si>
  <si>
    <t>% CUMPLIMIENTO</t>
  </si>
  <si>
    <t>VIAJES VACÍOS (aparte)</t>
  </si>
  <si>
    <t>CARGA MOVIDA</t>
  </si>
  <si>
    <t>TIPOS SIN PLANEAR</t>
  </si>
  <si>
    <t>CÓMO VA POR TURNO</t>
  </si>
  <si>
    <t>TURNO</t>
  </si>
  <si>
    <t>PLANEADO</t>
  </si>
  <si>
    <t>CUMPLIDO</t>
  </si>
  <si>
    <t>ADICIONAL</t>
  </si>
  <si>
    <t>FALTAN</t>
  </si>
  <si>
    <t>% ADHER.</t>
  </si>
  <si>
    <t/>
  </si>
  <si>
    <t>A</t>
  </si>
  <si>
    <t>B</t>
  </si>
  <si>
    <t>C</t>
  </si>
  <si>
    <t>TODOS LOS TURNOS</t>
  </si>
  <si>
    <t>LAS HOJAS DE ESTE LIBRO</t>
  </si>
  <si>
    <t>una fila por fecha y turno · 5 fila(s)</t>
  </si>
  <si>
    <t>cada tipo de viaje en todo el rango · 3 tipo(s)</t>
  </si>
  <si>
    <t>viaje por viaje, la data cruda · 8 viaje(s)</t>
  </si>
  <si>
    <t>Cómo se cuenta: adherencia = cumplidos ÷ planeados (tope 100%). Cumplimiento = todo lo movido ÷ planeados, adicionales incluidos. Los viajes vacíos y los anulados no entran en ninguna de las dos. Los tipos marcados como «no miden» en el maestro (tolvas de vidrio) quedan fuera del libro, y las estibas solo cuentan cuando el viaje es de Arenosa.</t>
  </si>
  <si>
    <t>Día por turno</t>
  </si>
  <si>
    <t>Lunes, 21 de septiembre de 2026 a martes, 22 de septiembre de 2026  ·  todos los turnos · todos los tipos  ·  exportó Cristian Padilla</t>
  </si>
  <si>
    <t>Fecha</t>
  </si>
  <si>
    <t>Turno</t>
  </si>
  <si>
    <t>Planeado</t>
  </si>
  <si>
    <t>Cumplido</t>
  </si>
  <si>
    <t>Adicionales</t>
  </si>
  <si>
    <t>Faltan</t>
  </si>
  <si>
    <t>% Adherencia</t>
  </si>
  <si>
    <t>% Cumplimiento</t>
  </si>
  <si>
    <t>Carga</t>
  </si>
  <si>
    <t>Registros</t>
  </si>
  <si>
    <t>Tipos</t>
  </si>
  <si>
    <t>Sin planear</t>
  </si>
  <si>
    <t>TOTAL (lo filtrado)</t>
  </si>
  <si>
    <t>Por tipo de viaje</t>
  </si>
  <si>
    <t>Tipo de viaje</t>
  </si>
  <si>
    <t>Casco</t>
  </si>
  <si>
    <t>Canastas</t>
  </si>
  <si>
    <t>Estibas</t>
  </si>
  <si>
    <t>Viajes del rango</t>
  </si>
  <si>
    <t>8 viaje(s)  ·  Lunes, 21 de septiembre de 2026 a martes, 22 de septiembre de 2026  ·  todos los turnos · todos los tipos  ·  exportó Cristian Padilla</t>
  </si>
  <si>
    <t>Código</t>
  </si>
  <si>
    <t>Placa</t>
  </si>
  <si>
    <t>Tipo</t>
  </si>
  <si>
    <t>Origen</t>
  </si>
  <si>
    <t>Destino</t>
  </si>
  <si>
    <t>Orden de cargue</t>
  </si>
  <si>
    <t>Viajes</t>
  </si>
  <si>
    <t>Unidad</t>
  </si>
  <si>
    <t>Vacío</t>
  </si>
  <si>
    <t>Estado</t>
  </si>
  <si>
    <t>Hora</t>
  </si>
  <si>
    <t>Registró</t>
  </si>
  <si>
    <t>Días atrás</t>
  </si>
  <si>
    <t>Nota</t>
  </si>
  <si>
    <t>TR-1005</t>
  </si>
  <si>
    <t>ABC125</t>
  </si>
  <si>
    <t>CD38</t>
  </si>
  <si>
    <t>AG01</t>
  </si>
  <si>
    <t>OC-5005</t>
  </si>
  <si>
    <t>canastas</t>
  </si>
  <si>
    <t>Registrado</t>
  </si>
  <si>
    <t>03:30 p. m.</t>
  </si>
  <si>
    <t>Génesis Visbal</t>
  </si>
  <si>
    <t>TR-1006</t>
  </si>
  <si>
    <t>ABC126</t>
  </si>
  <si>
    <t>OC-5006</t>
  </si>
  <si>
    <t>04:30 p. m.</t>
  </si>
  <si>
    <t>TR-1008</t>
  </si>
  <si>
    <t>ABC128</t>
  </si>
  <si>
    <t>OC-5008</t>
  </si>
  <si>
    <t>06:30 p. m.</t>
  </si>
  <si>
    <t>TR-1007</t>
  </si>
  <si>
    <t>ABC127</t>
  </si>
  <si>
    <t>OC-5007</t>
  </si>
  <si>
    <t>ANULADO</t>
  </si>
  <si>
    <t>05:30 p. m.</t>
  </si>
  <si>
    <t>TR-1001</t>
  </si>
  <si>
    <t>ABC121</t>
  </si>
  <si>
    <t>OC-5001</t>
  </si>
  <si>
    <t>11:30 a. m.</t>
  </si>
  <si>
    <t>TR-1002</t>
  </si>
  <si>
    <t>ABC122</t>
  </si>
  <si>
    <t>OC-5002</t>
  </si>
  <si>
    <t>12:30 p. m.</t>
  </si>
  <si>
    <t>TR-1003</t>
  </si>
  <si>
    <t>ABC123</t>
  </si>
  <si>
    <t>OC-5003</t>
  </si>
  <si>
    <t>01:30 p. m.</t>
  </si>
  <si>
    <t>TR-1004</t>
  </si>
  <si>
    <t>ABC124</t>
  </si>
  <si>
    <t>OC-5004</t>
  </si>
  <si>
    <t>Sí</t>
  </si>
  <si>
    <t>02:30 p. 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</si>
</sst>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;\-#,##0;\–"/>
    <numFmt numFmtId="165" formatCode="dd/mm/yyyy"/>
    <numFmt numFmtId="166" formatCode="0%;\-0%;\–"/>
  </numFmts>
  <fonts count="30" x14ac:knownFonts="1">
    <font>
      <color theme="1"/>
      <family val="2"/>
      <scheme val="minor"/>
      <sz val="11"/>
      <name val="Calibri"/>
    </font>
    <font>
      <b/>
      <color rgb="FF12263A"/>
      <sz val="22"/>
      <name val="Calibri"/>
    </font>
    <font>
      <b/>
      <color rgb="FF677481"/>
      <sz val="7.5"/>
      <name val="Calibri"/>
    </font>
    <font>
      <color rgb="FF677481"/>
      <sz val="9.5"/>
      <name val="Calibri"/>
    </font>
    <font>
      <b/>
      <color rgb="FF12263A"/>
      <sz val="12"/>
      <name val="Calibri"/>
    </font>
    <font>
      <b/>
      <color rgb="FF677481"/>
      <sz val="8.5"/>
      <name val="Calibri"/>
    </font>
    <font>
      <b/>
      <color rgb="FF8A6000"/>
      <sz val="40"/>
      <name val="Calibri"/>
    </font>
    <font>
      <color rgb="FFFFC000"/>
      <sz val="20"/>
      <name val="Calibri"/>
    </font>
    <font>
      <b/>
      <color rgb="FFC6202A"/>
      <sz val="32"/>
      <name val="Calibri"/>
    </font>
    <font>
      <b/>
      <color rgb="FF677481"/>
      <sz val="10"/>
      <name val="Calibri"/>
    </font>
    <font>
      <color rgb="FF677481"/>
      <sz val="9"/>
      <name val="Calibri"/>
    </font>
    <font>
      <b/>
      <color rgb="FF677481"/>
      <sz val="9"/>
      <name val="Calibri"/>
    </font>
    <font>
      <b/>
      <color rgb="FF12263A"/>
      <sz val="8"/>
      <name val="Calibri"/>
    </font>
    <font>
      <b/>
      <color rgb="FF8A6000"/>
      <sz val="22"/>
      <name val="Calibri"/>
    </font>
    <font>
      <b/>
      <color rgb="FFC6202A"/>
      <sz val="22"/>
      <name val="Calibri"/>
    </font>
    <font>
      <b/>
      <color rgb="FF12263A"/>
      <sz val="8.5"/>
      <name val="Calibri"/>
    </font>
    <font>
      <color rgb="FF12263A"/>
      <sz val="10"/>
      <name val="Calibri"/>
    </font>
    <font>
      <b/>
      <color rgb="FF8A6000"/>
      <sz val="10"/>
      <name val="Calibri"/>
    </font>
    <font>
      <b/>
      <color rgb="FFC6202A"/>
      <sz val="10"/>
      <name val="Calibri"/>
    </font>
    <font>
      <b/>
      <color rgb="FF12263A"/>
      <sz val="10"/>
      <name val="Calibri"/>
    </font>
    <font>
      <b/>
      <color rgb="FF8A6800"/>
      <sz val="10"/>
      <name val="Calibri"/>
    </font>
    <font>
      <i/>
      <color rgb="FF677481"/>
      <sz val="8.5"/>
      <name val="Calibri"/>
    </font>
    <font>
      <b/>
      <color rgb="FF12263A"/>
      <sz val="16"/>
      <name val="Calibri"/>
    </font>
    <font>
      <b/>
      <color rgb="FF8A6800"/>
      <sz val="9.5"/>
      <name val="Calibri"/>
    </font>
    <font>
      <b/>
      <color rgb="FFFFFFFF"/>
      <sz val="9"/>
      <name val="Calibri"/>
    </font>
    <font>
      <color rgb="FF12263A"/>
      <sz val="9.5"/>
      <name val="Calibri"/>
    </font>
    <font>
      <b/>
      <color rgb="FF12263A"/>
      <sz val="9.5"/>
      <name val="Calibri"/>
    </font>
    <font>
      <b/>
      <color rgb="FF1F7A45"/>
      <sz val="9.5"/>
      <name val="Calibri"/>
    </font>
    <font>
      <b/>
      <color rgb="FFC6202A"/>
      <sz val="9.5"/>
      <name val="Calibri"/>
    </font>
    <font>
      <b/>
      <color rgb="FF8A6000"/>
      <sz val="9.5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F2F3F4"/>
      </patternFill>
    </fill>
    <fill>
      <patternFill patternType="solid">
        <fgColor rgb="FFF7F7F8"/>
      </patternFill>
    </fill>
    <fill>
      <patternFill patternType="solid">
        <fgColor rgb="FFDBDEE1"/>
      </patternFill>
    </fill>
    <fill>
      <patternFill patternType="solid">
        <fgColor rgb="FFF4F5F6"/>
      </patternFill>
    </fill>
    <fill>
      <patternFill patternType="solid">
        <fgColor rgb="FF12263A"/>
      </patternFill>
    </fill>
  </fills>
  <borders count="7">
    <border>
      <left/>
      <right/>
      <top/>
      <bottom/>
      <diagonal/>
    </border>
    <border>
      <left style="thick">
        <color rgb="FFFFC000"/>
      </left>
      <right/>
      <top/>
      <bottom/>
      <diagonal/>
    </border>
    <border>
      <left style="thick">
        <color rgb="FFFFC000"/>
      </left>
      <right style="thick">
        <color rgb="FFFFFFFF"/>
      </right>
      <top/>
      <bottom/>
      <diagonal/>
    </border>
    <border>
      <left style="thick">
        <color rgb="FF8A6000"/>
      </left>
      <right style="thick">
        <color rgb="FFFFFFFF"/>
      </right>
      <top/>
      <bottom/>
      <diagonal/>
    </border>
    <border>
      <left style="thick">
        <color rgb="FFC6202A"/>
      </left>
      <right style="thick">
        <color rgb="FFFFFFFF"/>
      </right>
      <top/>
      <bottom/>
      <diagonal/>
    </border>
    <border>
      <left/>
      <right/>
      <top/>
      <bottom style="thin">
        <color rgb="FFE3E5E7"/>
      </bottom>
      <diagonal/>
    </border>
    <border>
      <left/>
      <right/>
      <top style="medium">
        <color rgb="FF12263A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2" borderId="0" xfId="0" applyFill="1"/>
    <xf numFmtId="0" fontId="1" fillId="0" borderId="0" xfId="0" applyFont="1" applyAlignment="1">
      <alignment vertical="center"/>
    </xf>
    <xf numFmtId="0" fontId="2" fillId="0" borderId="0" xfId="0" applyFont="1" applyAlignment="1">
      <alignment horizontal="right" vertical="bottom"/>
    </xf>
    <xf numFmtId="0" fontId="3" fillId="0" borderId="0" xfId="0" applyFont="1" applyAlignment="1">
      <alignment vertical="center"/>
    </xf>
    <xf numFmtId="164" fontId="4" fillId="0" borderId="0" xfId="0" applyNumberFormat="1" applyFont="1" applyAlignment="1">
      <alignment horizontal="right" vertical="top"/>
    </xf>
    <xf numFmtId="0" fontId="3" fillId="0" borderId="0" xfId="0" applyFont="1" applyAlignment="1">
      <alignment vertical="top"/>
    </xf>
    <xf numFmtId="0" fontId="5" fillId="3" borderId="1" xfId="0" applyFont="1" applyFill="1" applyBorder="1" applyAlignment="1">
      <alignment vertical="bottom"/>
    </xf>
    <xf numFmtId="0" fontId="0" fillId="3" borderId="0" xfId="0" applyFill="1"/>
    <xf numFmtId="9" fontId="6" fillId="3" borderId="1" xfId="0" applyNumberFormat="1" applyFont="1" applyFill="1" applyBorder="1" applyAlignment="1">
      <alignment horizontal="left" vertical="center" indent="1"/>
    </xf>
    <xf numFmtId="0" fontId="7" fillId="3" borderId="0" xfId="0" applyFont="1" applyFill="1" applyAlignment="1">
      <alignment vertical="center"/>
    </xf>
    <xf numFmtId="3" fontId="8" fillId="3" borderId="0" xfId="0" applyNumberFormat="1" applyFont="1" applyFill="1" applyAlignment="1">
      <alignment horizontal="right" vertical="center" indent="1"/>
    </xf>
    <xf numFmtId="0" fontId="9" fillId="3" borderId="1" xfId="0" applyFont="1" applyFill="1" applyBorder="1" applyAlignment="1">
      <alignment vertical="bottom" indent="1"/>
    </xf>
    <xf numFmtId="0" fontId="10" fillId="3" borderId="0" xfId="0" applyFont="1" applyFill="1" applyAlignment="1">
      <alignment vertical="center"/>
    </xf>
    <xf numFmtId="0" fontId="11" fillId="3" borderId="0" xfId="0" applyFont="1" applyFill="1" applyAlignment="1">
      <alignment horizontal="right" vertical="bottom"/>
    </xf>
    <xf numFmtId="0" fontId="0" fillId="3" borderId="1" xfId="0" applyFill="1" applyBorder="1"/>
    <xf numFmtId="0" fontId="12" fillId="0" borderId="0" xfId="0" applyFont="1"/>
    <xf numFmtId="0" fontId="2" fillId="4" borderId="2" xfId="0" applyFont="1" applyFill="1" applyBorder="1" applyAlignment="1">
      <alignment horizontal="left" vertical="bottom" indent="1"/>
    </xf>
    <xf numFmtId="0" fontId="2" fillId="4" borderId="3" xfId="0" applyFont="1" applyFill="1" applyBorder="1" applyAlignment="1">
      <alignment horizontal="left" vertical="bottom" indent="1"/>
    </xf>
    <xf numFmtId="0" fontId="2" fillId="4" borderId="4" xfId="0" applyFont="1" applyFill="1" applyBorder="1" applyAlignment="1">
      <alignment horizontal="left" vertical="bottom" indent="1"/>
    </xf>
    <xf numFmtId="164" fontId="1" fillId="4" borderId="2" xfId="0" applyNumberFormat="1" applyFont="1" applyFill="1" applyBorder="1" applyAlignment="1">
      <alignment horizontal="left" vertical="center" indent="1"/>
    </xf>
    <xf numFmtId="164" fontId="13" fillId="4" borderId="3" xfId="0" applyNumberFormat="1" applyFont="1" applyFill="1" applyBorder="1" applyAlignment="1">
      <alignment horizontal="left" vertical="center" indent="1"/>
    </xf>
    <xf numFmtId="164" fontId="14" fillId="4" borderId="4" xfId="0" applyNumberFormat="1" applyFont="1" applyFill="1" applyBorder="1" applyAlignment="1">
      <alignment horizontal="left" vertical="center" indent="1"/>
    </xf>
    <xf numFmtId="9" fontId="13" fillId="4" borderId="2" xfId="0" applyNumberFormat="1" applyFont="1" applyFill="1" applyBorder="1" applyAlignment="1">
      <alignment horizontal="left" vertical="center" indent="1"/>
    </xf>
    <xf numFmtId="0" fontId="15" fillId="5" borderId="0" xfId="0" applyFont="1" applyFill="1" applyAlignment="1">
      <alignment horizontal="left" vertical="center" indent="1"/>
    </xf>
    <xf numFmtId="0" fontId="15" fillId="5" borderId="0" xfId="0" applyFont="1" applyFill="1" applyAlignment="1">
      <alignment horizontal="right" vertical="center" indent="1"/>
    </xf>
    <xf numFmtId="0" fontId="16" fillId="0" borderId="5" xfId="0" applyFont="1" applyBorder="1" applyAlignment="1">
      <alignment horizontal="left" vertical="center" indent="1"/>
    </xf>
    <xf numFmtId="164" fontId="16" fillId="0" borderId="5" xfId="0" applyNumberFormat="1" applyFont="1" applyBorder="1" applyAlignment="1">
      <alignment horizontal="right" vertical="center" indent="1"/>
    </xf>
    <xf numFmtId="9" fontId="17" fillId="0" borderId="5" xfId="0" applyNumberFormat="1" applyFont="1" applyBorder="1" applyAlignment="1">
      <alignment horizontal="right" vertical="center" indent="1"/>
    </xf>
    <xf numFmtId="0" fontId="16" fillId="0" borderId="5" xfId="0" applyFont="1" applyBorder="1" applyAlignment="1">
      <alignment horizontal="right" vertical="center" indent="1"/>
    </xf>
    <xf numFmtId="9" fontId="18" fillId="0" borderId="5" xfId="0" applyNumberFormat="1" applyFont="1" applyBorder="1" applyAlignment="1">
      <alignment horizontal="right" vertical="center" indent="1"/>
    </xf>
    <xf numFmtId="0" fontId="19" fillId="6" borderId="6" xfId="0" applyFont="1" applyFill="1" applyBorder="1" applyAlignment="1">
      <alignment horizontal="left" vertical="center" indent="1"/>
    </xf>
    <xf numFmtId="164" fontId="19" fillId="6" borderId="6" xfId="0" applyNumberFormat="1" applyFont="1" applyFill="1" applyBorder="1" applyAlignment="1">
      <alignment horizontal="right" vertical="center" indent="1"/>
    </xf>
    <xf numFmtId="9" fontId="19" fillId="6" borderId="6" xfId="0" applyNumberFormat="1" applyFont="1" applyFill="1" applyBorder="1" applyAlignment="1">
      <alignment horizontal="right" vertical="center" indent="1"/>
    </xf>
    <xf numFmtId="0" fontId="19" fillId="6" borderId="6" xfId="0" applyFont="1" applyFill="1" applyBorder="1" applyAlignment="1">
      <alignment horizontal="right" vertical="center" indent="1"/>
    </xf>
    <xf numFmtId="0" fontId="20" fillId="0" borderId="0" xfId="0" applyFont="1" applyAlignment="1">
      <alignment vertical="center" indent="1"/>
    </xf>
    <xf numFmtId="0" fontId="21" fillId="0" borderId="0" xfId="0" applyFont="1" applyAlignment="1">
      <alignment vertical="top" wrapText="1"/>
    </xf>
    <xf numFmtId="0" fontId="22" fillId="0" borderId="0" xfId="0" applyFont="1" applyAlignment="1">
      <alignment vertical="center"/>
    </xf>
    <xf numFmtId="0" fontId="3" fillId="0" borderId="0" xfId="0" applyFont="1"/>
    <xf numFmtId="0" fontId="23" fillId="0" borderId="0" xfId="0" applyFont="1"/>
    <xf numFmtId="0" fontId="24" fillId="7" borderId="0" xfId="0" applyFont="1" applyFill="1" applyAlignment="1">
      <alignment horizontal="center" vertical="center" wrapText="1"/>
    </xf>
    <xf numFmtId="165" fontId="25" fillId="0" borderId="5" xfId="0" applyNumberFormat="1" applyFont="1" applyBorder="1" applyAlignment="1">
      <alignment vertical="center"/>
    </xf>
    <xf numFmtId="0" fontId="26" fillId="0" borderId="5" xfId="0" applyFont="1" applyBorder="1" applyAlignment="1">
      <alignment horizontal="center" vertical="center"/>
    </xf>
    <xf numFmtId="164" fontId="25" fillId="0" borderId="5" xfId="0" applyNumberFormat="1" applyFont="1" applyBorder="1" applyAlignment="1">
      <alignment vertical="center"/>
    </xf>
    <xf numFmtId="166" fontId="27" fillId="0" borderId="5" xfId="0" applyNumberFormat="1" applyFont="1" applyBorder="1" applyAlignment="1">
      <alignment vertical="center"/>
    </xf>
    <xf numFmtId="166" fontId="25" fillId="0" borderId="5" xfId="0" applyNumberFormat="1" applyFont="1" applyBorder="1" applyAlignment="1">
      <alignment vertical="center"/>
    </xf>
    <xf numFmtId="1" fontId="25" fillId="0" borderId="5" xfId="0" applyNumberFormat="1" applyFont="1" applyBorder="1" applyAlignment="1">
      <alignment vertical="center"/>
    </xf>
    <xf numFmtId="165" fontId="25" fillId="6" borderId="5" xfId="0" applyNumberFormat="1" applyFont="1" applyFill="1" applyBorder="1" applyAlignment="1">
      <alignment vertical="center"/>
    </xf>
    <xf numFmtId="0" fontId="26" fillId="6" borderId="5" xfId="0" applyFont="1" applyFill="1" applyBorder="1" applyAlignment="1">
      <alignment horizontal="center" vertical="center"/>
    </xf>
    <xf numFmtId="164" fontId="25" fillId="6" borderId="5" xfId="0" applyNumberFormat="1" applyFont="1" applyFill="1" applyBorder="1" applyAlignment="1">
      <alignment vertical="center"/>
    </xf>
    <xf numFmtId="164" fontId="28" fillId="6" borderId="5" xfId="0" applyNumberFormat="1" applyFont="1" applyFill="1" applyBorder="1" applyAlignment="1">
      <alignment vertical="center"/>
    </xf>
    <xf numFmtId="166" fontId="29" fillId="6" borderId="5" xfId="0" applyNumberFormat="1" applyFont="1" applyFill="1" applyBorder="1" applyAlignment="1">
      <alignment vertical="center"/>
    </xf>
    <xf numFmtId="166" fontId="25" fillId="6" borderId="5" xfId="0" applyNumberFormat="1" applyFont="1" applyFill="1" applyBorder="1" applyAlignment="1">
      <alignment vertical="center"/>
    </xf>
    <xf numFmtId="1" fontId="25" fillId="6" borderId="5" xfId="0" applyNumberFormat="1" applyFont="1" applyFill="1" applyBorder="1" applyAlignment="1">
      <alignment vertical="center"/>
    </xf>
    <xf numFmtId="164" fontId="28" fillId="0" borderId="5" xfId="0" applyNumberFormat="1" applyFont="1" applyBorder="1" applyAlignment="1">
      <alignment vertical="center"/>
    </xf>
    <xf numFmtId="166" fontId="29" fillId="0" borderId="5" xfId="0" applyNumberFormat="1" applyFont="1" applyBorder="1" applyAlignment="1">
      <alignment vertical="center"/>
    </xf>
    <xf numFmtId="166" fontId="27" fillId="6" borderId="5" xfId="0" applyNumberFormat="1" applyFont="1" applyFill="1" applyBorder="1" applyAlignment="1">
      <alignment vertical="center"/>
    </xf>
    <xf numFmtId="166" fontId="28" fillId="0" borderId="5" xfId="0" applyNumberFormat="1" applyFont="1" applyBorder="1" applyAlignment="1">
      <alignment vertical="center"/>
    </xf>
    <xf numFmtId="0" fontId="26" fillId="6" borderId="6" xfId="0" applyFont="1" applyFill="1" applyBorder="1" applyAlignment="1">
      <alignment vertical="center"/>
    </xf>
    <xf numFmtId="164" fontId="26" fillId="6" borderId="6" xfId="0" applyNumberFormat="1" applyFont="1" applyFill="1" applyBorder="1" applyAlignment="1">
      <alignment vertical="center"/>
    </xf>
    <xf numFmtId="0" fontId="26" fillId="0" borderId="5" xfId="0" applyFont="1" applyBorder="1" applyAlignment="1">
      <alignment vertical="center"/>
    </xf>
    <xf numFmtId="0" fontId="26" fillId="6" borderId="5" xfId="0" applyFont="1" applyFill="1" applyBorder="1" applyAlignment="1">
      <alignment vertical="center"/>
    </xf>
    <xf numFmtId="0" fontId="25" fillId="0" borderId="5" xfId="0" applyFont="1" applyBorder="1" applyAlignment="1">
      <alignment horizontal="center" vertical="center"/>
    </xf>
    <xf numFmtId="0" fontId="25" fillId="0" borderId="5" xfId="0" applyFont="1" applyBorder="1" applyAlignment="1">
      <alignment vertical="center"/>
    </xf>
    <xf numFmtId="1" fontId="29" fillId="0" borderId="5" xfId="0" applyNumberFormat="1" applyFont="1" applyBorder="1" applyAlignment="1">
      <alignment vertical="center"/>
    </xf>
    <xf numFmtId="0" fontId="25" fillId="6" borderId="5" xfId="0" applyFont="1" applyFill="1" applyBorder="1" applyAlignment="1">
      <alignment horizontal="center" vertical="center"/>
    </xf>
    <xf numFmtId="0" fontId="25" fillId="6" borderId="5" xfId="0" applyFont="1" applyFill="1" applyBorder="1" applyAlignment="1">
      <alignment vertical="center"/>
    </xf>
    <xf numFmtId="0" fontId="28" fillId="6" borderId="5" xfId="0" applyFont="1" applyFill="1" applyBorder="1" applyAlignment="1">
      <alignment vertical="center"/>
    </xf>
    <xf numFmtId="0" fontId="29" fillId="6" borderId="5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6750</xdr:colOff>
      <xdr:row>2</xdr:row>
      <xdr:rowOff>27000</xdr:rowOff>
    </xdr:from>
    <xdr:ext cx="400050" cy="4000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B1:J32"/>
  <sheetViews>
    <sheetView workbookViewId="0" showGridLines="0"/>
  </sheetViews>
  <sheetFormatPr defaultRowHeight="15" outlineLevelRow="0" outlineLevelCol="0" x14ac:dyDescent="55"/>
  <cols>
    <col min="1" max="1" width="2" customWidth="1"/>
    <col min="2" max="2" width="13.5" customWidth="1"/>
    <col min="3" max="3" width="11" customWidth="1"/>
    <col min="4" max="5" width="11.5" customWidth="1"/>
    <col min="6" max="6" width="11" customWidth="1"/>
    <col min="7" max="7" width="11.5" customWidth="1"/>
    <col min="8" max="9" width="11" customWidth="1"/>
    <col min="10" max="10" width="2" customWidth="1"/>
  </cols>
  <sheetData>
    <row r="1" ht="6" customHeight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ht="9.75" customHeight="1" x14ac:dyDescent="0.25"/>
    <row r="3" ht="33.75" customHeight="1" spans="3:9" x14ac:dyDescent="0.25">
      <c r="C3" s="2" t="s">
        <v>0</v>
      </c>
      <c r="D3" s="2"/>
      <c r="E3" s="2"/>
      <c r="F3" s="2"/>
      <c r="G3" s="2"/>
      <c r="H3" s="3" t="s">
        <v>1</v>
      </c>
      <c r="I3" s="3"/>
    </row>
    <row r="4" ht="18" customHeight="1" spans="3:9" x14ac:dyDescent="0.25">
      <c r="C4" s="4" t="s">
        <v>2</v>
      </c>
      <c r="D4" s="4"/>
      <c r="E4" s="4"/>
      <c r="F4" s="4"/>
      <c r="G4" s="4"/>
      <c r="H4" s="5">
        <v>2</v>
      </c>
      <c r="I4" s="5"/>
    </row>
    <row r="5" ht="13.5" customHeight="1" spans="3:7" x14ac:dyDescent="0.25">
      <c r="C5" s="6" t="s">
        <v>3</v>
      </c>
      <c r="D5" s="6"/>
      <c r="E5" s="6"/>
      <c r="F5" s="6"/>
      <c r="G5" s="6"/>
    </row>
    <row r="6" ht="15.75" customHeight="1" spans="2:9" x14ac:dyDescent="0.25">
      <c r="B6" s="7" t="s">
        <v>4</v>
      </c>
      <c r="C6" s="8"/>
      <c r="D6" s="8"/>
      <c r="E6" s="8"/>
      <c r="F6" s="8"/>
      <c r="G6" s="8"/>
      <c r="H6" s="8"/>
      <c r="I6" s="8"/>
    </row>
    <row r="7" ht="43.5" customHeight="1" spans="2:9" x14ac:dyDescent="0.25">
      <c r="B7" s="9">
        <v>0.78</v>
      </c>
      <c r="C7" s="9"/>
      <c r="D7" s="9"/>
      <c r="E7" s="10" t="s">
        <v>5</v>
      </c>
      <c r="F7" s="10"/>
      <c r="G7" s="10"/>
      <c r="H7" s="11">
        <v>10</v>
      </c>
      <c r="I7" s="11"/>
    </row>
    <row r="8" ht="19.5" customHeight="1" spans="2:9" x14ac:dyDescent="0.25">
      <c r="B8" s="12" t="s">
        <v>6</v>
      </c>
      <c r="C8" s="12"/>
      <c r="D8" s="12"/>
      <c r="E8" s="13" t="s">
        <v>7</v>
      </c>
      <c r="F8" s="13"/>
      <c r="G8" s="13"/>
      <c r="H8" s="14" t="s">
        <v>8</v>
      </c>
      <c r="I8" s="14"/>
    </row>
    <row r="9" ht="12" customHeight="1" spans="2:9" x14ac:dyDescent="0.25">
      <c r="B9" s="15"/>
      <c r="C9" s="8"/>
      <c r="D9" s="8"/>
      <c r="E9" s="8"/>
      <c r="F9" s="8"/>
      <c r="G9" s="8"/>
      <c r="H9" s="8"/>
      <c r="I9" s="8"/>
    </row>
    <row r="10" ht="13.5" customHeight="1" x14ac:dyDescent="0.25"/>
    <row r="11" ht="15.75" customHeight="1" spans="2:2" x14ac:dyDescent="0.25">
      <c r="B11" s="16" t="s">
        <v>9</v>
      </c>
    </row>
    <row r="12" ht="18" customHeight="1" spans="2:9" x14ac:dyDescent="0.25">
      <c r="B12" s="17" t="s">
        <v>10</v>
      </c>
      <c r="C12" s="17"/>
      <c r="D12" s="17" t="s">
        <v>11</v>
      </c>
      <c r="E12" s="17"/>
      <c r="F12" s="18" t="s">
        <v>12</v>
      </c>
      <c r="G12" s="18"/>
      <c r="H12" s="19" t="s">
        <v>13</v>
      </c>
      <c r="I12" s="19"/>
    </row>
    <row r="13" ht="33.75" customHeight="1" spans="2:9" x14ac:dyDescent="0.25">
      <c r="B13" s="20">
        <v>46</v>
      </c>
      <c r="C13" s="20"/>
      <c r="D13" s="20">
        <v>36</v>
      </c>
      <c r="E13" s="20"/>
      <c r="F13" s="21">
        <v>4</v>
      </c>
      <c r="G13" s="21"/>
      <c r="H13" s="22">
        <v>10</v>
      </c>
      <c r="I13" s="22"/>
    </row>
    <row r="14" ht="13.5" customHeight="1" x14ac:dyDescent="0.25"/>
    <row r="15" ht="15.75" customHeight="1" spans="2:2" x14ac:dyDescent="0.25">
      <c r="B15" s="16" t="s">
        <v>14</v>
      </c>
    </row>
    <row r="16" ht="18" customHeight="1" spans="2:9" x14ac:dyDescent="0.25">
      <c r="B16" s="17" t="s">
        <v>15</v>
      </c>
      <c r="C16" s="17"/>
      <c r="D16" s="17" t="s">
        <v>16</v>
      </c>
      <c r="E16" s="17"/>
      <c r="F16" s="17" t="s">
        <v>17</v>
      </c>
      <c r="G16" s="17"/>
      <c r="H16" s="18" t="s">
        <v>18</v>
      </c>
      <c r="I16" s="18"/>
    </row>
    <row r="17" ht="33.75" customHeight="1" spans="2:9" x14ac:dyDescent="0.25">
      <c r="B17" s="23">
        <v>0.87</v>
      </c>
      <c r="C17" s="23"/>
      <c r="D17" s="20">
        <v>3</v>
      </c>
      <c r="E17" s="20"/>
      <c r="F17" s="20">
        <v>4000</v>
      </c>
      <c r="G17" s="20"/>
      <c r="H17" s="21">
        <v>1</v>
      </c>
      <c r="I17" s="21"/>
    </row>
    <row r="18" ht="13.5" customHeight="1" x14ac:dyDescent="0.25"/>
    <row r="19" ht="6" customHeight="1" x14ac:dyDescent="0.25"/>
    <row r="20" ht="15.75" customHeight="1" spans="2:2" x14ac:dyDescent="0.25">
      <c r="B20" s="16" t="s">
        <v>19</v>
      </c>
    </row>
    <row r="21" ht="21.75" customHeight="1" spans="2:9" x14ac:dyDescent="0.25">
      <c r="B21" s="24" t="s">
        <v>20</v>
      </c>
      <c r="C21" s="24"/>
      <c r="D21" s="25" t="s">
        <v>21</v>
      </c>
      <c r="E21" s="25" t="s">
        <v>22</v>
      </c>
      <c r="F21" s="25" t="s">
        <v>23</v>
      </c>
      <c r="G21" s="25" t="s">
        <v>24</v>
      </c>
      <c r="H21" s="25" t="s">
        <v>25</v>
      </c>
      <c r="I21" s="25" t="s">
        <v>26</v>
      </c>
    </row>
    <row r="22" ht="19.5" customHeight="1" spans="2:9" x14ac:dyDescent="0.25">
      <c r="B22" s="26" t="s">
        <v>27</v>
      </c>
      <c r="C22" s="26"/>
      <c r="D22" s="27">
        <v>27</v>
      </c>
      <c r="E22" s="27">
        <v>25</v>
      </c>
      <c r="F22" s="27">
        <v>4</v>
      </c>
      <c r="G22" s="27">
        <v>2</v>
      </c>
      <c r="H22" s="28">
        <v>0.93</v>
      </c>
      <c r="I22" s="29" t="s">
        <v>26</v>
      </c>
    </row>
    <row r="23" ht="19.5" customHeight="1" spans="2:9" x14ac:dyDescent="0.25">
      <c r="B23" s="26" t="s">
        <v>28</v>
      </c>
      <c r="C23" s="26"/>
      <c r="D23" s="27">
        <v>14</v>
      </c>
      <c r="E23" s="27">
        <v>11</v>
      </c>
      <c r="F23" s="27">
        <v>0</v>
      </c>
      <c r="G23" s="27">
        <v>3</v>
      </c>
      <c r="H23" s="28">
        <v>0.79</v>
      </c>
      <c r="I23" s="29" t="s">
        <v>26</v>
      </c>
    </row>
    <row r="24" ht="19.5" customHeight="1" spans="2:9" x14ac:dyDescent="0.25">
      <c r="B24" s="26" t="s">
        <v>29</v>
      </c>
      <c r="C24" s="26"/>
      <c r="D24" s="27">
        <v>5</v>
      </c>
      <c r="E24" s="27">
        <v>0</v>
      </c>
      <c r="F24" s="27">
        <v>0</v>
      </c>
      <c r="G24" s="27">
        <v>5</v>
      </c>
      <c r="H24" s="30">
        <v>0</v>
      </c>
      <c r="I24" s="29" t="s">
        <v>26</v>
      </c>
    </row>
    <row r="25" ht="21.75" customHeight="1" spans="2:9" x14ac:dyDescent="0.25">
      <c r="B25" s="31" t="s">
        <v>30</v>
      </c>
      <c r="C25" s="31"/>
      <c r="D25" s="32">
        <v>46</v>
      </c>
      <c r="E25" s="32">
        <v>36</v>
      </c>
      <c r="F25" s="32">
        <v>4</v>
      </c>
      <c r="G25" s="32">
        <v>10</v>
      </c>
      <c r="H25" s="33">
        <v>0.78</v>
      </c>
      <c r="I25" s="34" t="s">
        <v>26</v>
      </c>
    </row>
    <row r="26" ht="12" customHeight="1" x14ac:dyDescent="0.25"/>
    <row r="27" ht="15.75" customHeight="1" spans="2:2" x14ac:dyDescent="0.25">
      <c r="B27" s="16" t="s">
        <v>31</v>
      </c>
    </row>
    <row r="28" ht="18" customHeight="1" spans="2:9" x14ac:dyDescent="0.25">
      <c r="B28" s="35" t="str">
        <f>HYPERLINK("#'Día por turno'!A1","→ Día por turno")</f>
        <v>→ Día por turno</v>
      </c>
      <c r="C28" s="35"/>
      <c r="D28" s="4" t="s">
        <v>32</v>
      </c>
      <c r="E28" s="4"/>
      <c r="F28" s="4"/>
      <c r="G28" s="4"/>
      <c r="H28" s="4"/>
      <c r="I28" s="4"/>
    </row>
    <row r="29" ht="18" customHeight="1" spans="2:9" x14ac:dyDescent="0.25">
      <c r="B29" s="35" t="str">
        <f>HYPERLINK("#'Por tipo'!A1","→ Por tipo")</f>
        <v>→ Por tipo</v>
      </c>
      <c r="C29" s="35"/>
      <c r="D29" s="4" t="s">
        <v>33</v>
      </c>
      <c r="E29" s="4"/>
      <c r="F29" s="4"/>
      <c r="G29" s="4"/>
      <c r="H29" s="4"/>
      <c r="I29" s="4"/>
    </row>
    <row r="30" ht="18" customHeight="1" spans="2:9" x14ac:dyDescent="0.25">
      <c r="B30" s="35" t="str">
        <f>HYPERLINK("#'Viajes'!A1","→ Viajes")</f>
        <v>→ Viajes</v>
      </c>
      <c r="C30" s="35"/>
      <c r="D30" s="4" t="s">
        <v>34</v>
      </c>
      <c r="E30" s="4"/>
      <c r="F30" s="4"/>
      <c r="G30" s="4"/>
      <c r="H30" s="4"/>
      <c r="I30" s="4"/>
    </row>
    <row r="31" ht="12" customHeight="1" x14ac:dyDescent="0.25"/>
    <row r="32" ht="30" customHeight="1" spans="2:9" x14ac:dyDescent="0.25">
      <c r="B32" s="36" t="s">
        <v>35</v>
      </c>
      <c r="C32" s="36"/>
      <c r="D32" s="36"/>
      <c r="E32" s="36"/>
      <c r="F32" s="36"/>
      <c r="G32" s="36"/>
      <c r="H32" s="36"/>
      <c r="I32" s="36"/>
    </row>
  </sheetData>
  <mergeCells count="39">
    <mergeCell ref="C3:G3"/>
    <mergeCell ref="H3:I3"/>
    <mergeCell ref="C4:G4"/>
    <mergeCell ref="H4:I4"/>
    <mergeCell ref="C5:G5"/>
    <mergeCell ref="B7:D7"/>
    <mergeCell ref="E7:G7"/>
    <mergeCell ref="H7:I7"/>
    <mergeCell ref="B8:D8"/>
    <mergeCell ref="E8:G8"/>
    <mergeCell ref="H8:I8"/>
    <mergeCell ref="B12:C12"/>
    <mergeCell ref="D12:E12"/>
    <mergeCell ref="F12:G12"/>
    <mergeCell ref="H12:I12"/>
    <mergeCell ref="B13:C13"/>
    <mergeCell ref="D13:E13"/>
    <mergeCell ref="F13:G13"/>
    <mergeCell ref="H13:I13"/>
    <mergeCell ref="B16:C16"/>
    <mergeCell ref="D16:E16"/>
    <mergeCell ref="F16:G16"/>
    <mergeCell ref="H16:I16"/>
    <mergeCell ref="B17:C17"/>
    <mergeCell ref="D17:E17"/>
    <mergeCell ref="F17:G17"/>
    <mergeCell ref="H17:I17"/>
    <mergeCell ref="B21:C21"/>
    <mergeCell ref="B22:C22"/>
    <mergeCell ref="B23:C23"/>
    <mergeCell ref="B24:C24"/>
    <mergeCell ref="B25:C25"/>
    <mergeCell ref="B28:C28"/>
    <mergeCell ref="D28:I28"/>
    <mergeCell ref="B29:C29"/>
    <mergeCell ref="D29:I29"/>
    <mergeCell ref="B30:C30"/>
    <mergeCell ref="D30:I30"/>
    <mergeCell ref="B32:I32"/>
  </mergeCells>
  <pageMargins left="0.4" right="0.4" top="0.5" bottom="0.5" header="0.2" footer="0.2"/>
  <pageSetup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2263A"/>
    <pageSetUpPr fitToPage="1"/>
  </sheetPr>
  <dimension ref="A1:L12"/>
  <sheetViews>
    <sheetView workbookViewId="0" showGridLines="0">
      <pane xSplit="2" ySplit="6" topLeftCell="C7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8" customWidth="1"/>
    <col min="3" max="4" width="11" customWidth="1"/>
    <col min="5" max="5" width="12" customWidth="1"/>
    <col min="6" max="6" width="10" customWidth="1"/>
    <col min="7" max="7" width="13" customWidth="1"/>
    <col min="8" max="8" width="14" customWidth="1"/>
    <col min="9" max="10" width="11" customWidth="1"/>
    <col min="12" max="12" width="11" customWidth="1"/>
  </cols>
  <sheetData>
    <row r="1" ht="6" customHeight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8" customHeight="1" x14ac:dyDescent="0.25"/>
    <row r="3" ht="26" customHeight="1" spans="1:1" x14ac:dyDescent="0.25">
      <c r="A3" s="37" t="s">
        <v>36</v>
      </c>
    </row>
    <row r="4" ht="16" customHeight="1" spans="1:1" x14ac:dyDescent="0.25">
      <c r="A4" s="38" t="s">
        <v>37</v>
      </c>
    </row>
    <row r="5" ht="16" customHeight="1" spans="1:1" x14ac:dyDescent="0.25">
      <c r="A5" s="39" t="str">
        <f>HYPERLINK("#'Resumen'!A1","← volver al resumen")</f>
        <v>← volver al resumen</v>
      </c>
    </row>
    <row r="6" ht="26" customHeight="1" spans="1:12" x14ac:dyDescent="0.25">
      <c r="A6" s="40" t="s">
        <v>38</v>
      </c>
      <c r="B6" s="40" t="s">
        <v>39</v>
      </c>
      <c r="C6" s="40" t="s">
        <v>40</v>
      </c>
      <c r="D6" s="40" t="s">
        <v>41</v>
      </c>
      <c r="E6" s="40" t="s">
        <v>42</v>
      </c>
      <c r="F6" s="40" t="s">
        <v>43</v>
      </c>
      <c r="G6" s="40" t="s">
        <v>44</v>
      </c>
      <c r="H6" s="40" t="s">
        <v>45</v>
      </c>
      <c r="I6" s="40" t="s">
        <v>46</v>
      </c>
      <c r="J6" s="40" t="s">
        <v>47</v>
      </c>
      <c r="K6" s="40" t="s">
        <v>48</v>
      </c>
      <c r="L6" s="40" t="s">
        <v>49</v>
      </c>
    </row>
    <row r="7" ht="18" customHeight="1" spans="1:12" x14ac:dyDescent="0.25">
      <c r="A7" s="41">
        <v>46287.5</v>
      </c>
      <c r="B7" s="42" t="s">
        <v>27</v>
      </c>
      <c r="C7" s="43">
        <v>13</v>
      </c>
      <c r="D7" s="43">
        <v>13</v>
      </c>
      <c r="E7" s="43">
        <v>2</v>
      </c>
      <c r="F7" s="43">
        <v>0</v>
      </c>
      <c r="G7" s="44">
        <v>1</v>
      </c>
      <c r="H7" s="45">
        <v>1.1538461538461537</v>
      </c>
      <c r="I7" s="43">
        <v>1500</v>
      </c>
      <c r="J7" s="43">
        <v>15</v>
      </c>
      <c r="K7" s="46">
        <v>3</v>
      </c>
      <c r="L7" s="46">
        <v>1</v>
      </c>
    </row>
    <row r="8" ht="18" customHeight="1" spans="1:12" x14ac:dyDescent="0.25">
      <c r="A8" s="47">
        <v>46287.5</v>
      </c>
      <c r="B8" s="48" t="s">
        <v>28</v>
      </c>
      <c r="C8" s="49">
        <v>8</v>
      </c>
      <c r="D8" s="49">
        <v>5</v>
      </c>
      <c r="E8" s="49">
        <v>0</v>
      </c>
      <c r="F8" s="50">
        <v>3</v>
      </c>
      <c r="G8" s="51">
        <v>0.625</v>
      </c>
      <c r="H8" s="52">
        <v>0.625</v>
      </c>
      <c r="I8" s="49">
        <v>500</v>
      </c>
      <c r="J8" s="49">
        <v>5</v>
      </c>
      <c r="K8" s="53">
        <v>1</v>
      </c>
      <c r="L8" s="53">
        <v>0</v>
      </c>
    </row>
    <row r="9" ht="18" customHeight="1" spans="1:12" x14ac:dyDescent="0.25">
      <c r="A9" s="41">
        <v>46286.5</v>
      </c>
      <c r="B9" s="42" t="s">
        <v>27</v>
      </c>
      <c r="C9" s="43">
        <v>14</v>
      </c>
      <c r="D9" s="43">
        <v>12</v>
      </c>
      <c r="E9" s="43">
        <v>2</v>
      </c>
      <c r="F9" s="54">
        <v>2</v>
      </c>
      <c r="G9" s="55">
        <v>0.8571428571428571</v>
      </c>
      <c r="H9" s="45">
        <v>1</v>
      </c>
      <c r="I9" s="43">
        <v>1400</v>
      </c>
      <c r="J9" s="43">
        <v>14</v>
      </c>
      <c r="K9" s="46">
        <v>2</v>
      </c>
      <c r="L9" s="46">
        <v>0</v>
      </c>
    </row>
    <row r="10" ht="18" customHeight="1" spans="1:12" x14ac:dyDescent="0.25">
      <c r="A10" s="47">
        <v>46286.5</v>
      </c>
      <c r="B10" s="48" t="s">
        <v>28</v>
      </c>
      <c r="C10" s="49">
        <v>6</v>
      </c>
      <c r="D10" s="49">
        <v>6</v>
      </c>
      <c r="E10" s="49">
        <v>0</v>
      </c>
      <c r="F10" s="49">
        <v>0</v>
      </c>
      <c r="G10" s="56">
        <v>1</v>
      </c>
      <c r="H10" s="52">
        <v>1</v>
      </c>
      <c r="I10" s="49">
        <v>600</v>
      </c>
      <c r="J10" s="49">
        <v>6</v>
      </c>
      <c r="K10" s="53">
        <v>1</v>
      </c>
      <c r="L10" s="53">
        <v>0</v>
      </c>
    </row>
    <row r="11" ht="18" customHeight="1" spans="1:12" x14ac:dyDescent="0.25">
      <c r="A11" s="41">
        <v>46286.5</v>
      </c>
      <c r="B11" s="42" t="s">
        <v>29</v>
      </c>
      <c r="C11" s="43">
        <v>5</v>
      </c>
      <c r="D11" s="43">
        <v>0</v>
      </c>
      <c r="E11" s="43">
        <v>0</v>
      </c>
      <c r="F11" s="54">
        <v>5</v>
      </c>
      <c r="G11" s="57">
        <v>0</v>
      </c>
      <c r="H11" s="45">
        <v>0</v>
      </c>
      <c r="I11" s="43">
        <v>0</v>
      </c>
      <c r="J11" s="43">
        <v>0</v>
      </c>
      <c r="K11" s="46">
        <v>1</v>
      </c>
      <c r="L11" s="46">
        <v>0</v>
      </c>
    </row>
    <row r="12" ht="22" customHeight="1" spans="1:12" x14ac:dyDescent="0.25">
      <c r="A12" s="58" t="s">
        <v>50</v>
      </c>
      <c r="B12" s="58"/>
      <c r="C12" s="59">
        <f>SUBTOTAL(109,C7:C11)</f>
        <v>46</v>
      </c>
      <c r="D12" s="59">
        <f>SUBTOTAL(109,D7:D11)</f>
        <v>36</v>
      </c>
      <c r="E12" s="59">
        <f>SUBTOTAL(109,E7:E11)</f>
        <v>4</v>
      </c>
      <c r="F12" s="59">
        <f>SUBTOTAL(109,F7:F11)</f>
        <v>10</v>
      </c>
      <c r="G12" s="58"/>
      <c r="H12" s="58"/>
      <c r="I12" s="59">
        <f>SUBTOTAL(109,I7:I11)</f>
        <v>4000</v>
      </c>
      <c r="J12" s="59">
        <f>SUBTOTAL(109,J7:J11)</f>
        <v>40</v>
      </c>
      <c r="K12" s="58"/>
      <c r="L12" s="58"/>
    </row>
  </sheetData>
  <autoFilter ref="A6:L11"/>
  <pageMargins left="0.4" right="0.4" top="0.5" bottom="0.5" header="0.2" footer="0.2"/>
  <pageSetup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7A45"/>
    <pageSetUpPr fitToPage="1"/>
  </sheetPr>
  <dimension ref="A1:I10"/>
  <sheetViews>
    <sheetView workbookViewId="0" showGridLines="0">
      <pane xSplit="1" ySplit="6" topLeftCell="B7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3" width="11" customWidth="1"/>
    <col min="4" max="4" width="12" customWidth="1"/>
    <col min="5" max="5" width="10" customWidth="1"/>
    <col min="6" max="6" width="13" customWidth="1"/>
    <col min="7" max="7" width="14" customWidth="1"/>
    <col min="8" max="8" width="12" customWidth="1"/>
    <col min="9" max="9" width="11" customWidth="1"/>
  </cols>
  <sheetData>
    <row r="1" ht="6" customHeight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ht="8" customHeight="1" x14ac:dyDescent="0.25"/>
    <row r="3" ht="26" customHeight="1" spans="1:1" x14ac:dyDescent="0.25">
      <c r="A3" s="37" t="s">
        <v>51</v>
      </c>
    </row>
    <row r="4" ht="16" customHeight="1" spans="1:1" x14ac:dyDescent="0.25">
      <c r="A4" s="38" t="s">
        <v>37</v>
      </c>
    </row>
    <row r="5" ht="16" customHeight="1" spans="1:1" x14ac:dyDescent="0.25">
      <c r="A5" s="39" t="str">
        <f>HYPERLINK("#'Resumen'!A1","← volver al resumen")</f>
        <v>← volver al resumen</v>
      </c>
    </row>
    <row r="6" ht="26" customHeight="1" spans="1:9" x14ac:dyDescent="0.25">
      <c r="A6" s="40" t="s">
        <v>52</v>
      </c>
      <c r="B6" s="40" t="s">
        <v>40</v>
      </c>
      <c r="C6" s="40" t="s">
        <v>41</v>
      </c>
      <c r="D6" s="40" t="s">
        <v>42</v>
      </c>
      <c r="E6" s="40" t="s">
        <v>43</v>
      </c>
      <c r="F6" s="40" t="s">
        <v>44</v>
      </c>
      <c r="G6" s="40" t="s">
        <v>45</v>
      </c>
      <c r="H6" s="40" t="s">
        <v>46</v>
      </c>
      <c r="I6" s="40" t="s">
        <v>47</v>
      </c>
    </row>
    <row r="7" ht="18" customHeight="1" spans="1:9" x14ac:dyDescent="0.25">
      <c r="A7" s="60" t="s">
        <v>53</v>
      </c>
      <c r="B7" s="43">
        <v>39</v>
      </c>
      <c r="C7" s="43">
        <v>29</v>
      </c>
      <c r="D7" s="43">
        <v>0</v>
      </c>
      <c r="E7" s="54">
        <v>10</v>
      </c>
      <c r="F7" s="55">
        <v>0.7435897435897436</v>
      </c>
      <c r="G7" s="45">
        <v>0.7435897435897436</v>
      </c>
      <c r="H7" s="43">
        <v>2900</v>
      </c>
      <c r="I7" s="43">
        <v>29</v>
      </c>
    </row>
    <row r="8" ht="18" customHeight="1" spans="1:9" x14ac:dyDescent="0.25">
      <c r="A8" s="61" t="s">
        <v>54</v>
      </c>
      <c r="B8" s="49">
        <v>7</v>
      </c>
      <c r="C8" s="49">
        <v>7</v>
      </c>
      <c r="D8" s="49">
        <v>2</v>
      </c>
      <c r="E8" s="49">
        <v>0</v>
      </c>
      <c r="F8" s="56">
        <v>1</v>
      </c>
      <c r="G8" s="52">
        <v>1.2857142857142858</v>
      </c>
      <c r="H8" s="49">
        <v>900</v>
      </c>
      <c r="I8" s="49">
        <v>9</v>
      </c>
    </row>
    <row r="9" ht="18" customHeight="1" spans="1:9" x14ac:dyDescent="0.25">
      <c r="A9" s="60" t="s">
        <v>55</v>
      </c>
      <c r="B9" s="43">
        <v>0</v>
      </c>
      <c r="C9" s="43">
        <v>0</v>
      </c>
      <c r="D9" s="43">
        <v>2</v>
      </c>
      <c r="E9" s="43">
        <v>0</v>
      </c>
      <c r="F9" s="45"/>
      <c r="G9" s="45"/>
      <c r="H9" s="43">
        <v>200</v>
      </c>
      <c r="I9" s="43">
        <v>2</v>
      </c>
    </row>
    <row r="10" ht="22" customHeight="1" spans="1:9" x14ac:dyDescent="0.25">
      <c r="A10" s="58" t="s">
        <v>50</v>
      </c>
      <c r="B10" s="59">
        <f>SUBTOTAL(109,B7:B9)</f>
        <v>46</v>
      </c>
      <c r="C10" s="59">
        <f>SUBTOTAL(109,C7:C9)</f>
        <v>36</v>
      </c>
      <c r="D10" s="59">
        <f>SUBTOTAL(109,D7:D9)</f>
        <v>4</v>
      </c>
      <c r="E10" s="59">
        <f>SUBTOTAL(109,E7:E9)</f>
        <v>10</v>
      </c>
      <c r="F10" s="58"/>
      <c r="G10" s="58"/>
      <c r="H10" s="59">
        <f>SUBTOTAL(109,H7:H9)</f>
        <v>4000</v>
      </c>
      <c r="I10" s="59">
        <f>SUBTOTAL(109,I7:I9)</f>
        <v>40</v>
      </c>
    </row>
  </sheetData>
  <autoFilter ref="A6:I9"/>
  <pageMargins left="0.4" right="0.4" top="0.5" bottom="0.5" header="0.2" footer="0.2"/>
  <pageSetup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77481"/>
    <pageSetUpPr fitToPage="1"/>
  </sheetPr>
  <dimension ref="A1:Q15"/>
  <sheetViews>
    <sheetView workbookViewId="0" showGridLines="0">
      <pane xSplit="3" ySplit="6" topLeftCell="D7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7" customWidth="1"/>
    <col min="3" max="3" width="13" customWidth="1"/>
    <col min="4" max="4" width="11" customWidth="1"/>
    <col min="5" max="5" width="18" customWidth="1"/>
    <col min="6" max="7" width="20" customWidth="1"/>
    <col min="8" max="8" width="16" customWidth="1"/>
    <col min="9" max="9" width="8" customWidth="1"/>
    <col min="10" max="11" width="10" customWidth="1"/>
    <col min="12" max="12" width="8" customWidth="1"/>
    <col min="13" max="13" width="11" customWidth="1"/>
    <col min="14" max="14" width="8" customWidth="1"/>
    <col min="15" max="15" width="20" customWidth="1"/>
    <col min="16" max="16" width="10" customWidth="1"/>
    <col min="17" max="17" width="34" customWidth="1"/>
  </cols>
  <sheetData>
    <row r="1" ht="6" customHeight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8" customHeight="1" x14ac:dyDescent="0.25"/>
    <row r="3" ht="26" customHeight="1" spans="1:1" x14ac:dyDescent="0.25">
      <c r="A3" s="37" t="s">
        <v>56</v>
      </c>
    </row>
    <row r="4" ht="16" customHeight="1" spans="1:1" x14ac:dyDescent="0.25">
      <c r="A4" s="38" t="s">
        <v>57</v>
      </c>
    </row>
    <row r="5" ht="16" customHeight="1" spans="1:1" x14ac:dyDescent="0.25">
      <c r="A5" s="39" t="str">
        <f>HYPERLINK("#'Resumen'!A1","← volver al resumen")</f>
        <v>← volver al resumen</v>
      </c>
    </row>
    <row r="6" ht="26" customHeight="1" spans="1:17" x14ac:dyDescent="0.25">
      <c r="A6" s="40" t="s">
        <v>38</v>
      </c>
      <c r="B6" s="40" t="s">
        <v>39</v>
      </c>
      <c r="C6" s="40" t="s">
        <v>58</v>
      </c>
      <c r="D6" s="40" t="s">
        <v>59</v>
      </c>
      <c r="E6" s="40" t="s">
        <v>60</v>
      </c>
      <c r="F6" s="40" t="s">
        <v>61</v>
      </c>
      <c r="G6" s="40" t="s">
        <v>62</v>
      </c>
      <c r="H6" s="40" t="s">
        <v>63</v>
      </c>
      <c r="I6" s="40" t="s">
        <v>64</v>
      </c>
      <c r="J6" s="40" t="s">
        <v>46</v>
      </c>
      <c r="K6" s="40" t="s">
        <v>65</v>
      </c>
      <c r="L6" s="40" t="s">
        <v>66</v>
      </c>
      <c r="M6" s="40" t="s">
        <v>67</v>
      </c>
      <c r="N6" s="40" t="s">
        <v>68</v>
      </c>
      <c r="O6" s="40" t="s">
        <v>69</v>
      </c>
      <c r="P6" s="40" t="s">
        <v>70</v>
      </c>
      <c r="Q6" s="40" t="s">
        <v>71</v>
      </c>
    </row>
    <row r="7" ht="18" customHeight="1" spans="1:17" x14ac:dyDescent="0.25">
      <c r="A7" s="41">
        <v>46287.5</v>
      </c>
      <c r="B7" s="62" t="s">
        <v>27</v>
      </c>
      <c r="C7" s="60" t="s">
        <v>72</v>
      </c>
      <c r="D7" s="63" t="s">
        <v>73</v>
      </c>
      <c r="E7" s="63" t="s">
        <v>53</v>
      </c>
      <c r="F7" s="63" t="s">
        <v>74</v>
      </c>
      <c r="G7" s="63" t="s">
        <v>75</v>
      </c>
      <c r="H7" s="63" t="s">
        <v>76</v>
      </c>
      <c r="I7" s="46">
        <v>1</v>
      </c>
      <c r="J7" s="43">
        <v>100</v>
      </c>
      <c r="K7" s="63" t="s">
        <v>77</v>
      </c>
      <c r="L7" s="63" t="s">
        <v>26</v>
      </c>
      <c r="M7" s="63" t="s">
        <v>78</v>
      </c>
      <c r="N7" s="63" t="s">
        <v>79</v>
      </c>
      <c r="O7" s="63" t="s">
        <v>80</v>
      </c>
      <c r="P7" s="64">
        <v>1</v>
      </c>
      <c r="Q7" s="63" t="s">
        <v>26</v>
      </c>
    </row>
    <row r="8" ht="18" customHeight="1" spans="1:17" x14ac:dyDescent="0.25">
      <c r="A8" s="47">
        <v>46287.5</v>
      </c>
      <c r="B8" s="65" t="s">
        <v>27</v>
      </c>
      <c r="C8" s="61" t="s">
        <v>81</v>
      </c>
      <c r="D8" s="66" t="s">
        <v>82</v>
      </c>
      <c r="E8" s="66" t="s">
        <v>53</v>
      </c>
      <c r="F8" s="66" t="s">
        <v>74</v>
      </c>
      <c r="G8" s="66" t="s">
        <v>75</v>
      </c>
      <c r="H8" s="67" t="s">
        <v>83</v>
      </c>
      <c r="I8" s="53">
        <v>1</v>
      </c>
      <c r="J8" s="49">
        <v>100</v>
      </c>
      <c r="K8" s="66" t="s">
        <v>77</v>
      </c>
      <c r="L8" s="66" t="s">
        <v>26</v>
      </c>
      <c r="M8" s="66" t="s">
        <v>78</v>
      </c>
      <c r="N8" s="66" t="s">
        <v>84</v>
      </c>
      <c r="O8" s="66" t="s">
        <v>80</v>
      </c>
      <c r="P8" s="53">
        <v>0</v>
      </c>
      <c r="Q8" s="66" t="s">
        <v>26</v>
      </c>
    </row>
    <row r="9" ht="18" customHeight="1" spans="1:17" x14ac:dyDescent="0.25">
      <c r="A9" s="41">
        <v>46287.5</v>
      </c>
      <c r="B9" s="62" t="s">
        <v>27</v>
      </c>
      <c r="C9" s="60" t="s">
        <v>85</v>
      </c>
      <c r="D9" s="63" t="s">
        <v>86</v>
      </c>
      <c r="E9" s="63" t="s">
        <v>55</v>
      </c>
      <c r="F9" s="63" t="s">
        <v>74</v>
      </c>
      <c r="G9" s="63" t="s">
        <v>75</v>
      </c>
      <c r="H9" s="63" t="s">
        <v>87</v>
      </c>
      <c r="I9" s="46">
        <v>1</v>
      </c>
      <c r="J9" s="43">
        <v>100</v>
      </c>
      <c r="K9" s="63" t="s">
        <v>77</v>
      </c>
      <c r="L9" s="63" t="s">
        <v>26</v>
      </c>
      <c r="M9" s="63" t="s">
        <v>78</v>
      </c>
      <c r="N9" s="63" t="s">
        <v>88</v>
      </c>
      <c r="O9" s="63" t="s">
        <v>80</v>
      </c>
      <c r="P9" s="46">
        <v>0</v>
      </c>
      <c r="Q9" s="63" t="s">
        <v>26</v>
      </c>
    </row>
    <row r="10" ht="18" customHeight="1" spans="1:17" x14ac:dyDescent="0.25">
      <c r="A10" s="47">
        <v>46287.5</v>
      </c>
      <c r="B10" s="65" t="s">
        <v>28</v>
      </c>
      <c r="C10" s="61" t="s">
        <v>89</v>
      </c>
      <c r="D10" s="66" t="s">
        <v>90</v>
      </c>
      <c r="E10" s="66" t="s">
        <v>53</v>
      </c>
      <c r="F10" s="66" t="s">
        <v>74</v>
      </c>
      <c r="G10" s="66" t="s">
        <v>75</v>
      </c>
      <c r="H10" s="66" t="s">
        <v>91</v>
      </c>
      <c r="I10" s="53">
        <v>1</v>
      </c>
      <c r="J10" s="49">
        <v>100</v>
      </c>
      <c r="K10" s="66" t="s">
        <v>77</v>
      </c>
      <c r="L10" s="66" t="s">
        <v>26</v>
      </c>
      <c r="M10" s="67" t="s">
        <v>92</v>
      </c>
      <c r="N10" s="66" t="s">
        <v>93</v>
      </c>
      <c r="O10" s="66" t="s">
        <v>80</v>
      </c>
      <c r="P10" s="53">
        <v>0</v>
      </c>
      <c r="Q10" s="66" t="s">
        <v>26</v>
      </c>
    </row>
    <row r="11" ht="18" customHeight="1" spans="1:17" x14ac:dyDescent="0.25">
      <c r="A11" s="41">
        <v>46286.5</v>
      </c>
      <c r="B11" s="62" t="s">
        <v>27</v>
      </c>
      <c r="C11" s="60" t="s">
        <v>94</v>
      </c>
      <c r="D11" s="63" t="s">
        <v>95</v>
      </c>
      <c r="E11" s="63" t="s">
        <v>53</v>
      </c>
      <c r="F11" s="63" t="s">
        <v>74</v>
      </c>
      <c r="G11" s="63" t="s">
        <v>75</v>
      </c>
      <c r="H11" s="63" t="s">
        <v>96</v>
      </c>
      <c r="I11" s="46">
        <v>1</v>
      </c>
      <c r="J11" s="43">
        <v>100</v>
      </c>
      <c r="K11" s="63" t="s">
        <v>77</v>
      </c>
      <c r="L11" s="63" t="s">
        <v>26</v>
      </c>
      <c r="M11" s="63" t="s">
        <v>78</v>
      </c>
      <c r="N11" s="63" t="s">
        <v>97</v>
      </c>
      <c r="O11" s="63" t="s">
        <v>80</v>
      </c>
      <c r="P11" s="46">
        <v>0</v>
      </c>
      <c r="Q11" s="63" t="s">
        <v>26</v>
      </c>
    </row>
    <row r="12" ht="18" customHeight="1" spans="1:17" x14ac:dyDescent="0.25">
      <c r="A12" s="47">
        <v>46286.5</v>
      </c>
      <c r="B12" s="65" t="s">
        <v>27</v>
      </c>
      <c r="C12" s="61" t="s">
        <v>98</v>
      </c>
      <c r="D12" s="66" t="s">
        <v>99</v>
      </c>
      <c r="E12" s="66" t="s">
        <v>54</v>
      </c>
      <c r="F12" s="66" t="s">
        <v>74</v>
      </c>
      <c r="G12" s="66" t="s">
        <v>75</v>
      </c>
      <c r="H12" s="66" t="s">
        <v>100</v>
      </c>
      <c r="I12" s="53">
        <v>1</v>
      </c>
      <c r="J12" s="49">
        <v>100</v>
      </c>
      <c r="K12" s="66" t="s">
        <v>77</v>
      </c>
      <c r="L12" s="66" t="s">
        <v>26</v>
      </c>
      <c r="M12" s="66" t="s">
        <v>78</v>
      </c>
      <c r="N12" s="66" t="s">
        <v>101</v>
      </c>
      <c r="O12" s="66" t="s">
        <v>80</v>
      </c>
      <c r="P12" s="53">
        <v>0</v>
      </c>
      <c r="Q12" s="66" t="s">
        <v>26</v>
      </c>
    </row>
    <row r="13" ht="18" customHeight="1" spans="1:17" x14ac:dyDescent="0.25">
      <c r="A13" s="41">
        <v>46286.5</v>
      </c>
      <c r="B13" s="62" t="s">
        <v>28</v>
      </c>
      <c r="C13" s="60" t="s">
        <v>102</v>
      </c>
      <c r="D13" s="63" t="s">
        <v>103</v>
      </c>
      <c r="E13" s="63" t="s">
        <v>53</v>
      </c>
      <c r="F13" s="63" t="s">
        <v>74</v>
      </c>
      <c r="G13" s="63" t="s">
        <v>75</v>
      </c>
      <c r="H13" s="63" t="s">
        <v>104</v>
      </c>
      <c r="I13" s="46">
        <v>1</v>
      </c>
      <c r="J13" s="43">
        <v>100</v>
      </c>
      <c r="K13" s="63" t="s">
        <v>77</v>
      </c>
      <c r="L13" s="63" t="s">
        <v>26</v>
      </c>
      <c r="M13" s="63" t="s">
        <v>78</v>
      </c>
      <c r="N13" s="63" t="s">
        <v>105</v>
      </c>
      <c r="O13" s="63" t="s">
        <v>80</v>
      </c>
      <c r="P13" s="46">
        <v>0</v>
      </c>
      <c r="Q13" s="63" t="s">
        <v>26</v>
      </c>
    </row>
    <row r="14" ht="18" customHeight="1" spans="1:17" x14ac:dyDescent="0.25">
      <c r="A14" s="47">
        <v>46286.5</v>
      </c>
      <c r="B14" s="65" t="s">
        <v>28</v>
      </c>
      <c r="C14" s="61" t="s">
        <v>106</v>
      </c>
      <c r="D14" s="66" t="s">
        <v>107</v>
      </c>
      <c r="E14" s="66" t="s">
        <v>53</v>
      </c>
      <c r="F14" s="66" t="s">
        <v>74</v>
      </c>
      <c r="G14" s="66" t="s">
        <v>75</v>
      </c>
      <c r="H14" s="66" t="s">
        <v>108</v>
      </c>
      <c r="I14" s="53">
        <v>1</v>
      </c>
      <c r="J14" s="49"/>
      <c r="K14" s="66" t="s">
        <v>77</v>
      </c>
      <c r="L14" s="68" t="s">
        <v>109</v>
      </c>
      <c r="M14" s="66" t="s">
        <v>78</v>
      </c>
      <c r="N14" s="66" t="s">
        <v>110</v>
      </c>
      <c r="O14" s="66" t="s">
        <v>80</v>
      </c>
      <c r="P14" s="53">
        <v>0</v>
      </c>
      <c r="Q14" s="66" t="s">
        <v>26</v>
      </c>
    </row>
    <row r="15" ht="22" customHeight="1" spans="1:17" x14ac:dyDescent="0.25">
      <c r="A15" s="58" t="s">
        <v>50</v>
      </c>
      <c r="B15" s="58"/>
      <c r="C15" s="58"/>
      <c r="D15" s="58"/>
      <c r="E15" s="58"/>
      <c r="F15" s="58"/>
      <c r="G15" s="58"/>
      <c r="H15" s="58"/>
      <c r="I15" s="59">
        <f>SUBTOTAL(109,I7:I14)</f>
        <v>8</v>
      </c>
      <c r="J15" s="59">
        <f>SUBTOTAL(109,J7:J14)</f>
        <v>700</v>
      </c>
      <c r="K15" s="58"/>
      <c r="L15" s="58"/>
      <c r="M15" s="58"/>
      <c r="N15" s="58"/>
      <c r="O15" s="58"/>
      <c r="P15" s="58"/>
      <c r="Q15" s="58"/>
    </row>
  </sheetData>
  <autoFilter ref="A6:Q14"/>
  <pageMargins left="0.4" right="0.4" top="0.5" bottom="0.5" header="0.2" footer="0.2"/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Día por turno</vt:lpstr>
      <vt:lpstr>Por tipo</vt:lpstr>
      <vt:lpstr>Viajes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 · Traspasos</dc:creator>
  <dc:title/>
  <dc:subject/>
  <dc:description/>
  <cp:keywords/>
  <cp:category/>
  <cp:lastModifiedBy>Unknown</cp:lastModifiedBy>
  <dcterms:created xsi:type="dcterms:W3CDTF">2026-09-22T20:50:26Z</dcterms:created>
  <dcterms:modified xsi:type="dcterms:W3CDTF">2026-09-22T20:50:26Z</dcterms:modified>
</cp:coreProperties>
</file>