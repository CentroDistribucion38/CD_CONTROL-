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Portada" state="visible" r:id="rId4"/>
    <sheet sheetId="3" name="Base de datos" state="visible" r:id="rId5"/>
    <sheet sheetId="2" name="Panel" state="visible" r:id="rId6"/>
    <sheet sheetId="4" name="Evidencia" state="visible" r:id="rId7"/>
    <sheet sheetId="5" name="_datos" state="hidden" r:id="rId8"/>
    <sheet sheetId="6" name="Fotos" state="visible" r:id="rId9"/>
  </sheets>
  <definedNames>
    <definedName name="_xlnm._FilterDatabase" localSheetId="1" hidden="1">'Base de datos'!$A$6:$V$13</definedName>
    <definedName name="_xlnm.Print_Titles" localSheetId="1">'Base de datos'!$6:$6</definedName>
    <definedName name="_xlnm._FilterDatabase" localSheetId="3" hidden="1">Evidencia!$A$6:$J$19</definedName>
    <definedName name="_xlnm.Print_Titles" localSheetId="3">Evidencia!$6:$6</definedName>
    <definedName name="_xlnm._FilterDatabase" localSheetId="5" hidden="1">Fotos!$A$6:$K$19</definedName>
    <definedName name="_xlnm.Print_Titles" localSheetId="5">Fotos!$6:$6</definedName>
    <definedName name="_xlnm.Print_Area" localSheetId="0">Portada!$A$1:$G$22</definedName>
    <definedName name="_xlnm.Print_Area" localSheetId="1">'Base de datos'!$A$1:$V$14</definedName>
    <definedName name="_xlnm.Print_Area" localSheetId="2">Panel!$A$1:$K$26</definedName>
    <definedName name="_xlnm.Print_Area" localSheetId="3">Evidencia!$A$1:$J$19</definedName>
    <definedName name="_xlnm.Print_Area" localSheetId="5">Fotos!$A$1:$K$19</definedName>
  </definedNames>
  <calcPr calcId="171027"/>
</workbook>
</file>

<file path=xl/sharedStrings.xml><?xml version="1.0" encoding="utf-8"?>
<sst xmlns="http://schemas.openxmlformats.org/spreadsheetml/2006/main" count="446" uniqueCount="109">
  <si>
    <t>SIDER CERTIFICADO</t>
  </si>
  <si>
    <t>agosto 2026   ·   CD38 · Ag01 Barranquilla</t>
  </si>
  <si>
    <t>RESUMEN DEL MES</t>
  </si>
  <si>
    <t>VIAJES CERTIFICADOS</t>
  </si>
  <si>
    <t>HECTOLITROS</t>
  </si>
  <si>
    <t>SIDER</t>
  </si>
  <si>
    <t>HL EER RECIBIDO (ZLDE)</t>
  </si>
  <si>
    <t>% CERTIFICACIÓN</t>
  </si>
  <si>
    <t>META</t>
  </si>
  <si>
    <t>QUÉ HAY EN ESTE ARCHIVO</t>
  </si>
  <si>
    <t>Filtra por placa, punta y rango de fechas. La tabla se arma sola con lo que elijas.</t>
  </si>
  <si>
    <t>Un renglón por viaje. Las columnas con encabezado gris no se guardan: se calculan del material y las estibas.</t>
  </si>
  <si>
    <t>Dónde y cuándo se certificó cada punta, con coordenadas, precisión y quién lo hizo.</t>
  </si>
  <si>
    <t>Las tres fotos por punta, incrustadas. Cada una viene sellada con placa, fecha, hora y coordenadas.</t>
  </si>
  <si>
    <t>Generado el 9 de septiembre de 2026 a las 1:06 a. m. por cpadilla@bavaria.co · CONTROL · CD38 Ag01 Barranquilla</t>
  </si>
  <si>
    <t>BASE DE DATOS</t>
  </si>
  <si>
    <t>Un renglón por viaje  ·  agosto 2026  ·  encabezado gris = columna calculada</t>
  </si>
  <si>
    <t>Placa</t>
  </si>
  <si>
    <t>CD Origen</t>
  </si>
  <si>
    <t>CD Destino</t>
  </si>
  <si>
    <t>Material</t>
  </si>
  <si>
    <t>SKU</t>
  </si>
  <si>
    <t>Tipo envase</t>
  </si>
  <si>
    <t>Estibas</t>
  </si>
  <si>
    <t>Sider</t>
  </si>
  <si>
    <t>Cajas</t>
  </si>
  <si>
    <t>Unidades</t>
  </si>
  <si>
    <t>HL</t>
  </si>
  <si>
    <t>Fecha</t>
  </si>
  <si>
    <t>Mes</t>
  </si>
  <si>
    <t>Semana</t>
  </si>
  <si>
    <t>Año</t>
  </si>
  <si>
    <t>Estado</t>
  </si>
  <si>
    <t>Salida</t>
  </si>
  <si>
    <t>Fotos salida</t>
  </si>
  <si>
    <t>Llegada</t>
  </si>
  <si>
    <t>Fotos llegada</t>
  </si>
  <si>
    <t>Quién certificó</t>
  </si>
  <si>
    <t>Observación</t>
  </si>
  <si>
    <t>JYN141</t>
  </si>
  <si>
    <t>CD Santa Marta</t>
  </si>
  <si>
    <t>Barranquilla</t>
  </si>
  <si>
    <t>Envase Flint 330R</t>
  </si>
  <si>
    <t>3500213</t>
  </si>
  <si>
    <t>EER</t>
  </si>
  <si>
    <t>agosto</t>
  </si>
  <si>
    <t>recibido</t>
  </si>
  <si>
    <t>3/3</t>
  </si>
  <si>
    <t>cpadilla</t>
  </si>
  <si>
    <t/>
  </si>
  <si>
    <t>JYN142</t>
  </si>
  <si>
    <t>CD OL Curumani</t>
  </si>
  <si>
    <t>JYN143</t>
  </si>
  <si>
    <t>CD La Arenosa</t>
  </si>
  <si>
    <t>Llegó con el precinto cambiado, se dejó constancia con el conductor.</t>
  </si>
  <si>
    <t>JYN144</t>
  </si>
  <si>
    <t>CD Valledupar</t>
  </si>
  <si>
    <t>JYN145</t>
  </si>
  <si>
    <t>CD Turbaco</t>
  </si>
  <si>
    <t>1/3</t>
  </si>
  <si>
    <t>JYN146</t>
  </si>
  <si>
    <t>CD OL Fonseca</t>
  </si>
  <si>
    <t>JYN147</t>
  </si>
  <si>
    <t>CD Galapa</t>
  </si>
  <si>
    <t>en tránsito</t>
  </si>
  <si>
    <t>0/3</t>
  </si>
  <si>
    <t>Total</t>
  </si>
  <si>
    <t>PANEL DE CONSULTA</t>
  </si>
  <si>
    <t>Elige placa, punta y fechas · la tabla se arma sola · agosto 2026</t>
  </si>
  <si>
    <t>▼  FILTROS  —  ELIGE AQUÍ</t>
  </si>
  <si>
    <t>PLACA  ▼</t>
  </si>
  <si>
    <t>PUNTA  ▼</t>
  </si>
  <si>
    <t>DESDE</t>
  </si>
  <si>
    <t>HASTA</t>
  </si>
  <si>
    <t>Haz clic en la celda amarilla de PLACA o PUNTA y sale la flechita del menú. Desde/Hasta: escribe la fecha o déjalas vacías.</t>
  </si>
  <si>
    <t>TODAS</t>
  </si>
  <si>
    <t>↺  Para limpiar: pon TODAS en placa y punta, y borra las fechas.</t>
  </si>
  <si>
    <t>REGISTROS</t>
  </si>
  <si>
    <t>SALIDAS</t>
  </si>
  <si>
    <t>LLEGADAS</t>
  </si>
  <si>
    <t>PLACAS DISTINTAS</t>
  </si>
  <si>
    <t>ÚLTIMA CERTIFICACIÓN</t>
  </si>
  <si>
    <t>Punta</t>
  </si>
  <si>
    <t>Fecha y hora</t>
  </si>
  <si>
    <t>Dirección</t>
  </si>
  <si>
    <t>Precisión (m)</t>
  </si>
  <si>
    <t>Quién</t>
  </si>
  <si>
    <t>Mapa</t>
  </si>
  <si>
    <t>EVIDENCIA DE CERTIFICACIÓN</t>
  </si>
  <si>
    <t>Salida y llegada de cada punta con GPS  ·  agosto 2026</t>
  </si>
  <si>
    <t>Cuándo</t>
  </si>
  <si>
    <t>Latitud</t>
  </si>
  <si>
    <t>Longitud</t>
  </si>
  <si>
    <t>Nota</t>
  </si>
  <si>
    <t>Ver en el mapa</t>
  </si>
  <si>
    <t>Cra 51B #80-58, El Prado, Barranquilla</t>
  </si>
  <si>
    <t>abrir mapa</t>
  </si>
  <si>
    <t>Vía 40 #79-393, Barranquillita, Barranquilla</t>
  </si>
  <si>
    <t>Recibido en muelle 3</t>
  </si>
  <si>
    <t>idx</t>
  </si>
  <si>
    <t>lista_placas</t>
  </si>
  <si>
    <t>lista_puntas</t>
  </si>
  <si>
    <t>https://www.openstreetmap.org/?mlat=10.98&amp;mlon=-74.78#map=17/10.98/-74.78</t>
  </si>
  <si>
    <t>https://www.openstreetmap.org/?mlat=10.91&amp;mlon=-74.8#map=17/10.91/-74.8</t>
  </si>
  <si>
    <t>REGISTRO FOTOGRÁFICO</t>
  </si>
  <si>
    <t>Tres fotos por punta, selladas con placa, fecha, hora y GPS  ·  usa las flechas del encabezado para filtrar.</t>
  </si>
  <si>
    <t>Costado izquierdo</t>
  </si>
  <si>
    <t>Costado derecho</t>
  </si>
  <si>
    <t>Placa (foto)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</si>
</sst>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.0000"/>
    <numFmt numFmtId="165" formatCode="#,##0.0"/>
    <numFmt numFmtId="166" formatCode="0.0%"/>
    <numFmt numFmtId="167" formatCode="dd/mm/yyyy"/>
    <numFmt numFmtId="168" formatCode="dd/mm/yyyy hh:mm"/>
    <numFmt numFmtId="169" formatCode="dd/mm/yyyy hh:mm:ss"/>
    <numFmt numFmtId="170" formatCode="0.0000000"/>
  </numFmts>
  <fonts count="28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FFFFFF"/>
      <sz val="28"/>
      <name val="Calibri"/>
    </font>
    <font>
      <charset val="1"/>
      <color rgb="FF9FD3D9"/>
      <sz val="11"/>
      <name val="Calibri"/>
    </font>
    <font>
      <b/>
      <charset val="1"/>
      <color rgb="FF0B7285"/>
      <sz val="10"/>
      <name val="Calibri"/>
    </font>
    <font>
      <b/>
      <charset val="1"/>
      <color rgb="FF5B6B7F"/>
      <sz val="9"/>
      <name val="Calibri"/>
    </font>
    <font>
      <b/>
      <charset val="1"/>
      <color rgb="FF04203F"/>
      <sz val="20"/>
      <name val="Calibri"/>
    </font>
    <font>
      <b/>
      <charset val="1"/>
      <color rgb="FF0B7285"/>
      <sz val="20"/>
      <name val="Calibri"/>
    </font>
    <font>
      <b/>
      <u/>
      <charset val="1"/>
      <color rgb="FF0B7285"/>
      <sz val="11"/>
      <name val="Calibri"/>
    </font>
    <font>
      <charset val="1"/>
      <color rgb="FF5B6B7F"/>
      <sz val="10"/>
      <name val="Calibri"/>
    </font>
    <font>
      <i/>
      <charset val="1"/>
      <color rgb="FF5B6B7F"/>
      <sz val="8"/>
      <name val="Calibri"/>
    </font>
    <font>
      <b/>
      <charset val="1"/>
      <color rgb="FFFFFFFF"/>
      <sz val="18"/>
      <name val="Calibri"/>
    </font>
    <font>
      <charset val="1"/>
      <color rgb="FF9FD3D9"/>
      <sz val="10"/>
      <name val="Calibri"/>
    </font>
    <font>
      <b/>
      <charset val="1"/>
      <color rgb="FFFFFFFF"/>
      <sz val="10"/>
      <name val="Calibri"/>
    </font>
    <font>
      <b/>
      <charset val="1"/>
      <color rgb="FF04203F"/>
      <sz val="10"/>
      <name val="Calibri"/>
    </font>
    <font>
      <charset val="1"/>
      <color rgb="FF1F2A37"/>
      <sz val="10"/>
      <name val="Calibri"/>
    </font>
    <font>
      <b/>
      <charset val="1"/>
      <color rgb="FFE4002B"/>
      <sz val="10"/>
      <name val="Calibri"/>
    </font>
    <font>
      <b/>
      <charset val="1"/>
      <color rgb="FFFFFFFF"/>
      <sz val="9"/>
      <name val="Calibri"/>
    </font>
    <font>
      <i/>
      <charset val="1"/>
      <color rgb="FF5B6B7F"/>
      <sz val="9"/>
      <name val="Calibri"/>
    </font>
    <font>
      <b/>
      <charset val="1"/>
      <color rgb="FF04203F"/>
      <sz val="14"/>
      <name val="Calibri"/>
    </font>
    <font>
      <charset val="1"/>
      <color rgb="FF0B7285"/>
      <sz val="9"/>
      <name val="Calibri"/>
    </font>
    <font>
      <b/>
      <charset val="1"/>
      <color rgb="FF5B6B7F"/>
      <sz val="8"/>
      <name val="Calibri"/>
    </font>
    <font>
      <b/>
      <charset val="1"/>
      <color rgb="FF04203F"/>
      <sz val="15"/>
      <name val="Calibri"/>
    </font>
    <font>
      <u/>
      <charset val="1"/>
      <color rgb="FF0B7285"/>
      <sz val="10"/>
      <name val="Calibri"/>
    </font>
    <font>
      <b/>
      <charset val="1"/>
      <color rgb="FF9B5B00"/>
      <sz val="10"/>
      <name val="Calibri"/>
    </font>
    <font>
      <b/>
      <charset val="1"/>
      <color rgb="FF04203F"/>
      <sz val="11"/>
      <name val="Calibri"/>
    </font>
    <font>
      <b/>
      <charset val="1"/>
      <color rgb="FF0B7285"/>
      <sz val="11"/>
      <name val="Calibri"/>
    </font>
    <font>
      <b/>
      <charset val="1"/>
      <color rgb="FF9B5B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4203F"/>
        <bgColor rgb="FF1F2A37"/>
      </patternFill>
    </fill>
    <fill>
      <patternFill patternType="solid">
        <fgColor rgb="FFF7F9FC"/>
        <bgColor rgb="FFFFFFFF"/>
      </patternFill>
    </fill>
    <fill>
      <patternFill patternType="solid">
        <fgColor rgb="FF5B6B7F"/>
        <bgColor rgb="FF808080"/>
      </patternFill>
    </fill>
    <fill>
      <patternFill patternType="solid">
        <fgColor rgb="FF0B7285"/>
        <bgColor rgb="FF008080"/>
      </patternFill>
    </fill>
    <fill>
      <patternFill patternType="solid">
        <fgColor rgb="FFFFFDF0"/>
        <bgColor rgb="FFFFFFFF"/>
      </patternFill>
    </fill>
  </fills>
  <borders count="9">
    <border>
      <left/>
      <right/>
      <top/>
      <bottom/>
      <diagonal/>
    </border>
    <border>
      <left style="thin">
        <color rgb="FFE3E9F0"/>
      </left>
      <right style="thin">
        <color rgb="FFE3E9F0"/>
      </right>
      <top style="medium">
        <color rgb="FF0B7285"/>
      </top>
      <bottom/>
      <diagonal/>
    </border>
    <border>
      <left style="thin">
        <color rgb="FFE3E9F0"/>
      </left>
      <right style="thin">
        <color rgb="FFE3E9F0"/>
      </right>
      <top/>
      <bottom style="thin">
        <color rgb="FFE3E9F0"/>
      </bottom>
      <diagonal/>
    </border>
    <border>
      <left/>
      <right/>
      <top/>
      <bottom style="thin">
        <color rgb="FFE3E9F0"/>
      </bottom>
      <diagonal/>
    </border>
    <border>
      <left/>
      <right/>
      <top/>
      <bottom style="medium">
        <color rgb="FF0B7285"/>
      </bottom>
      <diagonal/>
    </border>
    <border>
      <left/>
      <right/>
      <top style="medium">
        <color rgb="FF04203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B7285"/>
      </left>
      <right style="thin">
        <color rgb="FF0B7285"/>
      </right>
      <top style="thin">
        <color rgb="FF0B7285"/>
      </top>
      <bottom style="thick">
        <color rgb="FF0B728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4" fontId="6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10" fillId="0" borderId="0" xfId="0" applyFont="1"/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67" fontId="1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8" fontId="15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3" borderId="5" xfId="0" applyFont="1" applyFill="1" applyBorder="1"/>
    <xf numFmtId="0" fontId="1" fillId="3" borderId="5" xfId="0" applyFont="1" applyFill="1" applyBorder="1"/>
    <xf numFmtId="4" fontId="14" fillId="3" borderId="5" xfId="0" applyNumberFormat="1" applyFont="1" applyFill="1" applyBorder="1" applyAlignment="1">
      <alignment horizontal="center"/>
    </xf>
    <xf numFmtId="3" fontId="14" fillId="3" borderId="5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8" fillId="0" borderId="0" xfId="0" applyFont="1"/>
    <xf numFmtId="0" fontId="19" fillId="6" borderId="8" xfId="0" applyFont="1" applyFill="1" applyBorder="1" applyAlignment="1">
      <alignment horizontal="center" vertical="center"/>
    </xf>
    <xf numFmtId="167" fontId="19" fillId="6" borderId="8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3" fontId="22" fillId="3" borderId="2" xfId="0" applyNumberFormat="1" applyFont="1" applyFill="1" applyBorder="1" applyAlignment="1">
      <alignment horizontal="center" vertical="center"/>
    </xf>
    <xf numFmtId="168" fontId="22" fillId="3" borderId="2" xfId="0" applyNumberFormat="1" applyFont="1" applyFill="1" applyBorder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168" fontId="1" fillId="0" borderId="0" xfId="0" applyNumberFormat="1" applyFont="1"/>
    <xf numFmtId="14" fontId="0" fillId="0" borderId="0" xfId="0" applyNumberForma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7F9FC"/>
        </patternFill>
      </fill>
    </dxf>
    <dxf>
      <border>
        <left/>
        <right/>
        <top/>
        <bottom style="thin">
          <color rgb="FFE3E9F0"/>
        </bottom>
        <diagonal/>
      </border>
    </dxf>
    <dxf>
      <fill>
        <patternFill>
          <bgColor rgb="FFF7F9FC"/>
        </patternFill>
      </fill>
    </dxf>
    <dxf>
      <border>
        <left/>
        <right/>
        <top/>
        <bottom style="thin">
          <color rgb="FFE3E9F0"/>
        </bottom>
        <diagonal/>
      </border>
    </dxf>
    <dxf>
      <font>
        <b/>
        <charset val="1"/>
        <color rgb="FF0B7285"/>
        <sz val="10"/>
        <name val="Calibri"/>
      </font>
    </dxf>
    <dxf>
      <font>
        <b/>
        <charset val="1"/>
        <color rgb="FF9B5B00"/>
        <sz val="10"/>
        <name val="Calibri"/>
      </font>
    </dxf>
    <dxf>
      <fill>
        <patternFill>
          <bgColor rgb="FFF7F9FC"/>
        </patternFill>
      </fill>
    </dxf>
    <dxf>
      <border>
        <left/>
        <right/>
        <top/>
        <bottom style="thin">
          <color rgb="FFE3E9F0"/>
        </bottom>
        <diagonal/>
      </border>
    </dxf>
    <dxf>
      <fill>
        <patternFill>
          <bgColor rgb="FFF7F9FC"/>
        </patternFill>
      </fill>
    </dxf>
    <dxf>
      <border>
        <left/>
        <right/>
        <top/>
        <bottom style="thin">
          <color rgb="FFE3E9F0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590040</xdr:colOff>
      <xdr:row>2</xdr:row>
      <xdr:rowOff>209160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2</xdr:row>
      <xdr:rowOff>56880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2</xdr:row>
      <xdr:rowOff>56880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2</xdr:row>
      <xdr:rowOff>56880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2</xdr:row>
      <xdr:rowOff>56880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6</xdr:row>
      <xdr:rowOff>19080</xdr:rowOff>
    </xdr:from>
    <xdr:to>
      <xdr:col>4</xdr:col>
      <xdr:colOff>2114280</xdr:colOff>
      <xdr:row>6</xdr:row>
      <xdr:rowOff>1533240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6</xdr:row>
      <xdr:rowOff>19080</xdr:rowOff>
    </xdr:from>
    <xdr:to>
      <xdr:col>5</xdr:col>
      <xdr:colOff>2114280</xdr:colOff>
      <xdr:row>6</xdr:row>
      <xdr:rowOff>1533240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6</xdr:row>
      <xdr:rowOff>19080</xdr:rowOff>
    </xdr:from>
    <xdr:to>
      <xdr:col>6</xdr:col>
      <xdr:colOff>2114280</xdr:colOff>
      <xdr:row>6</xdr:row>
      <xdr:rowOff>1533240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7</xdr:row>
      <xdr:rowOff>19080</xdr:rowOff>
    </xdr:from>
    <xdr:to>
      <xdr:col>4</xdr:col>
      <xdr:colOff>2114280</xdr:colOff>
      <xdr:row>7</xdr:row>
      <xdr:rowOff>1533240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7</xdr:row>
      <xdr:rowOff>19080</xdr:rowOff>
    </xdr:from>
    <xdr:to>
      <xdr:col>5</xdr:col>
      <xdr:colOff>2114280</xdr:colOff>
      <xdr:row>7</xdr:row>
      <xdr:rowOff>1533240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7</xdr:row>
      <xdr:rowOff>19080</xdr:rowOff>
    </xdr:from>
    <xdr:to>
      <xdr:col>6</xdr:col>
      <xdr:colOff>2114280</xdr:colOff>
      <xdr:row>7</xdr:row>
      <xdr:rowOff>1533240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8</xdr:row>
      <xdr:rowOff>19080</xdr:rowOff>
    </xdr:from>
    <xdr:to>
      <xdr:col>4</xdr:col>
      <xdr:colOff>2114280</xdr:colOff>
      <xdr:row>8</xdr:row>
      <xdr:rowOff>1533240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8</xdr:row>
      <xdr:rowOff>19080</xdr:rowOff>
    </xdr:from>
    <xdr:to>
      <xdr:col>5</xdr:col>
      <xdr:colOff>2114280</xdr:colOff>
      <xdr:row>8</xdr:row>
      <xdr:rowOff>1533240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8</xdr:row>
      <xdr:rowOff>19080</xdr:rowOff>
    </xdr:from>
    <xdr:to>
      <xdr:col>6</xdr:col>
      <xdr:colOff>2114280</xdr:colOff>
      <xdr:row>8</xdr:row>
      <xdr:rowOff>1533240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9</xdr:row>
      <xdr:rowOff>19080</xdr:rowOff>
    </xdr:from>
    <xdr:to>
      <xdr:col>4</xdr:col>
      <xdr:colOff>2114280</xdr:colOff>
      <xdr:row>9</xdr:row>
      <xdr:rowOff>1533240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9</xdr:row>
      <xdr:rowOff>19080</xdr:rowOff>
    </xdr:from>
    <xdr:to>
      <xdr:col>5</xdr:col>
      <xdr:colOff>2114280</xdr:colOff>
      <xdr:row>9</xdr:row>
      <xdr:rowOff>1533240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9</xdr:row>
      <xdr:rowOff>19080</xdr:rowOff>
    </xdr:from>
    <xdr:to>
      <xdr:col>6</xdr:col>
      <xdr:colOff>2114280</xdr:colOff>
      <xdr:row>9</xdr:row>
      <xdr:rowOff>1533240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10</xdr:row>
      <xdr:rowOff>19080</xdr:rowOff>
    </xdr:from>
    <xdr:to>
      <xdr:col>4</xdr:col>
      <xdr:colOff>2114280</xdr:colOff>
      <xdr:row>10</xdr:row>
      <xdr:rowOff>1533240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10</xdr:row>
      <xdr:rowOff>19080</xdr:rowOff>
    </xdr:from>
    <xdr:to>
      <xdr:col>5</xdr:col>
      <xdr:colOff>2114280</xdr:colOff>
      <xdr:row>10</xdr:row>
      <xdr:rowOff>1533240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10</xdr:row>
      <xdr:rowOff>19080</xdr:rowOff>
    </xdr:from>
    <xdr:to>
      <xdr:col>6</xdr:col>
      <xdr:colOff>2114280</xdr:colOff>
      <xdr:row>10</xdr:row>
      <xdr:rowOff>1533240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11</xdr:row>
      <xdr:rowOff>19080</xdr:rowOff>
    </xdr:from>
    <xdr:to>
      <xdr:col>4</xdr:col>
      <xdr:colOff>2114280</xdr:colOff>
      <xdr:row>11</xdr:row>
      <xdr:rowOff>1533240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11</xdr:row>
      <xdr:rowOff>19080</xdr:rowOff>
    </xdr:from>
    <xdr:to>
      <xdr:col>5</xdr:col>
      <xdr:colOff>2114280</xdr:colOff>
      <xdr:row>11</xdr:row>
      <xdr:rowOff>1533240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11</xdr:row>
      <xdr:rowOff>19080</xdr:rowOff>
    </xdr:from>
    <xdr:to>
      <xdr:col>6</xdr:col>
      <xdr:colOff>2114280</xdr:colOff>
      <xdr:row>11</xdr:row>
      <xdr:rowOff>1533240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12</xdr:row>
      <xdr:rowOff>19080</xdr:rowOff>
    </xdr:from>
    <xdr:to>
      <xdr:col>4</xdr:col>
      <xdr:colOff>2114280</xdr:colOff>
      <xdr:row>12</xdr:row>
      <xdr:rowOff>1533240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12</xdr:row>
      <xdr:rowOff>19080</xdr:rowOff>
    </xdr:from>
    <xdr:to>
      <xdr:col>5</xdr:col>
      <xdr:colOff>2114280</xdr:colOff>
      <xdr:row>12</xdr:row>
      <xdr:rowOff>1533240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12</xdr:row>
      <xdr:rowOff>19080</xdr:rowOff>
    </xdr:from>
    <xdr:to>
      <xdr:col>6</xdr:col>
      <xdr:colOff>2114280</xdr:colOff>
      <xdr:row>12</xdr:row>
      <xdr:rowOff>1533240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13</xdr:row>
      <xdr:rowOff>19080</xdr:rowOff>
    </xdr:from>
    <xdr:to>
      <xdr:col>4</xdr:col>
      <xdr:colOff>2114280</xdr:colOff>
      <xdr:row>13</xdr:row>
      <xdr:rowOff>1533240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13</xdr:row>
      <xdr:rowOff>19080</xdr:rowOff>
    </xdr:from>
    <xdr:to>
      <xdr:col>5</xdr:col>
      <xdr:colOff>2114280</xdr:colOff>
      <xdr:row>13</xdr:row>
      <xdr:rowOff>1533240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13</xdr:row>
      <xdr:rowOff>19080</xdr:rowOff>
    </xdr:from>
    <xdr:to>
      <xdr:col>6</xdr:col>
      <xdr:colOff>2114280</xdr:colOff>
      <xdr:row>13</xdr:row>
      <xdr:rowOff>1533240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14</xdr:row>
      <xdr:rowOff>19080</xdr:rowOff>
    </xdr:from>
    <xdr:to>
      <xdr:col>4</xdr:col>
      <xdr:colOff>2114280</xdr:colOff>
      <xdr:row>14</xdr:row>
      <xdr:rowOff>1533240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15</xdr:row>
      <xdr:rowOff>19080</xdr:rowOff>
    </xdr:from>
    <xdr:to>
      <xdr:col>4</xdr:col>
      <xdr:colOff>2114280</xdr:colOff>
      <xdr:row>15</xdr:row>
      <xdr:rowOff>1533240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15</xdr:row>
      <xdr:rowOff>19080</xdr:rowOff>
    </xdr:from>
    <xdr:to>
      <xdr:col>5</xdr:col>
      <xdr:colOff>2114280</xdr:colOff>
      <xdr:row>15</xdr:row>
      <xdr:rowOff>1533240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15</xdr:row>
      <xdr:rowOff>19080</xdr:rowOff>
    </xdr:from>
    <xdr:to>
      <xdr:col>6</xdr:col>
      <xdr:colOff>2114280</xdr:colOff>
      <xdr:row>15</xdr:row>
      <xdr:rowOff>1533240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16</xdr:row>
      <xdr:rowOff>19080</xdr:rowOff>
    </xdr:from>
    <xdr:to>
      <xdr:col>4</xdr:col>
      <xdr:colOff>2114280</xdr:colOff>
      <xdr:row>16</xdr:row>
      <xdr:rowOff>1533240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16</xdr:row>
      <xdr:rowOff>19080</xdr:rowOff>
    </xdr:from>
    <xdr:to>
      <xdr:col>5</xdr:col>
      <xdr:colOff>2114280</xdr:colOff>
      <xdr:row>16</xdr:row>
      <xdr:rowOff>1533240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16</xdr:row>
      <xdr:rowOff>19080</xdr:rowOff>
    </xdr:from>
    <xdr:to>
      <xdr:col>6</xdr:col>
      <xdr:colOff>2114280</xdr:colOff>
      <xdr:row>16</xdr:row>
      <xdr:rowOff>1533240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17</xdr:row>
      <xdr:rowOff>19080</xdr:rowOff>
    </xdr:from>
    <xdr:to>
      <xdr:col>4</xdr:col>
      <xdr:colOff>2114280</xdr:colOff>
      <xdr:row>17</xdr:row>
      <xdr:rowOff>1533240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17</xdr:row>
      <xdr:rowOff>19080</xdr:rowOff>
    </xdr:from>
    <xdr:to>
      <xdr:col>5</xdr:col>
      <xdr:colOff>2114280</xdr:colOff>
      <xdr:row>17</xdr:row>
      <xdr:rowOff>1533240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17</xdr:row>
      <xdr:rowOff>19080</xdr:rowOff>
    </xdr:from>
    <xdr:to>
      <xdr:col>6</xdr:col>
      <xdr:colOff>2114280</xdr:colOff>
      <xdr:row>17</xdr:row>
      <xdr:rowOff>1533240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19080</xdr:colOff>
      <xdr:row>18</xdr:row>
      <xdr:rowOff>19080</xdr:rowOff>
    </xdr:from>
    <xdr:to>
      <xdr:col>4</xdr:col>
      <xdr:colOff>2114280</xdr:colOff>
      <xdr:row>18</xdr:row>
      <xdr:rowOff>1533240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19080</xdr:colOff>
      <xdr:row>18</xdr:row>
      <xdr:rowOff>19080</xdr:rowOff>
    </xdr:from>
    <xdr:to>
      <xdr:col>5</xdr:col>
      <xdr:colOff>2114280</xdr:colOff>
      <xdr:row>18</xdr:row>
      <xdr:rowOff>1533240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19080</xdr:colOff>
      <xdr:row>18</xdr:row>
      <xdr:rowOff>19080</xdr:rowOff>
    </xdr:from>
    <xdr:to>
      <xdr:col>6</xdr:col>
      <xdr:colOff>2114280</xdr:colOff>
      <xdr:row>18</xdr:row>
      <xdr:rowOff>1533240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penstreetmap.org/?mlat=10.98&amp;mlon=-74.78#map=17/10.98/-74.78" TargetMode="External"/><Relationship Id="rId2" Type="http://schemas.openxmlformats.org/officeDocument/2006/relationships/hyperlink" Target="https://www.openstreetmap.org/?mlat=10.91&amp;mlon=-74.8#map=17/10.91/-74.8" TargetMode="External"/><Relationship Id="rId3" Type="http://schemas.openxmlformats.org/officeDocument/2006/relationships/hyperlink" Target="https://www.openstreetmap.org/?mlat=10.98&amp;mlon=-74.78#map=17/10.98/-74.78" TargetMode="External"/><Relationship Id="rId4" Type="http://schemas.openxmlformats.org/officeDocument/2006/relationships/hyperlink" Target="https://www.openstreetmap.org/?mlat=10.91&amp;mlon=-74.8#map=17/10.91/-74.8" TargetMode="External"/><Relationship Id="rId5" Type="http://schemas.openxmlformats.org/officeDocument/2006/relationships/hyperlink" Target="https://www.openstreetmap.org/?mlat=10.98&amp;mlon=-74.78#map=17/10.98/-74.78" TargetMode="External"/><Relationship Id="rId6" Type="http://schemas.openxmlformats.org/officeDocument/2006/relationships/hyperlink" Target="https://www.openstreetmap.org/?mlat=10.91&amp;mlon=-74.8#map=17/10.91/-74.8" TargetMode="External"/><Relationship Id="rId7" Type="http://schemas.openxmlformats.org/officeDocument/2006/relationships/hyperlink" Target="https://www.openstreetmap.org/?mlat=10.98&amp;mlon=-74.78#map=17/10.98/-74.78" TargetMode="External"/><Relationship Id="rId8" Type="http://schemas.openxmlformats.org/officeDocument/2006/relationships/hyperlink" Target="https://www.openstreetmap.org/?mlat=10.91&amp;mlon=-74.8#map=17/10.91/-74.8" TargetMode="External"/><Relationship Id="rId9" Type="http://schemas.openxmlformats.org/officeDocument/2006/relationships/hyperlink" Target="https://www.openstreetmap.org/?mlat=10.98&amp;mlon=-74.78#map=17/10.98/-74.78" TargetMode="External"/><Relationship Id="rId10" Type="http://schemas.openxmlformats.org/officeDocument/2006/relationships/hyperlink" Target="https://www.openstreetmap.org/?mlat=10.91&amp;mlon=-74.8#map=17/10.91/-74.8" TargetMode="External"/><Relationship Id="rId11" Type="http://schemas.openxmlformats.org/officeDocument/2006/relationships/hyperlink" Target="https://www.openstreetmap.org/?mlat=10.98&amp;mlon=-74.78#map=17/10.98/-74.78" TargetMode="External"/><Relationship Id="rId12" Type="http://schemas.openxmlformats.org/officeDocument/2006/relationships/hyperlink" Target="https://www.openstreetmap.org/?mlat=10.91&amp;mlon=-74.8#map=17/10.91/-74.8" TargetMode="External"/><Relationship Id="rId13" Type="http://schemas.openxmlformats.org/officeDocument/2006/relationships/hyperlink" Target="https://www.openstreetmap.org/?mlat=10.98&amp;mlon=-74.78#map=17/10.98/-74.78" TargetMode="External"/><Relationship Id="rId14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penstreetmap.org/?mlat=10.98&amp;mlon=-74.78#map=17/10.98/-74.78" TargetMode="External"/><Relationship Id="rId2" Type="http://schemas.openxmlformats.org/officeDocument/2006/relationships/hyperlink" Target="https://www.openstreetmap.org/?mlat=10.91&amp;mlon=-74.8#map=17/10.91/-74.8" TargetMode="External"/><Relationship Id="rId3" Type="http://schemas.openxmlformats.org/officeDocument/2006/relationships/hyperlink" Target="https://www.openstreetmap.org/?mlat=10.98&amp;mlon=-74.78#map=17/10.98/-74.78" TargetMode="External"/><Relationship Id="rId4" Type="http://schemas.openxmlformats.org/officeDocument/2006/relationships/hyperlink" Target="https://www.openstreetmap.org/?mlat=10.91&amp;mlon=-74.8#map=17/10.91/-74.8" TargetMode="External"/><Relationship Id="rId5" Type="http://schemas.openxmlformats.org/officeDocument/2006/relationships/hyperlink" Target="https://www.openstreetmap.org/?mlat=10.98&amp;mlon=-74.78#map=17/10.98/-74.78" TargetMode="External"/><Relationship Id="rId6" Type="http://schemas.openxmlformats.org/officeDocument/2006/relationships/hyperlink" Target="https://www.openstreetmap.org/?mlat=10.91&amp;mlon=-74.8#map=17/10.91/-74.8" TargetMode="External"/><Relationship Id="rId7" Type="http://schemas.openxmlformats.org/officeDocument/2006/relationships/hyperlink" Target="https://www.openstreetmap.org/?mlat=10.98&amp;mlon=-74.78#map=17/10.98/-74.78" TargetMode="External"/><Relationship Id="rId8" Type="http://schemas.openxmlformats.org/officeDocument/2006/relationships/hyperlink" Target="https://www.openstreetmap.org/?mlat=10.91&amp;mlon=-74.8#map=17/10.91/-74.8" TargetMode="External"/><Relationship Id="rId9" Type="http://schemas.openxmlformats.org/officeDocument/2006/relationships/hyperlink" Target="https://www.openstreetmap.org/?mlat=10.98&amp;mlon=-74.78#map=17/10.98/-74.78" TargetMode="External"/><Relationship Id="rId10" Type="http://schemas.openxmlformats.org/officeDocument/2006/relationships/hyperlink" Target="https://www.openstreetmap.org/?mlat=10.91&amp;mlon=-74.8#map=17/10.91/-74.8" TargetMode="External"/><Relationship Id="rId11" Type="http://schemas.openxmlformats.org/officeDocument/2006/relationships/hyperlink" Target="https://www.openstreetmap.org/?mlat=10.98&amp;mlon=-74.78#map=17/10.98/-74.78" TargetMode="External"/><Relationship Id="rId12" Type="http://schemas.openxmlformats.org/officeDocument/2006/relationships/hyperlink" Target="https://www.openstreetmap.org/?mlat=10.91&amp;mlon=-74.8#map=17/10.91/-74.8" TargetMode="External"/><Relationship Id="rId13" Type="http://schemas.openxmlformats.org/officeDocument/2006/relationships/hyperlink" Target="https://www.openstreetmap.org/?mlat=10.98&amp;mlon=-74.78#map=17/10.98/-74.78" TargetMode="External"/><Relationship Id="rId1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203F"/>
  </sheetPr>
  <dimension ref="B1:G22"/>
  <sheetViews>
    <sheetView workbookViewId="0" showGridLines="0" zoomScale="100" zoomScaleNormal="100"/>
  </sheetViews>
  <sheetFormatPr defaultRowHeight="14.4" outlineLevelRow="0" outlineLevelCol="0" x14ac:dyDescent="0.3" defaultColWidth="8.6640625" customHeight="1"/>
  <cols>
    <col min="1" max="1" width="2.44140625" customWidth="1"/>
    <col min="2" max="7" width="17" customWidth="1"/>
  </cols>
  <sheetData>
    <row r="1" ht="9.75" customHeight="1" spans="1:7" x14ac:dyDescent="0.25">
      <c r="A1" s="1"/>
      <c r="B1" s="1"/>
      <c r="C1" s="1"/>
      <c r="D1" s="1"/>
      <c r="E1" s="1"/>
      <c r="F1" s="1"/>
      <c r="G1" s="1"/>
    </row>
    <row r="2" ht="30" customHeight="1" spans="1:7" x14ac:dyDescent="0.25">
      <c r="A2" s="1"/>
      <c r="B2" s="1"/>
      <c r="C2" s="1"/>
      <c r="D2" s="2" t="s">
        <v>0</v>
      </c>
      <c r="E2" s="2"/>
      <c r="F2" s="2"/>
      <c r="G2" s="2"/>
    </row>
    <row r="3" ht="25.5" customHeight="1" spans="1:7" x14ac:dyDescent="0.25">
      <c r="A3" s="1"/>
      <c r="B3" s="1"/>
      <c r="C3" s="1"/>
      <c r="D3" s="2"/>
      <c r="E3" s="2"/>
      <c r="F3" s="2"/>
      <c r="G3" s="2"/>
    </row>
    <row r="4" ht="13.5" customHeight="1" spans="1:7" x14ac:dyDescent="0.25">
      <c r="A4" s="1"/>
      <c r="B4" s="1"/>
      <c r="C4" s="1"/>
      <c r="D4" s="3" t="s">
        <v>1</v>
      </c>
      <c r="E4" s="3"/>
      <c r="F4" s="3"/>
      <c r="G4" s="3"/>
    </row>
    <row r="5" ht="9.75" customHeight="1" spans="1:7" x14ac:dyDescent="0.25">
      <c r="A5" s="1"/>
      <c r="B5" s="1"/>
      <c r="C5" s="1"/>
      <c r="D5" s="1"/>
      <c r="E5" s="1"/>
      <c r="F5" s="1"/>
      <c r="G5" s="1"/>
    </row>
    <row r="7" ht="24" customHeight="1" spans="2:2" x14ac:dyDescent="0.25">
      <c r="B7" s="4" t="s">
        <v>2</v>
      </c>
    </row>
    <row r="8" ht="15.75" customHeight="1" spans="2:7" x14ac:dyDescent="0.25">
      <c r="B8" s="5" t="s">
        <v>3</v>
      </c>
      <c r="C8" s="5"/>
      <c r="D8" s="5" t="s">
        <v>4</v>
      </c>
      <c r="E8" s="5"/>
      <c r="F8" s="5" t="s">
        <v>5</v>
      </c>
      <c r="G8" s="5"/>
    </row>
    <row r="9" ht="12" customHeight="1" spans="2:7" x14ac:dyDescent="0.25">
      <c r="B9" s="6">
        <f>COUNTA('Base de datos'!$A$7:$A$13)</f>
      </c>
      <c r="C9" s="6"/>
      <c r="D9" s="7">
        <f>SUM('Base de datos'!$K$7:$K$13)</f>
      </c>
      <c r="E9" s="7"/>
      <c r="F9" s="8">
        <f>SUM('Base de datos'!$H$7:$H$13)</f>
      </c>
      <c r="G9" s="8"/>
    </row>
    <row r="10" ht="19.5" customHeight="1" spans="2:7" x14ac:dyDescent="0.25">
      <c r="B10" s="6"/>
      <c r="C10" s="6"/>
      <c r="D10" s="7"/>
      <c r="E10" s="7"/>
      <c r="F10" s="8"/>
      <c r="G10" s="8"/>
    </row>
    <row r="11" ht="6" customHeight="1" x14ac:dyDescent="0.25"/>
    <row r="12" ht="15.75" customHeight="1" spans="2:7" x14ac:dyDescent="0.25">
      <c r="B12" s="5" t="s">
        <v>6</v>
      </c>
      <c r="C12" s="5"/>
      <c r="D12" s="5" t="s">
        <v>7</v>
      </c>
      <c r="E12" s="5"/>
      <c r="F12" s="5" t="s">
        <v>8</v>
      </c>
      <c r="G12" s="5"/>
    </row>
    <row r="13" ht="12" customHeight="1" spans="2:7" x14ac:dyDescent="0.25">
      <c r="B13" s="9">
        <v>246267.85400000002</v>
      </c>
      <c r="C13" s="10"/>
      <c r="D13" s="11">
        <v>0.03394677731670167</v>
      </c>
      <c r="E13" s="10"/>
      <c r="F13" s="12">
        <v>0.1</v>
      </c>
      <c r="G13" s="12"/>
    </row>
    <row r="14" ht="19.5" customHeight="1" spans="2:7" x14ac:dyDescent="0.25">
      <c r="B14" s="10"/>
      <c r="C14" s="10"/>
      <c r="D14" s="10"/>
      <c r="E14" s="10"/>
      <c r="F14" s="12"/>
      <c r="G14" s="12"/>
    </row>
    <row r="15" ht="9.75" customHeight="1" x14ac:dyDescent="0.25"/>
    <row r="16" ht="24" customHeight="1" spans="2:2" x14ac:dyDescent="0.25">
      <c r="B16" s="4" t="s">
        <v>9</v>
      </c>
    </row>
    <row r="17" ht="30" customHeight="1" spans="2:7" x14ac:dyDescent="0.25">
      <c r="B17" s="13">
        <f>HYPERLINK("#'Panel'!A1","Panel")</f>
      </c>
      <c r="C17" s="14" t="s">
        <v>10</v>
      </c>
      <c r="D17" s="14"/>
      <c r="E17" s="14"/>
      <c r="F17" s="14"/>
      <c r="G17" s="14"/>
    </row>
    <row r="18" ht="30" customHeight="1" spans="2:7" x14ac:dyDescent="0.25">
      <c r="B18" s="13">
        <f>HYPERLINK("#'Base de datos'!A1","Base de datos")</f>
      </c>
      <c r="C18" s="14" t="s">
        <v>11</v>
      </c>
      <c r="D18" s="14"/>
      <c r="E18" s="14"/>
      <c r="F18" s="14"/>
      <c r="G18" s="14"/>
    </row>
    <row r="19" ht="30" customHeight="1" spans="2:7" x14ac:dyDescent="0.25">
      <c r="B19" s="13">
        <f>HYPERLINK("#'Evidencia'!A1","Evidencia")</f>
      </c>
      <c r="C19" s="14" t="s">
        <v>12</v>
      </c>
      <c r="D19" s="14"/>
      <c r="E19" s="14"/>
      <c r="F19" s="14"/>
      <c r="G19" s="14"/>
    </row>
    <row r="20" ht="30" customHeight="1" spans="2:7" x14ac:dyDescent="0.25">
      <c r="B20" s="13">
        <f>HYPERLINK("#'Fotos'!A1","Fotos")</f>
      </c>
      <c r="C20" s="14" t="s">
        <v>13</v>
      </c>
      <c r="D20" s="14"/>
      <c r="E20" s="14"/>
      <c r="F20" s="14"/>
      <c r="G20" s="14"/>
    </row>
    <row r="21" ht="12" customHeight="1" x14ac:dyDescent="0.25"/>
    <row r="22" ht="21.75" customHeight="1" spans="2:7" x14ac:dyDescent="0.25">
      <c r="B22" s="15" t="s">
        <v>14</v>
      </c>
      <c r="C22" s="15"/>
      <c r="D22" s="15"/>
      <c r="E22" s="15"/>
      <c r="F22" s="15"/>
      <c r="G22" s="15"/>
    </row>
  </sheetData>
  <mergeCells count="19">
    <mergeCell ref="D2:G3"/>
    <mergeCell ref="D4:G4"/>
    <mergeCell ref="B8:C8"/>
    <mergeCell ref="D8:E8"/>
    <mergeCell ref="F8:G8"/>
    <mergeCell ref="B9:C10"/>
    <mergeCell ref="D9:E10"/>
    <mergeCell ref="F9:G10"/>
    <mergeCell ref="B12:C12"/>
    <mergeCell ref="D12:E12"/>
    <mergeCell ref="F12:G12"/>
    <mergeCell ref="B13:C14"/>
    <mergeCell ref="D13:E14"/>
    <mergeCell ref="F13:G14"/>
    <mergeCell ref="C17:G17"/>
    <mergeCell ref="C18:G18"/>
    <mergeCell ref="C19:G19"/>
    <mergeCell ref="C20:G20"/>
    <mergeCell ref="B22:G22"/>
  </mergeCells>
  <pageMargins left="0.75" right="0.75" top="1" bottom="1" header="0.511811023622047" footer="0.511811023622047"/>
  <pageSetup orientation="landscape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7285"/>
    <pageSetUpPr fitToPage="1"/>
  </sheetPr>
  <dimension ref="A1:K413"/>
  <sheetViews>
    <sheetView workbookViewId="0" showGridLines="0" zoomScale="100" zoomScaleNormal="100">
      <pane xSplit="1" ySplit="13" topLeftCell="B14" activePane="bottomRight" state="frozen"/>
      <selection pane="bottomRight"/>
    </sheetView>
  </sheetViews>
  <sheetFormatPr defaultRowHeight="14.4" outlineLevelRow="0" outlineLevelCol="0" x14ac:dyDescent="0.3" defaultColWidth="8.6640625" customHeight="1"/>
  <cols>
    <col min="1" max="1" width="7.44140625" customWidth="1"/>
    <col min="2" max="2" width="13" customWidth="1"/>
    <col min="3" max="3" width="12" customWidth="1"/>
    <col min="4" max="4" width="19" customWidth="1"/>
    <col min="5" max="5" width="21" customWidth="1"/>
    <col min="6" max="6" width="30" customWidth="1"/>
    <col min="7" max="7" width="10" customWidth="1"/>
    <col min="8" max="8" width="44" customWidth="1"/>
    <col min="9" max="9" width="12" customWidth="1"/>
    <col min="10" max="11" width="14" customWidth="1"/>
  </cols>
  <sheetData>
    <row r="1" ht="7.5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5.5" customHeight="1" spans="1:11" x14ac:dyDescent="0.25">
      <c r="A2" s="1"/>
      <c r="B2" s="16" t="s">
        <v>67</v>
      </c>
      <c r="C2" s="16"/>
      <c r="D2" s="16"/>
      <c r="E2" s="16"/>
      <c r="F2" s="16"/>
      <c r="G2" s="16"/>
      <c r="H2" s="16"/>
      <c r="I2" s="1"/>
      <c r="J2" s="1"/>
      <c r="K2" s="1"/>
    </row>
    <row r="3" ht="18" customHeight="1" spans="1:11" x14ac:dyDescent="0.25">
      <c r="A3" s="1"/>
      <c r="B3" s="17" t="s">
        <v>68</v>
      </c>
      <c r="C3" s="17"/>
      <c r="D3" s="17"/>
      <c r="E3" s="17"/>
      <c r="F3" s="17"/>
      <c r="G3" s="17"/>
      <c r="H3" s="17"/>
      <c r="I3" s="1"/>
      <c r="J3" s="1"/>
      <c r="K3" s="1"/>
    </row>
    <row r="4" ht="7.5" customHeight="1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9.75" customHeight="1" x14ac:dyDescent="0.25"/>
    <row r="6" ht="21.75" customHeight="1" spans="2:3" x14ac:dyDescent="0.25">
      <c r="B6" s="33" t="s">
        <v>69</v>
      </c>
      <c r="C6" s="33"/>
    </row>
    <row r="7" ht="18" customHeight="1" spans="2:11" x14ac:dyDescent="0.25">
      <c r="B7" s="34" t="s">
        <v>70</v>
      </c>
      <c r="C7" s="35" t="s">
        <v>71</v>
      </c>
      <c r="D7" s="35" t="s">
        <v>72</v>
      </c>
      <c r="E7" s="35" t="s">
        <v>73</v>
      </c>
      <c r="G7" s="36" t="s">
        <v>74</v>
      </c>
      <c r="H7" s="36"/>
      <c r="I7" s="36"/>
      <c r="J7" s="36"/>
      <c r="K7" s="36"/>
    </row>
    <row r="8" ht="33.75" customHeight="1" spans="2:11" x14ac:dyDescent="0.25">
      <c r="B8" s="37" t="s">
        <v>75</v>
      </c>
      <c r="C8" s="37" t="s">
        <v>75</v>
      </c>
      <c r="D8" s="38"/>
      <c r="E8" s="38"/>
      <c r="G8" s="39" t="s">
        <v>76</v>
      </c>
      <c r="H8" s="39"/>
      <c r="I8" s="39"/>
      <c r="J8" s="39"/>
      <c r="K8" s="39"/>
    </row>
    <row r="9" ht="12" customHeight="1" x14ac:dyDescent="0.25"/>
    <row r="10" ht="15" customHeight="1" spans="2:11" x14ac:dyDescent="0.25">
      <c r="B10" s="40" t="s">
        <v>77</v>
      </c>
      <c r="C10" s="40"/>
      <c r="D10" s="40" t="s">
        <v>78</v>
      </c>
      <c r="E10" s="40"/>
      <c r="F10" s="40" t="s">
        <v>79</v>
      </c>
      <c r="G10" s="40"/>
      <c r="H10" s="40" t="s">
        <v>80</v>
      </c>
      <c r="I10" s="40"/>
      <c r="J10" s="40" t="s">
        <v>81</v>
      </c>
      <c r="K10" s="40"/>
    </row>
    <row r="11" ht="24" customHeight="1" spans="2:11" x14ac:dyDescent="0.25">
      <c r="B11" s="41">
        <f>COUNT(_datos!$K$2:$K$401)</f>
      </c>
      <c r="C11" s="41"/>
      <c r="D11" s="41">
        <f>COUNTIFS(_datos!$K$2:$K$401,"&gt;0",_datos!$B$2:$B$401,"Salida")</f>
      </c>
      <c r="E11" s="41"/>
      <c r="F11" s="41">
        <f>COUNTIFS(_datos!$K$2:$K$401,"&gt;0",_datos!$B$2:$B$401,"Llegada")</f>
      </c>
      <c r="G11" s="41"/>
      <c r="H11" s="41">
        <f>SUMPRODUCT(($B$14:$B$413&lt;&gt;"")/COUNTIF($B$14:$B$413,$B$14:$B$413&amp;""))</f>
      </c>
      <c r="I11" s="41"/>
      <c r="J11" s="42">
        <f>IF(COUNT($D$14:$D$413)=0,"—",MAX($D$14:$D$413))</f>
      </c>
      <c r="K11" s="42"/>
    </row>
    <row r="12" ht="12" customHeight="1" x14ac:dyDescent="0.25"/>
    <row r="13" ht="25.5" customHeight="1" spans="1:11" x14ac:dyDescent="0.25">
      <c r="A13" s="18"/>
      <c r="B13" s="18" t="s">
        <v>17</v>
      </c>
      <c r="C13" s="18" t="s">
        <v>82</v>
      </c>
      <c r="D13" s="18" t="s">
        <v>83</v>
      </c>
      <c r="E13" s="18" t="s">
        <v>18</v>
      </c>
      <c r="F13" s="18" t="s">
        <v>20</v>
      </c>
      <c r="G13" s="18" t="s">
        <v>27</v>
      </c>
      <c r="H13" s="18" t="s">
        <v>84</v>
      </c>
      <c r="I13" s="18" t="s">
        <v>85</v>
      </c>
      <c r="J13" s="18" t="s">
        <v>86</v>
      </c>
      <c r="K13" s="18" t="s">
        <v>87</v>
      </c>
    </row>
    <row r="14" ht="18.75" customHeight="1" spans="2:11" x14ac:dyDescent="0.25">
      <c r="B14" s="20">
        <f>IFERROR(INDEX(_datos!$A$2:$A$401,MATCH(ROW()-13,_datos!$K$2:$K$401,0)),"")</f>
      </c>
      <c r="C14" s="22">
        <f>IFERROR(INDEX(_datos!$B$2:$B$401,MATCH(ROW()-13,_datos!$K$2:$K$401,0)),"")</f>
      </c>
      <c r="D14" s="43">
        <f>IFERROR(INDEX(_datos!$C$2:$C$401,MATCH(ROW()-13,_datos!$K$2:$K$401,0)),"")</f>
      </c>
      <c r="E14" s="22">
        <f>IFERROR(INDEX(_datos!$D$2:$D$401,MATCH(ROW()-13,_datos!$K$2:$K$401,0)),"")</f>
      </c>
      <c r="F14" s="21">
        <f>IFERROR(INDEX(_datos!$E$2:$E$401,MATCH(ROW()-13,_datos!$K$2:$K$401,0)),"")</f>
      </c>
      <c r="G14" s="23">
        <f>IFERROR(INDEX(_datos!$F$2:$F$401,MATCH(ROW()-13,_datos!$K$2:$K$401,0)),"")</f>
      </c>
      <c r="H14" s="21">
        <f>IFERROR(INDEX(_datos!$G$2:$G$401,MATCH(ROW()-13,_datos!$K$2:$K$401,0)),"")</f>
      </c>
      <c r="I14" s="24">
        <f>IFERROR(INDEX(_datos!$H$2:$H$401,MATCH(ROW()-13,_datos!$K$2:$K$401,0)),"")</f>
      </c>
      <c r="J14" s="22">
        <f>IFERROR(INDEX(_datos!$I$2:$I$401,MATCH(ROW()-13,_datos!$K$2:$K$401,0)),"")</f>
      </c>
      <c r="K14" s="44">
        <f>IFERROR(HYPERLINK(INDEX(_datos!$J$2:$J$401,MATCH(ROW()-13,_datos!$K$2:$K$401,0)),"abrir mapa"),"")</f>
      </c>
    </row>
    <row r="15" ht="18.75" customHeight="1" spans="2:11" x14ac:dyDescent="0.25">
      <c r="B15" s="20">
        <f>IFERROR(INDEX(_datos!$A$2:$A$401,MATCH(ROW()-13,_datos!$K$2:$K$401,0)),"")</f>
      </c>
      <c r="C15" s="22">
        <f>IFERROR(INDEX(_datos!$B$2:$B$401,MATCH(ROW()-13,_datos!$K$2:$K$401,0)),"")</f>
      </c>
      <c r="D15" s="43">
        <f>IFERROR(INDEX(_datos!$C$2:$C$401,MATCH(ROW()-13,_datos!$K$2:$K$401,0)),"")</f>
      </c>
      <c r="E15" s="22">
        <f>IFERROR(INDEX(_datos!$D$2:$D$401,MATCH(ROW()-13,_datos!$K$2:$K$401,0)),"")</f>
      </c>
      <c r="F15" s="21">
        <f>IFERROR(INDEX(_datos!$E$2:$E$401,MATCH(ROW()-13,_datos!$K$2:$K$401,0)),"")</f>
      </c>
      <c r="G15" s="23">
        <f>IFERROR(INDEX(_datos!$F$2:$F$401,MATCH(ROW()-13,_datos!$K$2:$K$401,0)),"")</f>
      </c>
      <c r="H15" s="21">
        <f>IFERROR(INDEX(_datos!$G$2:$G$401,MATCH(ROW()-13,_datos!$K$2:$K$401,0)),"")</f>
      </c>
      <c r="I15" s="24">
        <f>IFERROR(INDEX(_datos!$H$2:$H$401,MATCH(ROW()-13,_datos!$K$2:$K$401,0)),"")</f>
      </c>
      <c r="J15" s="22">
        <f>IFERROR(INDEX(_datos!$I$2:$I$401,MATCH(ROW()-13,_datos!$K$2:$K$401,0)),"")</f>
      </c>
      <c r="K15" s="44">
        <f>IFERROR(HYPERLINK(INDEX(_datos!$J$2:$J$401,MATCH(ROW()-13,_datos!$K$2:$K$401,0)),"abrir mapa"),"")</f>
      </c>
    </row>
    <row r="16" ht="18.75" customHeight="1" spans="2:11" x14ac:dyDescent="0.25">
      <c r="B16" s="20">
        <f>IFERROR(INDEX(_datos!$A$2:$A$401,MATCH(ROW()-13,_datos!$K$2:$K$401,0)),"")</f>
      </c>
      <c r="C16" s="22">
        <f>IFERROR(INDEX(_datos!$B$2:$B$401,MATCH(ROW()-13,_datos!$K$2:$K$401,0)),"")</f>
      </c>
      <c r="D16" s="43">
        <f>IFERROR(INDEX(_datos!$C$2:$C$401,MATCH(ROW()-13,_datos!$K$2:$K$401,0)),"")</f>
      </c>
      <c r="E16" s="22">
        <f>IFERROR(INDEX(_datos!$D$2:$D$401,MATCH(ROW()-13,_datos!$K$2:$K$401,0)),"")</f>
      </c>
      <c r="F16" s="21">
        <f>IFERROR(INDEX(_datos!$E$2:$E$401,MATCH(ROW()-13,_datos!$K$2:$K$401,0)),"")</f>
      </c>
      <c r="G16" s="23">
        <f>IFERROR(INDEX(_datos!$F$2:$F$401,MATCH(ROW()-13,_datos!$K$2:$K$401,0)),"")</f>
      </c>
      <c r="H16" s="21">
        <f>IFERROR(INDEX(_datos!$G$2:$G$401,MATCH(ROW()-13,_datos!$K$2:$K$401,0)),"")</f>
      </c>
      <c r="I16" s="24">
        <f>IFERROR(INDEX(_datos!$H$2:$H$401,MATCH(ROW()-13,_datos!$K$2:$K$401,0)),"")</f>
      </c>
      <c r="J16" s="22">
        <f>IFERROR(INDEX(_datos!$I$2:$I$401,MATCH(ROW()-13,_datos!$K$2:$K$401,0)),"")</f>
      </c>
      <c r="K16" s="44">
        <f>IFERROR(HYPERLINK(INDEX(_datos!$J$2:$J$401,MATCH(ROW()-13,_datos!$K$2:$K$401,0)),"abrir mapa"),"")</f>
      </c>
    </row>
    <row r="17" ht="18.75" customHeight="1" spans="2:11" x14ac:dyDescent="0.25">
      <c r="B17" s="20">
        <f>IFERROR(INDEX(_datos!$A$2:$A$401,MATCH(ROW()-13,_datos!$K$2:$K$401,0)),"")</f>
      </c>
      <c r="C17" s="22">
        <f>IFERROR(INDEX(_datos!$B$2:$B$401,MATCH(ROW()-13,_datos!$K$2:$K$401,0)),"")</f>
      </c>
      <c r="D17" s="43">
        <f>IFERROR(INDEX(_datos!$C$2:$C$401,MATCH(ROW()-13,_datos!$K$2:$K$401,0)),"")</f>
      </c>
      <c r="E17" s="22">
        <f>IFERROR(INDEX(_datos!$D$2:$D$401,MATCH(ROW()-13,_datos!$K$2:$K$401,0)),"")</f>
      </c>
      <c r="F17" s="21">
        <f>IFERROR(INDEX(_datos!$E$2:$E$401,MATCH(ROW()-13,_datos!$K$2:$K$401,0)),"")</f>
      </c>
      <c r="G17" s="23">
        <f>IFERROR(INDEX(_datos!$F$2:$F$401,MATCH(ROW()-13,_datos!$K$2:$K$401,0)),"")</f>
      </c>
      <c r="H17" s="21">
        <f>IFERROR(INDEX(_datos!$G$2:$G$401,MATCH(ROW()-13,_datos!$K$2:$K$401,0)),"")</f>
      </c>
      <c r="I17" s="24">
        <f>IFERROR(INDEX(_datos!$H$2:$H$401,MATCH(ROW()-13,_datos!$K$2:$K$401,0)),"")</f>
      </c>
      <c r="J17" s="22">
        <f>IFERROR(INDEX(_datos!$I$2:$I$401,MATCH(ROW()-13,_datos!$K$2:$K$401,0)),"")</f>
      </c>
      <c r="K17" s="44">
        <f>IFERROR(HYPERLINK(INDEX(_datos!$J$2:$J$401,MATCH(ROW()-13,_datos!$K$2:$K$401,0)),"abrir mapa"),"")</f>
      </c>
    </row>
    <row r="18" ht="18.75" customHeight="1" spans="2:11" x14ac:dyDescent="0.25">
      <c r="B18" s="20">
        <f>IFERROR(INDEX(_datos!$A$2:$A$401,MATCH(ROW()-13,_datos!$K$2:$K$401,0)),"")</f>
      </c>
      <c r="C18" s="22">
        <f>IFERROR(INDEX(_datos!$B$2:$B$401,MATCH(ROW()-13,_datos!$K$2:$K$401,0)),"")</f>
      </c>
      <c r="D18" s="43">
        <f>IFERROR(INDEX(_datos!$C$2:$C$401,MATCH(ROW()-13,_datos!$K$2:$K$401,0)),"")</f>
      </c>
      <c r="E18" s="22">
        <f>IFERROR(INDEX(_datos!$D$2:$D$401,MATCH(ROW()-13,_datos!$K$2:$K$401,0)),"")</f>
      </c>
      <c r="F18" s="21">
        <f>IFERROR(INDEX(_datos!$E$2:$E$401,MATCH(ROW()-13,_datos!$K$2:$K$401,0)),"")</f>
      </c>
      <c r="G18" s="23">
        <f>IFERROR(INDEX(_datos!$F$2:$F$401,MATCH(ROW()-13,_datos!$K$2:$K$401,0)),"")</f>
      </c>
      <c r="H18" s="21">
        <f>IFERROR(INDEX(_datos!$G$2:$G$401,MATCH(ROW()-13,_datos!$K$2:$K$401,0)),"")</f>
      </c>
      <c r="I18" s="24">
        <f>IFERROR(INDEX(_datos!$H$2:$H$401,MATCH(ROW()-13,_datos!$K$2:$K$401,0)),"")</f>
      </c>
      <c r="J18" s="22">
        <f>IFERROR(INDEX(_datos!$I$2:$I$401,MATCH(ROW()-13,_datos!$K$2:$K$401,0)),"")</f>
      </c>
      <c r="K18" s="44">
        <f>IFERROR(HYPERLINK(INDEX(_datos!$J$2:$J$401,MATCH(ROW()-13,_datos!$K$2:$K$401,0)),"abrir mapa"),"")</f>
      </c>
    </row>
    <row r="19" ht="18.75" customHeight="1" spans="2:11" x14ac:dyDescent="0.25">
      <c r="B19" s="20">
        <f>IFERROR(INDEX(_datos!$A$2:$A$401,MATCH(ROW()-13,_datos!$K$2:$K$401,0)),"")</f>
      </c>
      <c r="C19" s="22">
        <f>IFERROR(INDEX(_datos!$B$2:$B$401,MATCH(ROW()-13,_datos!$K$2:$K$401,0)),"")</f>
      </c>
      <c r="D19" s="43">
        <f>IFERROR(INDEX(_datos!$C$2:$C$401,MATCH(ROW()-13,_datos!$K$2:$K$401,0)),"")</f>
      </c>
      <c r="E19" s="22">
        <f>IFERROR(INDEX(_datos!$D$2:$D$401,MATCH(ROW()-13,_datos!$K$2:$K$401,0)),"")</f>
      </c>
      <c r="F19" s="21">
        <f>IFERROR(INDEX(_datos!$E$2:$E$401,MATCH(ROW()-13,_datos!$K$2:$K$401,0)),"")</f>
      </c>
      <c r="G19" s="23">
        <f>IFERROR(INDEX(_datos!$F$2:$F$401,MATCH(ROW()-13,_datos!$K$2:$K$401,0)),"")</f>
      </c>
      <c r="H19" s="21">
        <f>IFERROR(INDEX(_datos!$G$2:$G$401,MATCH(ROW()-13,_datos!$K$2:$K$401,0)),"")</f>
      </c>
      <c r="I19" s="24">
        <f>IFERROR(INDEX(_datos!$H$2:$H$401,MATCH(ROW()-13,_datos!$K$2:$K$401,0)),"")</f>
      </c>
      <c r="J19" s="22">
        <f>IFERROR(INDEX(_datos!$I$2:$I$401,MATCH(ROW()-13,_datos!$K$2:$K$401,0)),"")</f>
      </c>
      <c r="K19" s="44">
        <f>IFERROR(HYPERLINK(INDEX(_datos!$J$2:$J$401,MATCH(ROW()-13,_datos!$K$2:$K$401,0)),"abrir mapa"),"")</f>
      </c>
    </row>
    <row r="20" ht="18.75" customHeight="1" spans="2:11" x14ac:dyDescent="0.25">
      <c r="B20" s="20">
        <f>IFERROR(INDEX(_datos!$A$2:$A$401,MATCH(ROW()-13,_datos!$K$2:$K$401,0)),"")</f>
      </c>
      <c r="C20" s="22">
        <f>IFERROR(INDEX(_datos!$B$2:$B$401,MATCH(ROW()-13,_datos!$K$2:$K$401,0)),"")</f>
      </c>
      <c r="D20" s="43">
        <f>IFERROR(INDEX(_datos!$C$2:$C$401,MATCH(ROW()-13,_datos!$K$2:$K$401,0)),"")</f>
      </c>
      <c r="E20" s="22">
        <f>IFERROR(INDEX(_datos!$D$2:$D$401,MATCH(ROW()-13,_datos!$K$2:$K$401,0)),"")</f>
      </c>
      <c r="F20" s="21">
        <f>IFERROR(INDEX(_datos!$E$2:$E$401,MATCH(ROW()-13,_datos!$K$2:$K$401,0)),"")</f>
      </c>
      <c r="G20" s="23">
        <f>IFERROR(INDEX(_datos!$F$2:$F$401,MATCH(ROW()-13,_datos!$K$2:$K$401,0)),"")</f>
      </c>
      <c r="H20" s="21">
        <f>IFERROR(INDEX(_datos!$G$2:$G$401,MATCH(ROW()-13,_datos!$K$2:$K$401,0)),"")</f>
      </c>
      <c r="I20" s="24">
        <f>IFERROR(INDEX(_datos!$H$2:$H$401,MATCH(ROW()-13,_datos!$K$2:$K$401,0)),"")</f>
      </c>
      <c r="J20" s="22">
        <f>IFERROR(INDEX(_datos!$I$2:$I$401,MATCH(ROW()-13,_datos!$K$2:$K$401,0)),"")</f>
      </c>
      <c r="K20" s="44">
        <f>IFERROR(HYPERLINK(INDEX(_datos!$J$2:$J$401,MATCH(ROW()-13,_datos!$K$2:$K$401,0)),"abrir mapa"),"")</f>
      </c>
    </row>
    <row r="21" ht="18.75" customHeight="1" spans="2:11" x14ac:dyDescent="0.25">
      <c r="B21" s="20">
        <f>IFERROR(INDEX(_datos!$A$2:$A$401,MATCH(ROW()-13,_datos!$K$2:$K$401,0)),"")</f>
      </c>
      <c r="C21" s="22">
        <f>IFERROR(INDEX(_datos!$B$2:$B$401,MATCH(ROW()-13,_datos!$K$2:$K$401,0)),"")</f>
      </c>
      <c r="D21" s="43">
        <f>IFERROR(INDEX(_datos!$C$2:$C$401,MATCH(ROW()-13,_datos!$K$2:$K$401,0)),"")</f>
      </c>
      <c r="E21" s="22">
        <f>IFERROR(INDEX(_datos!$D$2:$D$401,MATCH(ROW()-13,_datos!$K$2:$K$401,0)),"")</f>
      </c>
      <c r="F21" s="21">
        <f>IFERROR(INDEX(_datos!$E$2:$E$401,MATCH(ROW()-13,_datos!$K$2:$K$401,0)),"")</f>
      </c>
      <c r="G21" s="23">
        <f>IFERROR(INDEX(_datos!$F$2:$F$401,MATCH(ROW()-13,_datos!$K$2:$K$401,0)),"")</f>
      </c>
      <c r="H21" s="21">
        <f>IFERROR(INDEX(_datos!$G$2:$G$401,MATCH(ROW()-13,_datos!$K$2:$K$401,0)),"")</f>
      </c>
      <c r="I21" s="24">
        <f>IFERROR(INDEX(_datos!$H$2:$H$401,MATCH(ROW()-13,_datos!$K$2:$K$401,0)),"")</f>
      </c>
      <c r="J21" s="22">
        <f>IFERROR(INDEX(_datos!$I$2:$I$401,MATCH(ROW()-13,_datos!$K$2:$K$401,0)),"")</f>
      </c>
      <c r="K21" s="44">
        <f>IFERROR(HYPERLINK(INDEX(_datos!$J$2:$J$401,MATCH(ROW()-13,_datos!$K$2:$K$401,0)),"abrir mapa"),"")</f>
      </c>
    </row>
    <row r="22" ht="18.75" customHeight="1" spans="2:11" x14ac:dyDescent="0.25">
      <c r="B22" s="20">
        <f>IFERROR(INDEX(_datos!$A$2:$A$401,MATCH(ROW()-13,_datos!$K$2:$K$401,0)),"")</f>
      </c>
      <c r="C22" s="22">
        <f>IFERROR(INDEX(_datos!$B$2:$B$401,MATCH(ROW()-13,_datos!$K$2:$K$401,0)),"")</f>
      </c>
      <c r="D22" s="43">
        <f>IFERROR(INDEX(_datos!$C$2:$C$401,MATCH(ROW()-13,_datos!$K$2:$K$401,0)),"")</f>
      </c>
      <c r="E22" s="22">
        <f>IFERROR(INDEX(_datos!$D$2:$D$401,MATCH(ROW()-13,_datos!$K$2:$K$401,0)),"")</f>
      </c>
      <c r="F22" s="21">
        <f>IFERROR(INDEX(_datos!$E$2:$E$401,MATCH(ROW()-13,_datos!$K$2:$K$401,0)),"")</f>
      </c>
      <c r="G22" s="23">
        <f>IFERROR(INDEX(_datos!$F$2:$F$401,MATCH(ROW()-13,_datos!$K$2:$K$401,0)),"")</f>
      </c>
      <c r="H22" s="21">
        <f>IFERROR(INDEX(_datos!$G$2:$G$401,MATCH(ROW()-13,_datos!$K$2:$K$401,0)),"")</f>
      </c>
      <c r="I22" s="24">
        <f>IFERROR(INDEX(_datos!$H$2:$H$401,MATCH(ROW()-13,_datos!$K$2:$K$401,0)),"")</f>
      </c>
      <c r="J22" s="22">
        <f>IFERROR(INDEX(_datos!$I$2:$I$401,MATCH(ROW()-13,_datos!$K$2:$K$401,0)),"")</f>
      </c>
      <c r="K22" s="44">
        <f>IFERROR(HYPERLINK(INDEX(_datos!$J$2:$J$401,MATCH(ROW()-13,_datos!$K$2:$K$401,0)),"abrir mapa"),"")</f>
      </c>
    </row>
    <row r="23" ht="18.75" customHeight="1" spans="2:11" x14ac:dyDescent="0.25">
      <c r="B23" s="20">
        <f>IFERROR(INDEX(_datos!$A$2:$A$401,MATCH(ROW()-13,_datos!$K$2:$K$401,0)),"")</f>
      </c>
      <c r="C23" s="22">
        <f>IFERROR(INDEX(_datos!$B$2:$B$401,MATCH(ROW()-13,_datos!$K$2:$K$401,0)),"")</f>
      </c>
      <c r="D23" s="43">
        <f>IFERROR(INDEX(_datos!$C$2:$C$401,MATCH(ROW()-13,_datos!$K$2:$K$401,0)),"")</f>
      </c>
      <c r="E23" s="22">
        <f>IFERROR(INDEX(_datos!$D$2:$D$401,MATCH(ROW()-13,_datos!$K$2:$K$401,0)),"")</f>
      </c>
      <c r="F23" s="21">
        <f>IFERROR(INDEX(_datos!$E$2:$E$401,MATCH(ROW()-13,_datos!$K$2:$K$401,0)),"")</f>
      </c>
      <c r="G23" s="23">
        <f>IFERROR(INDEX(_datos!$F$2:$F$401,MATCH(ROW()-13,_datos!$K$2:$K$401,0)),"")</f>
      </c>
      <c r="H23" s="21">
        <f>IFERROR(INDEX(_datos!$G$2:$G$401,MATCH(ROW()-13,_datos!$K$2:$K$401,0)),"")</f>
      </c>
      <c r="I23" s="24">
        <f>IFERROR(INDEX(_datos!$H$2:$H$401,MATCH(ROW()-13,_datos!$K$2:$K$401,0)),"")</f>
      </c>
      <c r="J23" s="22">
        <f>IFERROR(INDEX(_datos!$I$2:$I$401,MATCH(ROW()-13,_datos!$K$2:$K$401,0)),"")</f>
      </c>
      <c r="K23" s="44">
        <f>IFERROR(HYPERLINK(INDEX(_datos!$J$2:$J$401,MATCH(ROW()-13,_datos!$K$2:$K$401,0)),"abrir mapa"),"")</f>
      </c>
    </row>
    <row r="24" ht="18.75" customHeight="1" spans="2:11" x14ac:dyDescent="0.25">
      <c r="B24" s="20">
        <f>IFERROR(INDEX(_datos!$A$2:$A$401,MATCH(ROW()-13,_datos!$K$2:$K$401,0)),"")</f>
      </c>
      <c r="C24" s="22">
        <f>IFERROR(INDEX(_datos!$B$2:$B$401,MATCH(ROW()-13,_datos!$K$2:$K$401,0)),"")</f>
      </c>
      <c r="D24" s="43">
        <f>IFERROR(INDEX(_datos!$C$2:$C$401,MATCH(ROW()-13,_datos!$K$2:$K$401,0)),"")</f>
      </c>
      <c r="E24" s="22">
        <f>IFERROR(INDEX(_datos!$D$2:$D$401,MATCH(ROW()-13,_datos!$K$2:$K$401,0)),"")</f>
      </c>
      <c r="F24" s="21">
        <f>IFERROR(INDEX(_datos!$E$2:$E$401,MATCH(ROW()-13,_datos!$K$2:$K$401,0)),"")</f>
      </c>
      <c r="G24" s="23">
        <f>IFERROR(INDEX(_datos!$F$2:$F$401,MATCH(ROW()-13,_datos!$K$2:$K$401,0)),"")</f>
      </c>
      <c r="H24" s="21">
        <f>IFERROR(INDEX(_datos!$G$2:$G$401,MATCH(ROW()-13,_datos!$K$2:$K$401,0)),"")</f>
      </c>
      <c r="I24" s="24">
        <f>IFERROR(INDEX(_datos!$H$2:$H$401,MATCH(ROW()-13,_datos!$K$2:$K$401,0)),"")</f>
      </c>
      <c r="J24" s="22">
        <f>IFERROR(INDEX(_datos!$I$2:$I$401,MATCH(ROW()-13,_datos!$K$2:$K$401,0)),"")</f>
      </c>
      <c r="K24" s="44">
        <f>IFERROR(HYPERLINK(INDEX(_datos!$J$2:$J$401,MATCH(ROW()-13,_datos!$K$2:$K$401,0)),"abrir mapa"),"")</f>
      </c>
    </row>
    <row r="25" ht="18.75" customHeight="1" spans="2:11" x14ac:dyDescent="0.25">
      <c r="B25" s="20">
        <f>IFERROR(INDEX(_datos!$A$2:$A$401,MATCH(ROW()-13,_datos!$K$2:$K$401,0)),"")</f>
      </c>
      <c r="C25" s="22">
        <f>IFERROR(INDEX(_datos!$B$2:$B$401,MATCH(ROW()-13,_datos!$K$2:$K$401,0)),"")</f>
      </c>
      <c r="D25" s="43">
        <f>IFERROR(INDEX(_datos!$C$2:$C$401,MATCH(ROW()-13,_datos!$K$2:$K$401,0)),"")</f>
      </c>
      <c r="E25" s="22">
        <f>IFERROR(INDEX(_datos!$D$2:$D$401,MATCH(ROW()-13,_datos!$K$2:$K$401,0)),"")</f>
      </c>
      <c r="F25" s="21">
        <f>IFERROR(INDEX(_datos!$E$2:$E$401,MATCH(ROW()-13,_datos!$K$2:$K$401,0)),"")</f>
      </c>
      <c r="G25" s="23">
        <f>IFERROR(INDEX(_datos!$F$2:$F$401,MATCH(ROW()-13,_datos!$K$2:$K$401,0)),"")</f>
      </c>
      <c r="H25" s="21">
        <f>IFERROR(INDEX(_datos!$G$2:$G$401,MATCH(ROW()-13,_datos!$K$2:$K$401,0)),"")</f>
      </c>
      <c r="I25" s="24">
        <f>IFERROR(INDEX(_datos!$H$2:$H$401,MATCH(ROW()-13,_datos!$K$2:$K$401,0)),"")</f>
      </c>
      <c r="J25" s="22">
        <f>IFERROR(INDEX(_datos!$I$2:$I$401,MATCH(ROW()-13,_datos!$K$2:$K$401,0)),"")</f>
      </c>
      <c r="K25" s="44">
        <f>IFERROR(HYPERLINK(INDEX(_datos!$J$2:$J$401,MATCH(ROW()-13,_datos!$K$2:$K$401,0)),"abrir mapa"),"")</f>
      </c>
    </row>
    <row r="26" ht="18.75" customHeight="1" spans="2:11" x14ac:dyDescent="0.25">
      <c r="B26" s="20">
        <f>IFERROR(INDEX(_datos!$A$2:$A$401,MATCH(ROW()-13,_datos!$K$2:$K$401,0)),"")</f>
      </c>
      <c r="C26" s="22">
        <f>IFERROR(INDEX(_datos!$B$2:$B$401,MATCH(ROW()-13,_datos!$K$2:$K$401,0)),"")</f>
      </c>
      <c r="D26" s="43">
        <f>IFERROR(INDEX(_datos!$C$2:$C$401,MATCH(ROW()-13,_datos!$K$2:$K$401,0)),"")</f>
      </c>
      <c r="E26" s="22">
        <f>IFERROR(INDEX(_datos!$D$2:$D$401,MATCH(ROW()-13,_datos!$K$2:$K$401,0)),"")</f>
      </c>
      <c r="F26" s="21">
        <f>IFERROR(INDEX(_datos!$E$2:$E$401,MATCH(ROW()-13,_datos!$K$2:$K$401,0)),"")</f>
      </c>
      <c r="G26" s="23">
        <f>IFERROR(INDEX(_datos!$F$2:$F$401,MATCH(ROW()-13,_datos!$K$2:$K$401,0)),"")</f>
      </c>
      <c r="H26" s="21">
        <f>IFERROR(INDEX(_datos!$G$2:$G$401,MATCH(ROW()-13,_datos!$K$2:$K$401,0)),"")</f>
      </c>
      <c r="I26" s="24">
        <f>IFERROR(INDEX(_datos!$H$2:$H$401,MATCH(ROW()-13,_datos!$K$2:$K$401,0)),"")</f>
      </c>
      <c r="J26" s="22">
        <f>IFERROR(INDEX(_datos!$I$2:$I$401,MATCH(ROW()-13,_datos!$K$2:$K$401,0)),"")</f>
      </c>
      <c r="K26" s="44">
        <f>IFERROR(HYPERLINK(INDEX(_datos!$J$2:$J$401,MATCH(ROW()-13,_datos!$K$2:$K$401,0)),"abrir mapa"),"")</f>
      </c>
    </row>
    <row r="27" ht="18.75" customHeight="1" spans="2:11" x14ac:dyDescent="0.25">
      <c r="B27" s="20">
        <f>IFERROR(INDEX(_datos!$A$2:$A$401,MATCH(ROW()-13,_datos!$K$2:$K$401,0)),"")</f>
      </c>
      <c r="C27" s="22">
        <f>IFERROR(INDEX(_datos!$B$2:$B$401,MATCH(ROW()-13,_datos!$K$2:$K$401,0)),"")</f>
      </c>
      <c r="D27" s="43">
        <f>IFERROR(INDEX(_datos!$C$2:$C$401,MATCH(ROW()-13,_datos!$K$2:$K$401,0)),"")</f>
      </c>
      <c r="E27" s="22">
        <f>IFERROR(INDEX(_datos!$D$2:$D$401,MATCH(ROW()-13,_datos!$K$2:$K$401,0)),"")</f>
      </c>
      <c r="F27" s="21">
        <f>IFERROR(INDEX(_datos!$E$2:$E$401,MATCH(ROW()-13,_datos!$K$2:$K$401,0)),"")</f>
      </c>
      <c r="G27" s="23">
        <f>IFERROR(INDEX(_datos!$F$2:$F$401,MATCH(ROW()-13,_datos!$K$2:$K$401,0)),"")</f>
      </c>
      <c r="H27" s="21">
        <f>IFERROR(INDEX(_datos!$G$2:$G$401,MATCH(ROW()-13,_datos!$K$2:$K$401,0)),"")</f>
      </c>
      <c r="I27" s="24">
        <f>IFERROR(INDEX(_datos!$H$2:$H$401,MATCH(ROW()-13,_datos!$K$2:$K$401,0)),"")</f>
      </c>
      <c r="J27" s="22">
        <f>IFERROR(INDEX(_datos!$I$2:$I$401,MATCH(ROW()-13,_datos!$K$2:$K$401,0)),"")</f>
      </c>
      <c r="K27" s="44">
        <f>IFERROR(HYPERLINK(INDEX(_datos!$J$2:$J$401,MATCH(ROW()-13,_datos!$K$2:$K$401,0)),"abrir mapa"),"")</f>
      </c>
    </row>
    <row r="28" ht="18.75" customHeight="1" spans="2:11" x14ac:dyDescent="0.25">
      <c r="B28" s="20">
        <f>IFERROR(INDEX(_datos!$A$2:$A$401,MATCH(ROW()-13,_datos!$K$2:$K$401,0)),"")</f>
      </c>
      <c r="C28" s="22">
        <f>IFERROR(INDEX(_datos!$B$2:$B$401,MATCH(ROW()-13,_datos!$K$2:$K$401,0)),"")</f>
      </c>
      <c r="D28" s="43">
        <f>IFERROR(INDEX(_datos!$C$2:$C$401,MATCH(ROW()-13,_datos!$K$2:$K$401,0)),"")</f>
      </c>
      <c r="E28" s="22">
        <f>IFERROR(INDEX(_datos!$D$2:$D$401,MATCH(ROW()-13,_datos!$K$2:$K$401,0)),"")</f>
      </c>
      <c r="F28" s="21">
        <f>IFERROR(INDEX(_datos!$E$2:$E$401,MATCH(ROW()-13,_datos!$K$2:$K$401,0)),"")</f>
      </c>
      <c r="G28" s="23">
        <f>IFERROR(INDEX(_datos!$F$2:$F$401,MATCH(ROW()-13,_datos!$K$2:$K$401,0)),"")</f>
      </c>
      <c r="H28" s="21">
        <f>IFERROR(INDEX(_datos!$G$2:$G$401,MATCH(ROW()-13,_datos!$K$2:$K$401,0)),"")</f>
      </c>
      <c r="I28" s="24">
        <f>IFERROR(INDEX(_datos!$H$2:$H$401,MATCH(ROW()-13,_datos!$K$2:$K$401,0)),"")</f>
      </c>
      <c r="J28" s="22">
        <f>IFERROR(INDEX(_datos!$I$2:$I$401,MATCH(ROW()-13,_datos!$K$2:$K$401,0)),"")</f>
      </c>
      <c r="K28" s="44">
        <f>IFERROR(HYPERLINK(INDEX(_datos!$J$2:$J$401,MATCH(ROW()-13,_datos!$K$2:$K$401,0)),"abrir mapa"),"")</f>
      </c>
    </row>
    <row r="29" ht="18.75" customHeight="1" spans="2:11" x14ac:dyDescent="0.25">
      <c r="B29" s="20">
        <f>IFERROR(INDEX(_datos!$A$2:$A$401,MATCH(ROW()-13,_datos!$K$2:$K$401,0)),"")</f>
      </c>
      <c r="C29" s="22">
        <f>IFERROR(INDEX(_datos!$B$2:$B$401,MATCH(ROW()-13,_datos!$K$2:$K$401,0)),"")</f>
      </c>
      <c r="D29" s="43">
        <f>IFERROR(INDEX(_datos!$C$2:$C$401,MATCH(ROW()-13,_datos!$K$2:$K$401,0)),"")</f>
      </c>
      <c r="E29" s="22">
        <f>IFERROR(INDEX(_datos!$D$2:$D$401,MATCH(ROW()-13,_datos!$K$2:$K$401,0)),"")</f>
      </c>
      <c r="F29" s="21">
        <f>IFERROR(INDEX(_datos!$E$2:$E$401,MATCH(ROW()-13,_datos!$K$2:$K$401,0)),"")</f>
      </c>
      <c r="G29" s="23">
        <f>IFERROR(INDEX(_datos!$F$2:$F$401,MATCH(ROW()-13,_datos!$K$2:$K$401,0)),"")</f>
      </c>
      <c r="H29" s="21">
        <f>IFERROR(INDEX(_datos!$G$2:$G$401,MATCH(ROW()-13,_datos!$K$2:$K$401,0)),"")</f>
      </c>
      <c r="I29" s="24">
        <f>IFERROR(INDEX(_datos!$H$2:$H$401,MATCH(ROW()-13,_datos!$K$2:$K$401,0)),"")</f>
      </c>
      <c r="J29" s="22">
        <f>IFERROR(INDEX(_datos!$I$2:$I$401,MATCH(ROW()-13,_datos!$K$2:$K$401,0)),"")</f>
      </c>
      <c r="K29" s="44">
        <f>IFERROR(HYPERLINK(INDEX(_datos!$J$2:$J$401,MATCH(ROW()-13,_datos!$K$2:$K$401,0)),"abrir mapa"),"")</f>
      </c>
    </row>
    <row r="30" ht="18.75" customHeight="1" spans="2:11" x14ac:dyDescent="0.25">
      <c r="B30" s="20">
        <f>IFERROR(INDEX(_datos!$A$2:$A$401,MATCH(ROW()-13,_datos!$K$2:$K$401,0)),"")</f>
      </c>
      <c r="C30" s="22">
        <f>IFERROR(INDEX(_datos!$B$2:$B$401,MATCH(ROW()-13,_datos!$K$2:$K$401,0)),"")</f>
      </c>
      <c r="D30" s="43">
        <f>IFERROR(INDEX(_datos!$C$2:$C$401,MATCH(ROW()-13,_datos!$K$2:$K$401,0)),"")</f>
      </c>
      <c r="E30" s="22">
        <f>IFERROR(INDEX(_datos!$D$2:$D$401,MATCH(ROW()-13,_datos!$K$2:$K$401,0)),"")</f>
      </c>
      <c r="F30" s="21">
        <f>IFERROR(INDEX(_datos!$E$2:$E$401,MATCH(ROW()-13,_datos!$K$2:$K$401,0)),"")</f>
      </c>
      <c r="G30" s="23">
        <f>IFERROR(INDEX(_datos!$F$2:$F$401,MATCH(ROW()-13,_datos!$K$2:$K$401,0)),"")</f>
      </c>
      <c r="H30" s="21">
        <f>IFERROR(INDEX(_datos!$G$2:$G$401,MATCH(ROW()-13,_datos!$K$2:$K$401,0)),"")</f>
      </c>
      <c r="I30" s="24">
        <f>IFERROR(INDEX(_datos!$H$2:$H$401,MATCH(ROW()-13,_datos!$K$2:$K$401,0)),"")</f>
      </c>
      <c r="J30" s="22">
        <f>IFERROR(INDEX(_datos!$I$2:$I$401,MATCH(ROW()-13,_datos!$K$2:$K$401,0)),"")</f>
      </c>
      <c r="K30" s="44">
        <f>IFERROR(HYPERLINK(INDEX(_datos!$J$2:$J$401,MATCH(ROW()-13,_datos!$K$2:$K$401,0)),"abrir mapa"),"")</f>
      </c>
    </row>
    <row r="31" ht="18.75" customHeight="1" spans="2:11" x14ac:dyDescent="0.25">
      <c r="B31" s="20">
        <f>IFERROR(INDEX(_datos!$A$2:$A$401,MATCH(ROW()-13,_datos!$K$2:$K$401,0)),"")</f>
      </c>
      <c r="C31" s="22">
        <f>IFERROR(INDEX(_datos!$B$2:$B$401,MATCH(ROW()-13,_datos!$K$2:$K$401,0)),"")</f>
      </c>
      <c r="D31" s="43">
        <f>IFERROR(INDEX(_datos!$C$2:$C$401,MATCH(ROW()-13,_datos!$K$2:$K$401,0)),"")</f>
      </c>
      <c r="E31" s="22">
        <f>IFERROR(INDEX(_datos!$D$2:$D$401,MATCH(ROW()-13,_datos!$K$2:$K$401,0)),"")</f>
      </c>
      <c r="F31" s="21">
        <f>IFERROR(INDEX(_datos!$E$2:$E$401,MATCH(ROW()-13,_datos!$K$2:$K$401,0)),"")</f>
      </c>
      <c r="G31" s="23">
        <f>IFERROR(INDEX(_datos!$F$2:$F$401,MATCH(ROW()-13,_datos!$K$2:$K$401,0)),"")</f>
      </c>
      <c r="H31" s="21">
        <f>IFERROR(INDEX(_datos!$G$2:$G$401,MATCH(ROW()-13,_datos!$K$2:$K$401,0)),"")</f>
      </c>
      <c r="I31" s="24">
        <f>IFERROR(INDEX(_datos!$H$2:$H$401,MATCH(ROW()-13,_datos!$K$2:$K$401,0)),"")</f>
      </c>
      <c r="J31" s="22">
        <f>IFERROR(INDEX(_datos!$I$2:$I$401,MATCH(ROW()-13,_datos!$K$2:$K$401,0)),"")</f>
      </c>
      <c r="K31" s="44">
        <f>IFERROR(HYPERLINK(INDEX(_datos!$J$2:$J$401,MATCH(ROW()-13,_datos!$K$2:$K$401,0)),"abrir mapa"),"")</f>
      </c>
    </row>
    <row r="32" ht="18.75" customHeight="1" spans="2:11" x14ac:dyDescent="0.25">
      <c r="B32" s="20">
        <f>IFERROR(INDEX(_datos!$A$2:$A$401,MATCH(ROW()-13,_datos!$K$2:$K$401,0)),"")</f>
      </c>
      <c r="C32" s="22">
        <f>IFERROR(INDEX(_datos!$B$2:$B$401,MATCH(ROW()-13,_datos!$K$2:$K$401,0)),"")</f>
      </c>
      <c r="D32" s="43">
        <f>IFERROR(INDEX(_datos!$C$2:$C$401,MATCH(ROW()-13,_datos!$K$2:$K$401,0)),"")</f>
      </c>
      <c r="E32" s="22">
        <f>IFERROR(INDEX(_datos!$D$2:$D$401,MATCH(ROW()-13,_datos!$K$2:$K$401,0)),"")</f>
      </c>
      <c r="F32" s="21">
        <f>IFERROR(INDEX(_datos!$E$2:$E$401,MATCH(ROW()-13,_datos!$K$2:$K$401,0)),"")</f>
      </c>
      <c r="G32" s="23">
        <f>IFERROR(INDEX(_datos!$F$2:$F$401,MATCH(ROW()-13,_datos!$K$2:$K$401,0)),"")</f>
      </c>
      <c r="H32" s="21">
        <f>IFERROR(INDEX(_datos!$G$2:$G$401,MATCH(ROW()-13,_datos!$K$2:$K$401,0)),"")</f>
      </c>
      <c r="I32" s="24">
        <f>IFERROR(INDEX(_datos!$H$2:$H$401,MATCH(ROW()-13,_datos!$K$2:$K$401,0)),"")</f>
      </c>
      <c r="J32" s="22">
        <f>IFERROR(INDEX(_datos!$I$2:$I$401,MATCH(ROW()-13,_datos!$K$2:$K$401,0)),"")</f>
      </c>
      <c r="K32" s="44">
        <f>IFERROR(HYPERLINK(INDEX(_datos!$J$2:$J$401,MATCH(ROW()-13,_datos!$K$2:$K$401,0)),"abrir mapa"),"")</f>
      </c>
    </row>
    <row r="33" ht="18.75" customHeight="1" spans="2:11" x14ac:dyDescent="0.25">
      <c r="B33" s="20">
        <f>IFERROR(INDEX(_datos!$A$2:$A$401,MATCH(ROW()-13,_datos!$K$2:$K$401,0)),"")</f>
      </c>
      <c r="C33" s="22">
        <f>IFERROR(INDEX(_datos!$B$2:$B$401,MATCH(ROW()-13,_datos!$K$2:$K$401,0)),"")</f>
      </c>
      <c r="D33" s="43">
        <f>IFERROR(INDEX(_datos!$C$2:$C$401,MATCH(ROW()-13,_datos!$K$2:$K$401,0)),"")</f>
      </c>
      <c r="E33" s="22">
        <f>IFERROR(INDEX(_datos!$D$2:$D$401,MATCH(ROW()-13,_datos!$K$2:$K$401,0)),"")</f>
      </c>
      <c r="F33" s="21">
        <f>IFERROR(INDEX(_datos!$E$2:$E$401,MATCH(ROW()-13,_datos!$K$2:$K$401,0)),"")</f>
      </c>
      <c r="G33" s="23">
        <f>IFERROR(INDEX(_datos!$F$2:$F$401,MATCH(ROW()-13,_datos!$K$2:$K$401,0)),"")</f>
      </c>
      <c r="H33" s="21">
        <f>IFERROR(INDEX(_datos!$G$2:$G$401,MATCH(ROW()-13,_datos!$K$2:$K$401,0)),"")</f>
      </c>
      <c r="I33" s="24">
        <f>IFERROR(INDEX(_datos!$H$2:$H$401,MATCH(ROW()-13,_datos!$K$2:$K$401,0)),"")</f>
      </c>
      <c r="J33" s="22">
        <f>IFERROR(INDEX(_datos!$I$2:$I$401,MATCH(ROW()-13,_datos!$K$2:$K$401,0)),"")</f>
      </c>
      <c r="K33" s="44">
        <f>IFERROR(HYPERLINK(INDEX(_datos!$J$2:$J$401,MATCH(ROW()-13,_datos!$K$2:$K$401,0)),"abrir mapa"),"")</f>
      </c>
    </row>
    <row r="34" ht="18.75" customHeight="1" spans="2:11" x14ac:dyDescent="0.25">
      <c r="B34" s="20">
        <f>IFERROR(INDEX(_datos!$A$2:$A$401,MATCH(ROW()-13,_datos!$K$2:$K$401,0)),"")</f>
      </c>
      <c r="C34" s="22">
        <f>IFERROR(INDEX(_datos!$B$2:$B$401,MATCH(ROW()-13,_datos!$K$2:$K$401,0)),"")</f>
      </c>
      <c r="D34" s="43">
        <f>IFERROR(INDEX(_datos!$C$2:$C$401,MATCH(ROW()-13,_datos!$K$2:$K$401,0)),"")</f>
      </c>
      <c r="E34" s="22">
        <f>IFERROR(INDEX(_datos!$D$2:$D$401,MATCH(ROW()-13,_datos!$K$2:$K$401,0)),"")</f>
      </c>
      <c r="F34" s="21">
        <f>IFERROR(INDEX(_datos!$E$2:$E$401,MATCH(ROW()-13,_datos!$K$2:$K$401,0)),"")</f>
      </c>
      <c r="G34" s="23">
        <f>IFERROR(INDEX(_datos!$F$2:$F$401,MATCH(ROW()-13,_datos!$K$2:$K$401,0)),"")</f>
      </c>
      <c r="H34" s="21">
        <f>IFERROR(INDEX(_datos!$G$2:$G$401,MATCH(ROW()-13,_datos!$K$2:$K$401,0)),"")</f>
      </c>
      <c r="I34" s="24">
        <f>IFERROR(INDEX(_datos!$H$2:$H$401,MATCH(ROW()-13,_datos!$K$2:$K$401,0)),"")</f>
      </c>
      <c r="J34" s="22">
        <f>IFERROR(INDEX(_datos!$I$2:$I$401,MATCH(ROW()-13,_datos!$K$2:$K$401,0)),"")</f>
      </c>
      <c r="K34" s="44">
        <f>IFERROR(HYPERLINK(INDEX(_datos!$J$2:$J$401,MATCH(ROW()-13,_datos!$K$2:$K$401,0)),"abrir mapa"),"")</f>
      </c>
    </row>
    <row r="35" ht="18.75" customHeight="1" spans="2:11" x14ac:dyDescent="0.25">
      <c r="B35" s="20">
        <f>IFERROR(INDEX(_datos!$A$2:$A$401,MATCH(ROW()-13,_datos!$K$2:$K$401,0)),"")</f>
      </c>
      <c r="C35" s="22">
        <f>IFERROR(INDEX(_datos!$B$2:$B$401,MATCH(ROW()-13,_datos!$K$2:$K$401,0)),"")</f>
      </c>
      <c r="D35" s="43">
        <f>IFERROR(INDEX(_datos!$C$2:$C$401,MATCH(ROW()-13,_datos!$K$2:$K$401,0)),"")</f>
      </c>
      <c r="E35" s="22">
        <f>IFERROR(INDEX(_datos!$D$2:$D$401,MATCH(ROW()-13,_datos!$K$2:$K$401,0)),"")</f>
      </c>
      <c r="F35" s="21">
        <f>IFERROR(INDEX(_datos!$E$2:$E$401,MATCH(ROW()-13,_datos!$K$2:$K$401,0)),"")</f>
      </c>
      <c r="G35" s="23">
        <f>IFERROR(INDEX(_datos!$F$2:$F$401,MATCH(ROW()-13,_datos!$K$2:$K$401,0)),"")</f>
      </c>
      <c r="H35" s="21">
        <f>IFERROR(INDEX(_datos!$G$2:$G$401,MATCH(ROW()-13,_datos!$K$2:$K$401,0)),"")</f>
      </c>
      <c r="I35" s="24">
        <f>IFERROR(INDEX(_datos!$H$2:$H$401,MATCH(ROW()-13,_datos!$K$2:$K$401,0)),"")</f>
      </c>
      <c r="J35" s="22">
        <f>IFERROR(INDEX(_datos!$I$2:$I$401,MATCH(ROW()-13,_datos!$K$2:$K$401,0)),"")</f>
      </c>
      <c r="K35" s="44">
        <f>IFERROR(HYPERLINK(INDEX(_datos!$J$2:$J$401,MATCH(ROW()-13,_datos!$K$2:$K$401,0)),"abrir mapa"),"")</f>
      </c>
    </row>
    <row r="36" ht="18.75" customHeight="1" spans="2:11" x14ac:dyDescent="0.25">
      <c r="B36" s="20">
        <f>IFERROR(INDEX(_datos!$A$2:$A$401,MATCH(ROW()-13,_datos!$K$2:$K$401,0)),"")</f>
      </c>
      <c r="C36" s="22">
        <f>IFERROR(INDEX(_datos!$B$2:$B$401,MATCH(ROW()-13,_datos!$K$2:$K$401,0)),"")</f>
      </c>
      <c r="D36" s="43">
        <f>IFERROR(INDEX(_datos!$C$2:$C$401,MATCH(ROW()-13,_datos!$K$2:$K$401,0)),"")</f>
      </c>
      <c r="E36" s="22">
        <f>IFERROR(INDEX(_datos!$D$2:$D$401,MATCH(ROW()-13,_datos!$K$2:$K$401,0)),"")</f>
      </c>
      <c r="F36" s="21">
        <f>IFERROR(INDEX(_datos!$E$2:$E$401,MATCH(ROW()-13,_datos!$K$2:$K$401,0)),"")</f>
      </c>
      <c r="G36" s="23">
        <f>IFERROR(INDEX(_datos!$F$2:$F$401,MATCH(ROW()-13,_datos!$K$2:$K$401,0)),"")</f>
      </c>
      <c r="H36" s="21">
        <f>IFERROR(INDEX(_datos!$G$2:$G$401,MATCH(ROW()-13,_datos!$K$2:$K$401,0)),"")</f>
      </c>
      <c r="I36" s="24">
        <f>IFERROR(INDEX(_datos!$H$2:$H$401,MATCH(ROW()-13,_datos!$K$2:$K$401,0)),"")</f>
      </c>
      <c r="J36" s="22">
        <f>IFERROR(INDEX(_datos!$I$2:$I$401,MATCH(ROW()-13,_datos!$K$2:$K$401,0)),"")</f>
      </c>
      <c r="K36" s="44">
        <f>IFERROR(HYPERLINK(INDEX(_datos!$J$2:$J$401,MATCH(ROW()-13,_datos!$K$2:$K$401,0)),"abrir mapa"),"")</f>
      </c>
    </row>
    <row r="37" ht="18.75" customHeight="1" spans="2:11" x14ac:dyDescent="0.25">
      <c r="B37" s="20">
        <f>IFERROR(INDEX(_datos!$A$2:$A$401,MATCH(ROW()-13,_datos!$K$2:$K$401,0)),"")</f>
      </c>
      <c r="C37" s="22">
        <f>IFERROR(INDEX(_datos!$B$2:$B$401,MATCH(ROW()-13,_datos!$K$2:$K$401,0)),"")</f>
      </c>
      <c r="D37" s="43">
        <f>IFERROR(INDEX(_datos!$C$2:$C$401,MATCH(ROW()-13,_datos!$K$2:$K$401,0)),"")</f>
      </c>
      <c r="E37" s="22">
        <f>IFERROR(INDEX(_datos!$D$2:$D$401,MATCH(ROW()-13,_datos!$K$2:$K$401,0)),"")</f>
      </c>
      <c r="F37" s="21">
        <f>IFERROR(INDEX(_datos!$E$2:$E$401,MATCH(ROW()-13,_datos!$K$2:$K$401,0)),"")</f>
      </c>
      <c r="G37" s="23">
        <f>IFERROR(INDEX(_datos!$F$2:$F$401,MATCH(ROW()-13,_datos!$K$2:$K$401,0)),"")</f>
      </c>
      <c r="H37" s="21">
        <f>IFERROR(INDEX(_datos!$G$2:$G$401,MATCH(ROW()-13,_datos!$K$2:$K$401,0)),"")</f>
      </c>
      <c r="I37" s="24">
        <f>IFERROR(INDEX(_datos!$H$2:$H$401,MATCH(ROW()-13,_datos!$K$2:$K$401,0)),"")</f>
      </c>
      <c r="J37" s="22">
        <f>IFERROR(INDEX(_datos!$I$2:$I$401,MATCH(ROW()-13,_datos!$K$2:$K$401,0)),"")</f>
      </c>
      <c r="K37" s="44">
        <f>IFERROR(HYPERLINK(INDEX(_datos!$J$2:$J$401,MATCH(ROW()-13,_datos!$K$2:$K$401,0)),"abrir mapa"),"")</f>
      </c>
    </row>
    <row r="38" ht="18.75" customHeight="1" spans="2:11" x14ac:dyDescent="0.25">
      <c r="B38" s="20">
        <f>IFERROR(INDEX(_datos!$A$2:$A$401,MATCH(ROW()-13,_datos!$K$2:$K$401,0)),"")</f>
      </c>
      <c r="C38" s="22">
        <f>IFERROR(INDEX(_datos!$B$2:$B$401,MATCH(ROW()-13,_datos!$K$2:$K$401,0)),"")</f>
      </c>
      <c r="D38" s="43">
        <f>IFERROR(INDEX(_datos!$C$2:$C$401,MATCH(ROW()-13,_datos!$K$2:$K$401,0)),"")</f>
      </c>
      <c r="E38" s="22">
        <f>IFERROR(INDEX(_datos!$D$2:$D$401,MATCH(ROW()-13,_datos!$K$2:$K$401,0)),"")</f>
      </c>
      <c r="F38" s="21">
        <f>IFERROR(INDEX(_datos!$E$2:$E$401,MATCH(ROW()-13,_datos!$K$2:$K$401,0)),"")</f>
      </c>
      <c r="G38" s="23">
        <f>IFERROR(INDEX(_datos!$F$2:$F$401,MATCH(ROW()-13,_datos!$K$2:$K$401,0)),"")</f>
      </c>
      <c r="H38" s="21">
        <f>IFERROR(INDEX(_datos!$G$2:$G$401,MATCH(ROW()-13,_datos!$K$2:$K$401,0)),"")</f>
      </c>
      <c r="I38" s="24">
        <f>IFERROR(INDEX(_datos!$H$2:$H$401,MATCH(ROW()-13,_datos!$K$2:$K$401,0)),"")</f>
      </c>
      <c r="J38" s="22">
        <f>IFERROR(INDEX(_datos!$I$2:$I$401,MATCH(ROW()-13,_datos!$K$2:$K$401,0)),"")</f>
      </c>
      <c r="K38" s="44">
        <f>IFERROR(HYPERLINK(INDEX(_datos!$J$2:$J$401,MATCH(ROW()-13,_datos!$K$2:$K$401,0)),"abrir mapa"),"")</f>
      </c>
    </row>
    <row r="39" ht="18.75" customHeight="1" spans="2:11" x14ac:dyDescent="0.25">
      <c r="B39" s="20">
        <f>IFERROR(INDEX(_datos!$A$2:$A$401,MATCH(ROW()-13,_datos!$K$2:$K$401,0)),"")</f>
      </c>
      <c r="C39" s="22">
        <f>IFERROR(INDEX(_datos!$B$2:$B$401,MATCH(ROW()-13,_datos!$K$2:$K$401,0)),"")</f>
      </c>
      <c r="D39" s="43">
        <f>IFERROR(INDEX(_datos!$C$2:$C$401,MATCH(ROW()-13,_datos!$K$2:$K$401,0)),"")</f>
      </c>
      <c r="E39" s="22">
        <f>IFERROR(INDEX(_datos!$D$2:$D$401,MATCH(ROW()-13,_datos!$K$2:$K$401,0)),"")</f>
      </c>
      <c r="F39" s="21">
        <f>IFERROR(INDEX(_datos!$E$2:$E$401,MATCH(ROW()-13,_datos!$K$2:$K$401,0)),"")</f>
      </c>
      <c r="G39" s="23">
        <f>IFERROR(INDEX(_datos!$F$2:$F$401,MATCH(ROW()-13,_datos!$K$2:$K$401,0)),"")</f>
      </c>
      <c r="H39" s="21">
        <f>IFERROR(INDEX(_datos!$G$2:$G$401,MATCH(ROW()-13,_datos!$K$2:$K$401,0)),"")</f>
      </c>
      <c r="I39" s="24">
        <f>IFERROR(INDEX(_datos!$H$2:$H$401,MATCH(ROW()-13,_datos!$K$2:$K$401,0)),"")</f>
      </c>
      <c r="J39" s="22">
        <f>IFERROR(INDEX(_datos!$I$2:$I$401,MATCH(ROW()-13,_datos!$K$2:$K$401,0)),"")</f>
      </c>
      <c r="K39" s="44">
        <f>IFERROR(HYPERLINK(INDEX(_datos!$J$2:$J$401,MATCH(ROW()-13,_datos!$K$2:$K$401,0)),"abrir mapa"),"")</f>
      </c>
    </row>
    <row r="40" ht="18.75" customHeight="1" spans="2:11" x14ac:dyDescent="0.25">
      <c r="B40" s="20">
        <f>IFERROR(INDEX(_datos!$A$2:$A$401,MATCH(ROW()-13,_datos!$K$2:$K$401,0)),"")</f>
      </c>
      <c r="C40" s="22">
        <f>IFERROR(INDEX(_datos!$B$2:$B$401,MATCH(ROW()-13,_datos!$K$2:$K$401,0)),"")</f>
      </c>
      <c r="D40" s="43">
        <f>IFERROR(INDEX(_datos!$C$2:$C$401,MATCH(ROW()-13,_datos!$K$2:$K$401,0)),"")</f>
      </c>
      <c r="E40" s="22">
        <f>IFERROR(INDEX(_datos!$D$2:$D$401,MATCH(ROW()-13,_datos!$K$2:$K$401,0)),"")</f>
      </c>
      <c r="F40" s="21">
        <f>IFERROR(INDEX(_datos!$E$2:$E$401,MATCH(ROW()-13,_datos!$K$2:$K$401,0)),"")</f>
      </c>
      <c r="G40" s="23">
        <f>IFERROR(INDEX(_datos!$F$2:$F$401,MATCH(ROW()-13,_datos!$K$2:$K$401,0)),"")</f>
      </c>
      <c r="H40" s="21">
        <f>IFERROR(INDEX(_datos!$G$2:$G$401,MATCH(ROW()-13,_datos!$K$2:$K$401,0)),"")</f>
      </c>
      <c r="I40" s="24">
        <f>IFERROR(INDEX(_datos!$H$2:$H$401,MATCH(ROW()-13,_datos!$K$2:$K$401,0)),"")</f>
      </c>
      <c r="J40" s="22">
        <f>IFERROR(INDEX(_datos!$I$2:$I$401,MATCH(ROW()-13,_datos!$K$2:$K$401,0)),"")</f>
      </c>
      <c r="K40" s="44">
        <f>IFERROR(HYPERLINK(INDEX(_datos!$J$2:$J$401,MATCH(ROW()-13,_datos!$K$2:$K$401,0)),"abrir mapa"),"")</f>
      </c>
    </row>
    <row r="41" ht="18.75" customHeight="1" spans="2:11" x14ac:dyDescent="0.25">
      <c r="B41" s="20">
        <f>IFERROR(INDEX(_datos!$A$2:$A$401,MATCH(ROW()-13,_datos!$K$2:$K$401,0)),"")</f>
      </c>
      <c r="C41" s="22">
        <f>IFERROR(INDEX(_datos!$B$2:$B$401,MATCH(ROW()-13,_datos!$K$2:$K$401,0)),"")</f>
      </c>
      <c r="D41" s="43">
        <f>IFERROR(INDEX(_datos!$C$2:$C$401,MATCH(ROW()-13,_datos!$K$2:$K$401,0)),"")</f>
      </c>
      <c r="E41" s="22">
        <f>IFERROR(INDEX(_datos!$D$2:$D$401,MATCH(ROW()-13,_datos!$K$2:$K$401,0)),"")</f>
      </c>
      <c r="F41" s="21">
        <f>IFERROR(INDEX(_datos!$E$2:$E$401,MATCH(ROW()-13,_datos!$K$2:$K$401,0)),"")</f>
      </c>
      <c r="G41" s="23">
        <f>IFERROR(INDEX(_datos!$F$2:$F$401,MATCH(ROW()-13,_datos!$K$2:$K$401,0)),"")</f>
      </c>
      <c r="H41" s="21">
        <f>IFERROR(INDEX(_datos!$G$2:$G$401,MATCH(ROW()-13,_datos!$K$2:$K$401,0)),"")</f>
      </c>
      <c r="I41" s="24">
        <f>IFERROR(INDEX(_datos!$H$2:$H$401,MATCH(ROW()-13,_datos!$K$2:$K$401,0)),"")</f>
      </c>
      <c r="J41" s="22">
        <f>IFERROR(INDEX(_datos!$I$2:$I$401,MATCH(ROW()-13,_datos!$K$2:$K$401,0)),"")</f>
      </c>
      <c r="K41" s="44">
        <f>IFERROR(HYPERLINK(INDEX(_datos!$J$2:$J$401,MATCH(ROW()-13,_datos!$K$2:$K$401,0)),"abrir mapa"),"")</f>
      </c>
    </row>
    <row r="42" ht="18.75" customHeight="1" spans="2:11" x14ac:dyDescent="0.25">
      <c r="B42" s="20">
        <f>IFERROR(INDEX(_datos!$A$2:$A$401,MATCH(ROW()-13,_datos!$K$2:$K$401,0)),"")</f>
      </c>
      <c r="C42" s="22">
        <f>IFERROR(INDEX(_datos!$B$2:$B$401,MATCH(ROW()-13,_datos!$K$2:$K$401,0)),"")</f>
      </c>
      <c r="D42" s="43">
        <f>IFERROR(INDEX(_datos!$C$2:$C$401,MATCH(ROW()-13,_datos!$K$2:$K$401,0)),"")</f>
      </c>
      <c r="E42" s="22">
        <f>IFERROR(INDEX(_datos!$D$2:$D$401,MATCH(ROW()-13,_datos!$K$2:$K$401,0)),"")</f>
      </c>
      <c r="F42" s="21">
        <f>IFERROR(INDEX(_datos!$E$2:$E$401,MATCH(ROW()-13,_datos!$K$2:$K$401,0)),"")</f>
      </c>
      <c r="G42" s="23">
        <f>IFERROR(INDEX(_datos!$F$2:$F$401,MATCH(ROW()-13,_datos!$K$2:$K$401,0)),"")</f>
      </c>
      <c r="H42" s="21">
        <f>IFERROR(INDEX(_datos!$G$2:$G$401,MATCH(ROW()-13,_datos!$K$2:$K$401,0)),"")</f>
      </c>
      <c r="I42" s="24">
        <f>IFERROR(INDEX(_datos!$H$2:$H$401,MATCH(ROW()-13,_datos!$K$2:$K$401,0)),"")</f>
      </c>
      <c r="J42" s="22">
        <f>IFERROR(INDEX(_datos!$I$2:$I$401,MATCH(ROW()-13,_datos!$K$2:$K$401,0)),"")</f>
      </c>
      <c r="K42" s="44">
        <f>IFERROR(HYPERLINK(INDEX(_datos!$J$2:$J$401,MATCH(ROW()-13,_datos!$K$2:$K$401,0)),"abrir mapa"),"")</f>
      </c>
    </row>
    <row r="43" ht="18.75" customHeight="1" spans="2:11" x14ac:dyDescent="0.25">
      <c r="B43" s="20">
        <f>IFERROR(INDEX(_datos!$A$2:$A$401,MATCH(ROW()-13,_datos!$K$2:$K$401,0)),"")</f>
      </c>
      <c r="C43" s="22">
        <f>IFERROR(INDEX(_datos!$B$2:$B$401,MATCH(ROW()-13,_datos!$K$2:$K$401,0)),"")</f>
      </c>
      <c r="D43" s="43">
        <f>IFERROR(INDEX(_datos!$C$2:$C$401,MATCH(ROW()-13,_datos!$K$2:$K$401,0)),"")</f>
      </c>
      <c r="E43" s="22">
        <f>IFERROR(INDEX(_datos!$D$2:$D$401,MATCH(ROW()-13,_datos!$K$2:$K$401,0)),"")</f>
      </c>
      <c r="F43" s="21">
        <f>IFERROR(INDEX(_datos!$E$2:$E$401,MATCH(ROW()-13,_datos!$K$2:$K$401,0)),"")</f>
      </c>
      <c r="G43" s="23">
        <f>IFERROR(INDEX(_datos!$F$2:$F$401,MATCH(ROW()-13,_datos!$K$2:$K$401,0)),"")</f>
      </c>
      <c r="H43" s="21">
        <f>IFERROR(INDEX(_datos!$G$2:$G$401,MATCH(ROW()-13,_datos!$K$2:$K$401,0)),"")</f>
      </c>
      <c r="I43" s="24">
        <f>IFERROR(INDEX(_datos!$H$2:$H$401,MATCH(ROW()-13,_datos!$K$2:$K$401,0)),"")</f>
      </c>
      <c r="J43" s="22">
        <f>IFERROR(INDEX(_datos!$I$2:$I$401,MATCH(ROW()-13,_datos!$K$2:$K$401,0)),"")</f>
      </c>
      <c r="K43" s="44">
        <f>IFERROR(HYPERLINK(INDEX(_datos!$J$2:$J$401,MATCH(ROW()-13,_datos!$K$2:$K$401,0)),"abrir mapa"),"")</f>
      </c>
    </row>
    <row r="44" ht="18.75" customHeight="1" spans="2:11" x14ac:dyDescent="0.25">
      <c r="B44" s="20">
        <f>IFERROR(INDEX(_datos!$A$2:$A$401,MATCH(ROW()-13,_datos!$K$2:$K$401,0)),"")</f>
      </c>
      <c r="C44" s="22">
        <f>IFERROR(INDEX(_datos!$B$2:$B$401,MATCH(ROW()-13,_datos!$K$2:$K$401,0)),"")</f>
      </c>
      <c r="D44" s="43">
        <f>IFERROR(INDEX(_datos!$C$2:$C$401,MATCH(ROW()-13,_datos!$K$2:$K$401,0)),"")</f>
      </c>
      <c r="E44" s="22">
        <f>IFERROR(INDEX(_datos!$D$2:$D$401,MATCH(ROW()-13,_datos!$K$2:$K$401,0)),"")</f>
      </c>
      <c r="F44" s="21">
        <f>IFERROR(INDEX(_datos!$E$2:$E$401,MATCH(ROW()-13,_datos!$K$2:$K$401,0)),"")</f>
      </c>
      <c r="G44" s="23">
        <f>IFERROR(INDEX(_datos!$F$2:$F$401,MATCH(ROW()-13,_datos!$K$2:$K$401,0)),"")</f>
      </c>
      <c r="H44" s="21">
        <f>IFERROR(INDEX(_datos!$G$2:$G$401,MATCH(ROW()-13,_datos!$K$2:$K$401,0)),"")</f>
      </c>
      <c r="I44" s="24">
        <f>IFERROR(INDEX(_datos!$H$2:$H$401,MATCH(ROW()-13,_datos!$K$2:$K$401,0)),"")</f>
      </c>
      <c r="J44" s="22">
        <f>IFERROR(INDEX(_datos!$I$2:$I$401,MATCH(ROW()-13,_datos!$K$2:$K$401,0)),"")</f>
      </c>
      <c r="K44" s="44">
        <f>IFERROR(HYPERLINK(INDEX(_datos!$J$2:$J$401,MATCH(ROW()-13,_datos!$K$2:$K$401,0)),"abrir mapa"),"")</f>
      </c>
    </row>
    <row r="45" ht="18.75" customHeight="1" spans="2:11" x14ac:dyDescent="0.25">
      <c r="B45" s="20">
        <f>IFERROR(INDEX(_datos!$A$2:$A$401,MATCH(ROW()-13,_datos!$K$2:$K$401,0)),"")</f>
      </c>
      <c r="C45" s="22">
        <f>IFERROR(INDEX(_datos!$B$2:$B$401,MATCH(ROW()-13,_datos!$K$2:$K$401,0)),"")</f>
      </c>
      <c r="D45" s="43">
        <f>IFERROR(INDEX(_datos!$C$2:$C$401,MATCH(ROW()-13,_datos!$K$2:$K$401,0)),"")</f>
      </c>
      <c r="E45" s="22">
        <f>IFERROR(INDEX(_datos!$D$2:$D$401,MATCH(ROW()-13,_datos!$K$2:$K$401,0)),"")</f>
      </c>
      <c r="F45" s="21">
        <f>IFERROR(INDEX(_datos!$E$2:$E$401,MATCH(ROW()-13,_datos!$K$2:$K$401,0)),"")</f>
      </c>
      <c r="G45" s="23">
        <f>IFERROR(INDEX(_datos!$F$2:$F$401,MATCH(ROW()-13,_datos!$K$2:$K$401,0)),"")</f>
      </c>
      <c r="H45" s="21">
        <f>IFERROR(INDEX(_datos!$G$2:$G$401,MATCH(ROW()-13,_datos!$K$2:$K$401,0)),"")</f>
      </c>
      <c r="I45" s="24">
        <f>IFERROR(INDEX(_datos!$H$2:$H$401,MATCH(ROW()-13,_datos!$K$2:$K$401,0)),"")</f>
      </c>
      <c r="J45" s="22">
        <f>IFERROR(INDEX(_datos!$I$2:$I$401,MATCH(ROW()-13,_datos!$K$2:$K$401,0)),"")</f>
      </c>
      <c r="K45" s="44">
        <f>IFERROR(HYPERLINK(INDEX(_datos!$J$2:$J$401,MATCH(ROW()-13,_datos!$K$2:$K$401,0)),"abrir mapa"),"")</f>
      </c>
    </row>
    <row r="46" ht="18.75" customHeight="1" spans="2:11" x14ac:dyDescent="0.25">
      <c r="B46" s="20">
        <f>IFERROR(INDEX(_datos!$A$2:$A$401,MATCH(ROW()-13,_datos!$K$2:$K$401,0)),"")</f>
      </c>
      <c r="C46" s="22">
        <f>IFERROR(INDEX(_datos!$B$2:$B$401,MATCH(ROW()-13,_datos!$K$2:$K$401,0)),"")</f>
      </c>
      <c r="D46" s="43">
        <f>IFERROR(INDEX(_datos!$C$2:$C$401,MATCH(ROW()-13,_datos!$K$2:$K$401,0)),"")</f>
      </c>
      <c r="E46" s="22">
        <f>IFERROR(INDEX(_datos!$D$2:$D$401,MATCH(ROW()-13,_datos!$K$2:$K$401,0)),"")</f>
      </c>
      <c r="F46" s="21">
        <f>IFERROR(INDEX(_datos!$E$2:$E$401,MATCH(ROW()-13,_datos!$K$2:$K$401,0)),"")</f>
      </c>
      <c r="G46" s="23">
        <f>IFERROR(INDEX(_datos!$F$2:$F$401,MATCH(ROW()-13,_datos!$K$2:$K$401,0)),"")</f>
      </c>
      <c r="H46" s="21">
        <f>IFERROR(INDEX(_datos!$G$2:$G$401,MATCH(ROW()-13,_datos!$K$2:$K$401,0)),"")</f>
      </c>
      <c r="I46" s="24">
        <f>IFERROR(INDEX(_datos!$H$2:$H$401,MATCH(ROW()-13,_datos!$K$2:$K$401,0)),"")</f>
      </c>
      <c r="J46" s="22">
        <f>IFERROR(INDEX(_datos!$I$2:$I$401,MATCH(ROW()-13,_datos!$K$2:$K$401,0)),"")</f>
      </c>
      <c r="K46" s="44">
        <f>IFERROR(HYPERLINK(INDEX(_datos!$J$2:$J$401,MATCH(ROW()-13,_datos!$K$2:$K$401,0)),"abrir mapa"),"")</f>
      </c>
    </row>
    <row r="47" ht="18.75" customHeight="1" spans="2:11" x14ac:dyDescent="0.25">
      <c r="B47" s="20">
        <f>IFERROR(INDEX(_datos!$A$2:$A$401,MATCH(ROW()-13,_datos!$K$2:$K$401,0)),"")</f>
      </c>
      <c r="C47" s="22">
        <f>IFERROR(INDEX(_datos!$B$2:$B$401,MATCH(ROW()-13,_datos!$K$2:$K$401,0)),"")</f>
      </c>
      <c r="D47" s="43">
        <f>IFERROR(INDEX(_datos!$C$2:$C$401,MATCH(ROW()-13,_datos!$K$2:$K$401,0)),"")</f>
      </c>
      <c r="E47" s="22">
        <f>IFERROR(INDEX(_datos!$D$2:$D$401,MATCH(ROW()-13,_datos!$K$2:$K$401,0)),"")</f>
      </c>
      <c r="F47" s="21">
        <f>IFERROR(INDEX(_datos!$E$2:$E$401,MATCH(ROW()-13,_datos!$K$2:$K$401,0)),"")</f>
      </c>
      <c r="G47" s="23">
        <f>IFERROR(INDEX(_datos!$F$2:$F$401,MATCH(ROW()-13,_datos!$K$2:$K$401,0)),"")</f>
      </c>
      <c r="H47" s="21">
        <f>IFERROR(INDEX(_datos!$G$2:$G$401,MATCH(ROW()-13,_datos!$K$2:$K$401,0)),"")</f>
      </c>
      <c r="I47" s="24">
        <f>IFERROR(INDEX(_datos!$H$2:$H$401,MATCH(ROW()-13,_datos!$K$2:$K$401,0)),"")</f>
      </c>
      <c r="J47" s="22">
        <f>IFERROR(INDEX(_datos!$I$2:$I$401,MATCH(ROW()-13,_datos!$K$2:$K$401,0)),"")</f>
      </c>
      <c r="K47" s="44">
        <f>IFERROR(HYPERLINK(INDEX(_datos!$J$2:$J$401,MATCH(ROW()-13,_datos!$K$2:$K$401,0)),"abrir mapa"),"")</f>
      </c>
    </row>
    <row r="48" ht="18.75" customHeight="1" spans="2:11" x14ac:dyDescent="0.25">
      <c r="B48" s="20">
        <f>IFERROR(INDEX(_datos!$A$2:$A$401,MATCH(ROW()-13,_datos!$K$2:$K$401,0)),"")</f>
      </c>
      <c r="C48" s="22">
        <f>IFERROR(INDEX(_datos!$B$2:$B$401,MATCH(ROW()-13,_datos!$K$2:$K$401,0)),"")</f>
      </c>
      <c r="D48" s="43">
        <f>IFERROR(INDEX(_datos!$C$2:$C$401,MATCH(ROW()-13,_datos!$K$2:$K$401,0)),"")</f>
      </c>
      <c r="E48" s="22">
        <f>IFERROR(INDEX(_datos!$D$2:$D$401,MATCH(ROW()-13,_datos!$K$2:$K$401,0)),"")</f>
      </c>
      <c r="F48" s="21">
        <f>IFERROR(INDEX(_datos!$E$2:$E$401,MATCH(ROW()-13,_datos!$K$2:$K$401,0)),"")</f>
      </c>
      <c r="G48" s="23">
        <f>IFERROR(INDEX(_datos!$F$2:$F$401,MATCH(ROW()-13,_datos!$K$2:$K$401,0)),"")</f>
      </c>
      <c r="H48" s="21">
        <f>IFERROR(INDEX(_datos!$G$2:$G$401,MATCH(ROW()-13,_datos!$K$2:$K$401,0)),"")</f>
      </c>
      <c r="I48" s="24">
        <f>IFERROR(INDEX(_datos!$H$2:$H$401,MATCH(ROW()-13,_datos!$K$2:$K$401,0)),"")</f>
      </c>
      <c r="J48" s="22">
        <f>IFERROR(INDEX(_datos!$I$2:$I$401,MATCH(ROW()-13,_datos!$K$2:$K$401,0)),"")</f>
      </c>
      <c r="K48" s="44">
        <f>IFERROR(HYPERLINK(INDEX(_datos!$J$2:$J$401,MATCH(ROW()-13,_datos!$K$2:$K$401,0)),"abrir mapa"),"")</f>
      </c>
    </row>
    <row r="49" ht="18.75" customHeight="1" spans="2:11" x14ac:dyDescent="0.25">
      <c r="B49" s="20">
        <f>IFERROR(INDEX(_datos!$A$2:$A$401,MATCH(ROW()-13,_datos!$K$2:$K$401,0)),"")</f>
      </c>
      <c r="C49" s="22">
        <f>IFERROR(INDEX(_datos!$B$2:$B$401,MATCH(ROW()-13,_datos!$K$2:$K$401,0)),"")</f>
      </c>
      <c r="D49" s="43">
        <f>IFERROR(INDEX(_datos!$C$2:$C$401,MATCH(ROW()-13,_datos!$K$2:$K$401,0)),"")</f>
      </c>
      <c r="E49" s="22">
        <f>IFERROR(INDEX(_datos!$D$2:$D$401,MATCH(ROW()-13,_datos!$K$2:$K$401,0)),"")</f>
      </c>
      <c r="F49" s="21">
        <f>IFERROR(INDEX(_datos!$E$2:$E$401,MATCH(ROW()-13,_datos!$K$2:$K$401,0)),"")</f>
      </c>
      <c r="G49" s="23">
        <f>IFERROR(INDEX(_datos!$F$2:$F$401,MATCH(ROW()-13,_datos!$K$2:$K$401,0)),"")</f>
      </c>
      <c r="H49" s="21">
        <f>IFERROR(INDEX(_datos!$G$2:$G$401,MATCH(ROW()-13,_datos!$K$2:$K$401,0)),"")</f>
      </c>
      <c r="I49" s="24">
        <f>IFERROR(INDEX(_datos!$H$2:$H$401,MATCH(ROW()-13,_datos!$K$2:$K$401,0)),"")</f>
      </c>
      <c r="J49" s="22">
        <f>IFERROR(INDEX(_datos!$I$2:$I$401,MATCH(ROW()-13,_datos!$K$2:$K$401,0)),"")</f>
      </c>
      <c r="K49" s="44">
        <f>IFERROR(HYPERLINK(INDEX(_datos!$J$2:$J$401,MATCH(ROW()-13,_datos!$K$2:$K$401,0)),"abrir mapa"),"")</f>
      </c>
    </row>
    <row r="50" ht="18.75" customHeight="1" spans="2:11" x14ac:dyDescent="0.25">
      <c r="B50" s="20">
        <f>IFERROR(INDEX(_datos!$A$2:$A$401,MATCH(ROW()-13,_datos!$K$2:$K$401,0)),"")</f>
      </c>
      <c r="C50" s="22">
        <f>IFERROR(INDEX(_datos!$B$2:$B$401,MATCH(ROW()-13,_datos!$K$2:$K$401,0)),"")</f>
      </c>
      <c r="D50" s="43">
        <f>IFERROR(INDEX(_datos!$C$2:$C$401,MATCH(ROW()-13,_datos!$K$2:$K$401,0)),"")</f>
      </c>
      <c r="E50" s="22">
        <f>IFERROR(INDEX(_datos!$D$2:$D$401,MATCH(ROW()-13,_datos!$K$2:$K$401,0)),"")</f>
      </c>
      <c r="F50" s="21">
        <f>IFERROR(INDEX(_datos!$E$2:$E$401,MATCH(ROW()-13,_datos!$K$2:$K$401,0)),"")</f>
      </c>
      <c r="G50" s="23">
        <f>IFERROR(INDEX(_datos!$F$2:$F$401,MATCH(ROW()-13,_datos!$K$2:$K$401,0)),"")</f>
      </c>
      <c r="H50" s="21">
        <f>IFERROR(INDEX(_datos!$G$2:$G$401,MATCH(ROW()-13,_datos!$K$2:$K$401,0)),"")</f>
      </c>
      <c r="I50" s="24">
        <f>IFERROR(INDEX(_datos!$H$2:$H$401,MATCH(ROW()-13,_datos!$K$2:$K$401,0)),"")</f>
      </c>
      <c r="J50" s="22">
        <f>IFERROR(INDEX(_datos!$I$2:$I$401,MATCH(ROW()-13,_datos!$K$2:$K$401,0)),"")</f>
      </c>
      <c r="K50" s="44">
        <f>IFERROR(HYPERLINK(INDEX(_datos!$J$2:$J$401,MATCH(ROW()-13,_datos!$K$2:$K$401,0)),"abrir mapa"),"")</f>
      </c>
    </row>
    <row r="51" ht="18.75" customHeight="1" spans="2:11" x14ac:dyDescent="0.25">
      <c r="B51" s="20">
        <f>IFERROR(INDEX(_datos!$A$2:$A$401,MATCH(ROW()-13,_datos!$K$2:$K$401,0)),"")</f>
      </c>
      <c r="C51" s="22">
        <f>IFERROR(INDEX(_datos!$B$2:$B$401,MATCH(ROW()-13,_datos!$K$2:$K$401,0)),"")</f>
      </c>
      <c r="D51" s="43">
        <f>IFERROR(INDEX(_datos!$C$2:$C$401,MATCH(ROW()-13,_datos!$K$2:$K$401,0)),"")</f>
      </c>
      <c r="E51" s="22">
        <f>IFERROR(INDEX(_datos!$D$2:$D$401,MATCH(ROW()-13,_datos!$K$2:$K$401,0)),"")</f>
      </c>
      <c r="F51" s="21">
        <f>IFERROR(INDEX(_datos!$E$2:$E$401,MATCH(ROW()-13,_datos!$K$2:$K$401,0)),"")</f>
      </c>
      <c r="G51" s="23">
        <f>IFERROR(INDEX(_datos!$F$2:$F$401,MATCH(ROW()-13,_datos!$K$2:$K$401,0)),"")</f>
      </c>
      <c r="H51" s="21">
        <f>IFERROR(INDEX(_datos!$G$2:$G$401,MATCH(ROW()-13,_datos!$K$2:$K$401,0)),"")</f>
      </c>
      <c r="I51" s="24">
        <f>IFERROR(INDEX(_datos!$H$2:$H$401,MATCH(ROW()-13,_datos!$K$2:$K$401,0)),"")</f>
      </c>
      <c r="J51" s="22">
        <f>IFERROR(INDEX(_datos!$I$2:$I$401,MATCH(ROW()-13,_datos!$K$2:$K$401,0)),"")</f>
      </c>
      <c r="K51" s="44">
        <f>IFERROR(HYPERLINK(INDEX(_datos!$J$2:$J$401,MATCH(ROW()-13,_datos!$K$2:$K$401,0)),"abrir mapa"),"")</f>
      </c>
    </row>
    <row r="52" ht="18.75" customHeight="1" spans="2:11" x14ac:dyDescent="0.25">
      <c r="B52" s="20">
        <f>IFERROR(INDEX(_datos!$A$2:$A$401,MATCH(ROW()-13,_datos!$K$2:$K$401,0)),"")</f>
      </c>
      <c r="C52" s="22">
        <f>IFERROR(INDEX(_datos!$B$2:$B$401,MATCH(ROW()-13,_datos!$K$2:$K$401,0)),"")</f>
      </c>
      <c r="D52" s="43">
        <f>IFERROR(INDEX(_datos!$C$2:$C$401,MATCH(ROW()-13,_datos!$K$2:$K$401,0)),"")</f>
      </c>
      <c r="E52" s="22">
        <f>IFERROR(INDEX(_datos!$D$2:$D$401,MATCH(ROW()-13,_datos!$K$2:$K$401,0)),"")</f>
      </c>
      <c r="F52" s="21">
        <f>IFERROR(INDEX(_datos!$E$2:$E$401,MATCH(ROW()-13,_datos!$K$2:$K$401,0)),"")</f>
      </c>
      <c r="G52" s="23">
        <f>IFERROR(INDEX(_datos!$F$2:$F$401,MATCH(ROW()-13,_datos!$K$2:$K$401,0)),"")</f>
      </c>
      <c r="H52" s="21">
        <f>IFERROR(INDEX(_datos!$G$2:$G$401,MATCH(ROW()-13,_datos!$K$2:$K$401,0)),"")</f>
      </c>
      <c r="I52" s="24">
        <f>IFERROR(INDEX(_datos!$H$2:$H$401,MATCH(ROW()-13,_datos!$K$2:$K$401,0)),"")</f>
      </c>
      <c r="J52" s="22">
        <f>IFERROR(INDEX(_datos!$I$2:$I$401,MATCH(ROW()-13,_datos!$K$2:$K$401,0)),"")</f>
      </c>
      <c r="K52" s="44">
        <f>IFERROR(HYPERLINK(INDEX(_datos!$J$2:$J$401,MATCH(ROW()-13,_datos!$K$2:$K$401,0)),"abrir mapa"),"")</f>
      </c>
    </row>
    <row r="53" ht="18.75" customHeight="1" spans="2:11" x14ac:dyDescent="0.25">
      <c r="B53" s="20">
        <f>IFERROR(INDEX(_datos!$A$2:$A$401,MATCH(ROW()-13,_datos!$K$2:$K$401,0)),"")</f>
      </c>
      <c r="C53" s="22">
        <f>IFERROR(INDEX(_datos!$B$2:$B$401,MATCH(ROW()-13,_datos!$K$2:$K$401,0)),"")</f>
      </c>
      <c r="D53" s="43">
        <f>IFERROR(INDEX(_datos!$C$2:$C$401,MATCH(ROW()-13,_datos!$K$2:$K$401,0)),"")</f>
      </c>
      <c r="E53" s="22">
        <f>IFERROR(INDEX(_datos!$D$2:$D$401,MATCH(ROW()-13,_datos!$K$2:$K$401,0)),"")</f>
      </c>
      <c r="F53" s="21">
        <f>IFERROR(INDEX(_datos!$E$2:$E$401,MATCH(ROW()-13,_datos!$K$2:$K$401,0)),"")</f>
      </c>
      <c r="G53" s="23">
        <f>IFERROR(INDEX(_datos!$F$2:$F$401,MATCH(ROW()-13,_datos!$K$2:$K$401,0)),"")</f>
      </c>
      <c r="H53" s="21">
        <f>IFERROR(INDEX(_datos!$G$2:$G$401,MATCH(ROW()-13,_datos!$K$2:$K$401,0)),"")</f>
      </c>
      <c r="I53" s="24">
        <f>IFERROR(INDEX(_datos!$H$2:$H$401,MATCH(ROW()-13,_datos!$K$2:$K$401,0)),"")</f>
      </c>
      <c r="J53" s="22">
        <f>IFERROR(INDEX(_datos!$I$2:$I$401,MATCH(ROW()-13,_datos!$K$2:$K$401,0)),"")</f>
      </c>
      <c r="K53" s="44">
        <f>IFERROR(HYPERLINK(INDEX(_datos!$J$2:$J$401,MATCH(ROW()-13,_datos!$K$2:$K$401,0)),"abrir mapa"),"")</f>
      </c>
    </row>
    <row r="54" ht="18.75" customHeight="1" spans="2:11" x14ac:dyDescent="0.25">
      <c r="B54" s="20">
        <f>IFERROR(INDEX(_datos!$A$2:$A$401,MATCH(ROW()-13,_datos!$K$2:$K$401,0)),"")</f>
      </c>
      <c r="C54" s="22">
        <f>IFERROR(INDEX(_datos!$B$2:$B$401,MATCH(ROW()-13,_datos!$K$2:$K$401,0)),"")</f>
      </c>
      <c r="D54" s="43">
        <f>IFERROR(INDEX(_datos!$C$2:$C$401,MATCH(ROW()-13,_datos!$K$2:$K$401,0)),"")</f>
      </c>
      <c r="E54" s="22">
        <f>IFERROR(INDEX(_datos!$D$2:$D$401,MATCH(ROW()-13,_datos!$K$2:$K$401,0)),"")</f>
      </c>
      <c r="F54" s="21">
        <f>IFERROR(INDEX(_datos!$E$2:$E$401,MATCH(ROW()-13,_datos!$K$2:$K$401,0)),"")</f>
      </c>
      <c r="G54" s="23">
        <f>IFERROR(INDEX(_datos!$F$2:$F$401,MATCH(ROW()-13,_datos!$K$2:$K$401,0)),"")</f>
      </c>
      <c r="H54" s="21">
        <f>IFERROR(INDEX(_datos!$G$2:$G$401,MATCH(ROW()-13,_datos!$K$2:$K$401,0)),"")</f>
      </c>
      <c r="I54" s="24">
        <f>IFERROR(INDEX(_datos!$H$2:$H$401,MATCH(ROW()-13,_datos!$K$2:$K$401,0)),"")</f>
      </c>
      <c r="J54" s="22">
        <f>IFERROR(INDEX(_datos!$I$2:$I$401,MATCH(ROW()-13,_datos!$K$2:$K$401,0)),"")</f>
      </c>
      <c r="K54" s="44">
        <f>IFERROR(HYPERLINK(INDEX(_datos!$J$2:$J$401,MATCH(ROW()-13,_datos!$K$2:$K$401,0)),"abrir mapa"),"")</f>
      </c>
    </row>
    <row r="55" ht="18.75" customHeight="1" spans="2:11" x14ac:dyDescent="0.25">
      <c r="B55" s="20">
        <f>IFERROR(INDEX(_datos!$A$2:$A$401,MATCH(ROW()-13,_datos!$K$2:$K$401,0)),"")</f>
      </c>
      <c r="C55" s="22">
        <f>IFERROR(INDEX(_datos!$B$2:$B$401,MATCH(ROW()-13,_datos!$K$2:$K$401,0)),"")</f>
      </c>
      <c r="D55" s="43">
        <f>IFERROR(INDEX(_datos!$C$2:$C$401,MATCH(ROW()-13,_datos!$K$2:$K$401,0)),"")</f>
      </c>
      <c r="E55" s="22">
        <f>IFERROR(INDEX(_datos!$D$2:$D$401,MATCH(ROW()-13,_datos!$K$2:$K$401,0)),"")</f>
      </c>
      <c r="F55" s="21">
        <f>IFERROR(INDEX(_datos!$E$2:$E$401,MATCH(ROW()-13,_datos!$K$2:$K$401,0)),"")</f>
      </c>
      <c r="G55" s="23">
        <f>IFERROR(INDEX(_datos!$F$2:$F$401,MATCH(ROW()-13,_datos!$K$2:$K$401,0)),"")</f>
      </c>
      <c r="H55" s="21">
        <f>IFERROR(INDEX(_datos!$G$2:$G$401,MATCH(ROW()-13,_datos!$K$2:$K$401,0)),"")</f>
      </c>
      <c r="I55" s="24">
        <f>IFERROR(INDEX(_datos!$H$2:$H$401,MATCH(ROW()-13,_datos!$K$2:$K$401,0)),"")</f>
      </c>
      <c r="J55" s="22">
        <f>IFERROR(INDEX(_datos!$I$2:$I$401,MATCH(ROW()-13,_datos!$K$2:$K$401,0)),"")</f>
      </c>
      <c r="K55" s="44">
        <f>IFERROR(HYPERLINK(INDEX(_datos!$J$2:$J$401,MATCH(ROW()-13,_datos!$K$2:$K$401,0)),"abrir mapa"),"")</f>
      </c>
    </row>
    <row r="56" ht="18.75" customHeight="1" spans="2:11" x14ac:dyDescent="0.25">
      <c r="B56" s="20">
        <f>IFERROR(INDEX(_datos!$A$2:$A$401,MATCH(ROW()-13,_datos!$K$2:$K$401,0)),"")</f>
      </c>
      <c r="C56" s="22">
        <f>IFERROR(INDEX(_datos!$B$2:$B$401,MATCH(ROW()-13,_datos!$K$2:$K$401,0)),"")</f>
      </c>
      <c r="D56" s="43">
        <f>IFERROR(INDEX(_datos!$C$2:$C$401,MATCH(ROW()-13,_datos!$K$2:$K$401,0)),"")</f>
      </c>
      <c r="E56" s="22">
        <f>IFERROR(INDEX(_datos!$D$2:$D$401,MATCH(ROW()-13,_datos!$K$2:$K$401,0)),"")</f>
      </c>
      <c r="F56" s="21">
        <f>IFERROR(INDEX(_datos!$E$2:$E$401,MATCH(ROW()-13,_datos!$K$2:$K$401,0)),"")</f>
      </c>
      <c r="G56" s="23">
        <f>IFERROR(INDEX(_datos!$F$2:$F$401,MATCH(ROW()-13,_datos!$K$2:$K$401,0)),"")</f>
      </c>
      <c r="H56" s="21">
        <f>IFERROR(INDEX(_datos!$G$2:$G$401,MATCH(ROW()-13,_datos!$K$2:$K$401,0)),"")</f>
      </c>
      <c r="I56" s="24">
        <f>IFERROR(INDEX(_datos!$H$2:$H$401,MATCH(ROW()-13,_datos!$K$2:$K$401,0)),"")</f>
      </c>
      <c r="J56" s="22">
        <f>IFERROR(INDEX(_datos!$I$2:$I$401,MATCH(ROW()-13,_datos!$K$2:$K$401,0)),"")</f>
      </c>
      <c r="K56" s="44">
        <f>IFERROR(HYPERLINK(INDEX(_datos!$J$2:$J$401,MATCH(ROW()-13,_datos!$K$2:$K$401,0)),"abrir mapa"),"")</f>
      </c>
    </row>
    <row r="57" ht="18.75" customHeight="1" spans="2:11" x14ac:dyDescent="0.25">
      <c r="B57" s="20">
        <f>IFERROR(INDEX(_datos!$A$2:$A$401,MATCH(ROW()-13,_datos!$K$2:$K$401,0)),"")</f>
      </c>
      <c r="C57" s="22">
        <f>IFERROR(INDEX(_datos!$B$2:$B$401,MATCH(ROW()-13,_datos!$K$2:$K$401,0)),"")</f>
      </c>
      <c r="D57" s="43">
        <f>IFERROR(INDEX(_datos!$C$2:$C$401,MATCH(ROW()-13,_datos!$K$2:$K$401,0)),"")</f>
      </c>
      <c r="E57" s="22">
        <f>IFERROR(INDEX(_datos!$D$2:$D$401,MATCH(ROW()-13,_datos!$K$2:$K$401,0)),"")</f>
      </c>
      <c r="F57" s="21">
        <f>IFERROR(INDEX(_datos!$E$2:$E$401,MATCH(ROW()-13,_datos!$K$2:$K$401,0)),"")</f>
      </c>
      <c r="G57" s="23">
        <f>IFERROR(INDEX(_datos!$F$2:$F$401,MATCH(ROW()-13,_datos!$K$2:$K$401,0)),"")</f>
      </c>
      <c r="H57" s="21">
        <f>IFERROR(INDEX(_datos!$G$2:$G$401,MATCH(ROW()-13,_datos!$K$2:$K$401,0)),"")</f>
      </c>
      <c r="I57" s="24">
        <f>IFERROR(INDEX(_datos!$H$2:$H$401,MATCH(ROW()-13,_datos!$K$2:$K$401,0)),"")</f>
      </c>
      <c r="J57" s="22">
        <f>IFERROR(INDEX(_datos!$I$2:$I$401,MATCH(ROW()-13,_datos!$K$2:$K$401,0)),"")</f>
      </c>
      <c r="K57" s="44">
        <f>IFERROR(HYPERLINK(INDEX(_datos!$J$2:$J$401,MATCH(ROW()-13,_datos!$K$2:$K$401,0)),"abrir mapa"),"")</f>
      </c>
    </row>
    <row r="58" ht="18.75" customHeight="1" spans="2:11" x14ac:dyDescent="0.25">
      <c r="B58" s="20">
        <f>IFERROR(INDEX(_datos!$A$2:$A$401,MATCH(ROW()-13,_datos!$K$2:$K$401,0)),"")</f>
      </c>
      <c r="C58" s="22">
        <f>IFERROR(INDEX(_datos!$B$2:$B$401,MATCH(ROW()-13,_datos!$K$2:$K$401,0)),"")</f>
      </c>
      <c r="D58" s="43">
        <f>IFERROR(INDEX(_datos!$C$2:$C$401,MATCH(ROW()-13,_datos!$K$2:$K$401,0)),"")</f>
      </c>
      <c r="E58" s="22">
        <f>IFERROR(INDEX(_datos!$D$2:$D$401,MATCH(ROW()-13,_datos!$K$2:$K$401,0)),"")</f>
      </c>
      <c r="F58" s="21">
        <f>IFERROR(INDEX(_datos!$E$2:$E$401,MATCH(ROW()-13,_datos!$K$2:$K$401,0)),"")</f>
      </c>
      <c r="G58" s="23">
        <f>IFERROR(INDEX(_datos!$F$2:$F$401,MATCH(ROW()-13,_datos!$K$2:$K$401,0)),"")</f>
      </c>
      <c r="H58" s="21">
        <f>IFERROR(INDEX(_datos!$G$2:$G$401,MATCH(ROW()-13,_datos!$K$2:$K$401,0)),"")</f>
      </c>
      <c r="I58" s="24">
        <f>IFERROR(INDEX(_datos!$H$2:$H$401,MATCH(ROW()-13,_datos!$K$2:$K$401,0)),"")</f>
      </c>
      <c r="J58" s="22">
        <f>IFERROR(INDEX(_datos!$I$2:$I$401,MATCH(ROW()-13,_datos!$K$2:$K$401,0)),"")</f>
      </c>
      <c r="K58" s="44">
        <f>IFERROR(HYPERLINK(INDEX(_datos!$J$2:$J$401,MATCH(ROW()-13,_datos!$K$2:$K$401,0)),"abrir mapa"),"")</f>
      </c>
    </row>
    <row r="59" ht="18.75" customHeight="1" spans="2:11" x14ac:dyDescent="0.25">
      <c r="B59" s="20">
        <f>IFERROR(INDEX(_datos!$A$2:$A$401,MATCH(ROW()-13,_datos!$K$2:$K$401,0)),"")</f>
      </c>
      <c r="C59" s="22">
        <f>IFERROR(INDEX(_datos!$B$2:$B$401,MATCH(ROW()-13,_datos!$K$2:$K$401,0)),"")</f>
      </c>
      <c r="D59" s="43">
        <f>IFERROR(INDEX(_datos!$C$2:$C$401,MATCH(ROW()-13,_datos!$K$2:$K$401,0)),"")</f>
      </c>
      <c r="E59" s="22">
        <f>IFERROR(INDEX(_datos!$D$2:$D$401,MATCH(ROW()-13,_datos!$K$2:$K$401,0)),"")</f>
      </c>
      <c r="F59" s="21">
        <f>IFERROR(INDEX(_datos!$E$2:$E$401,MATCH(ROW()-13,_datos!$K$2:$K$401,0)),"")</f>
      </c>
      <c r="G59" s="23">
        <f>IFERROR(INDEX(_datos!$F$2:$F$401,MATCH(ROW()-13,_datos!$K$2:$K$401,0)),"")</f>
      </c>
      <c r="H59" s="21">
        <f>IFERROR(INDEX(_datos!$G$2:$G$401,MATCH(ROW()-13,_datos!$K$2:$K$401,0)),"")</f>
      </c>
      <c r="I59" s="24">
        <f>IFERROR(INDEX(_datos!$H$2:$H$401,MATCH(ROW()-13,_datos!$K$2:$K$401,0)),"")</f>
      </c>
      <c r="J59" s="22">
        <f>IFERROR(INDEX(_datos!$I$2:$I$401,MATCH(ROW()-13,_datos!$K$2:$K$401,0)),"")</f>
      </c>
      <c r="K59" s="44">
        <f>IFERROR(HYPERLINK(INDEX(_datos!$J$2:$J$401,MATCH(ROW()-13,_datos!$K$2:$K$401,0)),"abrir mapa"),"")</f>
      </c>
    </row>
    <row r="60" ht="18.75" customHeight="1" spans="2:11" x14ac:dyDescent="0.25">
      <c r="B60" s="20">
        <f>IFERROR(INDEX(_datos!$A$2:$A$401,MATCH(ROW()-13,_datos!$K$2:$K$401,0)),"")</f>
      </c>
      <c r="C60" s="22">
        <f>IFERROR(INDEX(_datos!$B$2:$B$401,MATCH(ROW()-13,_datos!$K$2:$K$401,0)),"")</f>
      </c>
      <c r="D60" s="43">
        <f>IFERROR(INDEX(_datos!$C$2:$C$401,MATCH(ROW()-13,_datos!$K$2:$K$401,0)),"")</f>
      </c>
      <c r="E60" s="22">
        <f>IFERROR(INDEX(_datos!$D$2:$D$401,MATCH(ROW()-13,_datos!$K$2:$K$401,0)),"")</f>
      </c>
      <c r="F60" s="21">
        <f>IFERROR(INDEX(_datos!$E$2:$E$401,MATCH(ROW()-13,_datos!$K$2:$K$401,0)),"")</f>
      </c>
      <c r="G60" s="23">
        <f>IFERROR(INDEX(_datos!$F$2:$F$401,MATCH(ROW()-13,_datos!$K$2:$K$401,0)),"")</f>
      </c>
      <c r="H60" s="21">
        <f>IFERROR(INDEX(_datos!$G$2:$G$401,MATCH(ROW()-13,_datos!$K$2:$K$401,0)),"")</f>
      </c>
      <c r="I60" s="24">
        <f>IFERROR(INDEX(_datos!$H$2:$H$401,MATCH(ROW()-13,_datos!$K$2:$K$401,0)),"")</f>
      </c>
      <c r="J60" s="22">
        <f>IFERROR(INDEX(_datos!$I$2:$I$401,MATCH(ROW()-13,_datos!$K$2:$K$401,0)),"")</f>
      </c>
      <c r="K60" s="44">
        <f>IFERROR(HYPERLINK(INDEX(_datos!$J$2:$J$401,MATCH(ROW()-13,_datos!$K$2:$K$401,0)),"abrir mapa"),"")</f>
      </c>
    </row>
    <row r="61" ht="18.75" customHeight="1" spans="2:11" x14ac:dyDescent="0.25">
      <c r="B61" s="20">
        <f>IFERROR(INDEX(_datos!$A$2:$A$401,MATCH(ROW()-13,_datos!$K$2:$K$401,0)),"")</f>
      </c>
      <c r="C61" s="22">
        <f>IFERROR(INDEX(_datos!$B$2:$B$401,MATCH(ROW()-13,_datos!$K$2:$K$401,0)),"")</f>
      </c>
      <c r="D61" s="43">
        <f>IFERROR(INDEX(_datos!$C$2:$C$401,MATCH(ROW()-13,_datos!$K$2:$K$401,0)),"")</f>
      </c>
      <c r="E61" s="22">
        <f>IFERROR(INDEX(_datos!$D$2:$D$401,MATCH(ROW()-13,_datos!$K$2:$K$401,0)),"")</f>
      </c>
      <c r="F61" s="21">
        <f>IFERROR(INDEX(_datos!$E$2:$E$401,MATCH(ROW()-13,_datos!$K$2:$K$401,0)),"")</f>
      </c>
      <c r="G61" s="23">
        <f>IFERROR(INDEX(_datos!$F$2:$F$401,MATCH(ROW()-13,_datos!$K$2:$K$401,0)),"")</f>
      </c>
      <c r="H61" s="21">
        <f>IFERROR(INDEX(_datos!$G$2:$G$401,MATCH(ROW()-13,_datos!$K$2:$K$401,0)),"")</f>
      </c>
      <c r="I61" s="24">
        <f>IFERROR(INDEX(_datos!$H$2:$H$401,MATCH(ROW()-13,_datos!$K$2:$K$401,0)),"")</f>
      </c>
      <c r="J61" s="22">
        <f>IFERROR(INDEX(_datos!$I$2:$I$401,MATCH(ROW()-13,_datos!$K$2:$K$401,0)),"")</f>
      </c>
      <c r="K61" s="44">
        <f>IFERROR(HYPERLINK(INDEX(_datos!$J$2:$J$401,MATCH(ROW()-13,_datos!$K$2:$K$401,0)),"abrir mapa"),"")</f>
      </c>
    </row>
    <row r="62" ht="18.75" customHeight="1" spans="2:11" x14ac:dyDescent="0.25">
      <c r="B62" s="20">
        <f>IFERROR(INDEX(_datos!$A$2:$A$401,MATCH(ROW()-13,_datos!$K$2:$K$401,0)),"")</f>
      </c>
      <c r="C62" s="22">
        <f>IFERROR(INDEX(_datos!$B$2:$B$401,MATCH(ROW()-13,_datos!$K$2:$K$401,0)),"")</f>
      </c>
      <c r="D62" s="43">
        <f>IFERROR(INDEX(_datos!$C$2:$C$401,MATCH(ROW()-13,_datos!$K$2:$K$401,0)),"")</f>
      </c>
      <c r="E62" s="22">
        <f>IFERROR(INDEX(_datos!$D$2:$D$401,MATCH(ROW()-13,_datos!$K$2:$K$401,0)),"")</f>
      </c>
      <c r="F62" s="21">
        <f>IFERROR(INDEX(_datos!$E$2:$E$401,MATCH(ROW()-13,_datos!$K$2:$K$401,0)),"")</f>
      </c>
      <c r="G62" s="23">
        <f>IFERROR(INDEX(_datos!$F$2:$F$401,MATCH(ROW()-13,_datos!$K$2:$K$401,0)),"")</f>
      </c>
      <c r="H62" s="21">
        <f>IFERROR(INDEX(_datos!$G$2:$G$401,MATCH(ROW()-13,_datos!$K$2:$K$401,0)),"")</f>
      </c>
      <c r="I62" s="24">
        <f>IFERROR(INDEX(_datos!$H$2:$H$401,MATCH(ROW()-13,_datos!$K$2:$K$401,0)),"")</f>
      </c>
      <c r="J62" s="22">
        <f>IFERROR(INDEX(_datos!$I$2:$I$401,MATCH(ROW()-13,_datos!$K$2:$K$401,0)),"")</f>
      </c>
      <c r="K62" s="44">
        <f>IFERROR(HYPERLINK(INDEX(_datos!$J$2:$J$401,MATCH(ROW()-13,_datos!$K$2:$K$401,0)),"abrir mapa"),"")</f>
      </c>
    </row>
    <row r="63" ht="18.75" customHeight="1" spans="2:11" x14ac:dyDescent="0.25">
      <c r="B63" s="20">
        <f>IFERROR(INDEX(_datos!$A$2:$A$401,MATCH(ROW()-13,_datos!$K$2:$K$401,0)),"")</f>
      </c>
      <c r="C63" s="22">
        <f>IFERROR(INDEX(_datos!$B$2:$B$401,MATCH(ROW()-13,_datos!$K$2:$K$401,0)),"")</f>
      </c>
      <c r="D63" s="43">
        <f>IFERROR(INDEX(_datos!$C$2:$C$401,MATCH(ROW()-13,_datos!$K$2:$K$401,0)),"")</f>
      </c>
      <c r="E63" s="22">
        <f>IFERROR(INDEX(_datos!$D$2:$D$401,MATCH(ROW()-13,_datos!$K$2:$K$401,0)),"")</f>
      </c>
      <c r="F63" s="21">
        <f>IFERROR(INDEX(_datos!$E$2:$E$401,MATCH(ROW()-13,_datos!$K$2:$K$401,0)),"")</f>
      </c>
      <c r="G63" s="23">
        <f>IFERROR(INDEX(_datos!$F$2:$F$401,MATCH(ROW()-13,_datos!$K$2:$K$401,0)),"")</f>
      </c>
      <c r="H63" s="21">
        <f>IFERROR(INDEX(_datos!$G$2:$G$401,MATCH(ROW()-13,_datos!$K$2:$K$401,0)),"")</f>
      </c>
      <c r="I63" s="24">
        <f>IFERROR(INDEX(_datos!$H$2:$H$401,MATCH(ROW()-13,_datos!$K$2:$K$401,0)),"")</f>
      </c>
      <c r="J63" s="22">
        <f>IFERROR(INDEX(_datos!$I$2:$I$401,MATCH(ROW()-13,_datos!$K$2:$K$401,0)),"")</f>
      </c>
      <c r="K63" s="44">
        <f>IFERROR(HYPERLINK(INDEX(_datos!$J$2:$J$401,MATCH(ROW()-13,_datos!$K$2:$K$401,0)),"abrir mapa"),"")</f>
      </c>
    </row>
    <row r="64" ht="18.75" customHeight="1" spans="2:11" x14ac:dyDescent="0.25">
      <c r="B64" s="20">
        <f>IFERROR(INDEX(_datos!$A$2:$A$401,MATCH(ROW()-13,_datos!$K$2:$K$401,0)),"")</f>
      </c>
      <c r="C64" s="22">
        <f>IFERROR(INDEX(_datos!$B$2:$B$401,MATCH(ROW()-13,_datos!$K$2:$K$401,0)),"")</f>
      </c>
      <c r="D64" s="43">
        <f>IFERROR(INDEX(_datos!$C$2:$C$401,MATCH(ROW()-13,_datos!$K$2:$K$401,0)),"")</f>
      </c>
      <c r="E64" s="22">
        <f>IFERROR(INDEX(_datos!$D$2:$D$401,MATCH(ROW()-13,_datos!$K$2:$K$401,0)),"")</f>
      </c>
      <c r="F64" s="21">
        <f>IFERROR(INDEX(_datos!$E$2:$E$401,MATCH(ROW()-13,_datos!$K$2:$K$401,0)),"")</f>
      </c>
      <c r="G64" s="23">
        <f>IFERROR(INDEX(_datos!$F$2:$F$401,MATCH(ROW()-13,_datos!$K$2:$K$401,0)),"")</f>
      </c>
      <c r="H64" s="21">
        <f>IFERROR(INDEX(_datos!$G$2:$G$401,MATCH(ROW()-13,_datos!$K$2:$K$401,0)),"")</f>
      </c>
      <c r="I64" s="24">
        <f>IFERROR(INDEX(_datos!$H$2:$H$401,MATCH(ROW()-13,_datos!$K$2:$K$401,0)),"")</f>
      </c>
      <c r="J64" s="22">
        <f>IFERROR(INDEX(_datos!$I$2:$I$401,MATCH(ROW()-13,_datos!$K$2:$K$401,0)),"")</f>
      </c>
      <c r="K64" s="44">
        <f>IFERROR(HYPERLINK(INDEX(_datos!$J$2:$J$401,MATCH(ROW()-13,_datos!$K$2:$K$401,0)),"abrir mapa"),"")</f>
      </c>
    </row>
    <row r="65" ht="18.75" customHeight="1" spans="2:11" x14ac:dyDescent="0.25">
      <c r="B65" s="20">
        <f>IFERROR(INDEX(_datos!$A$2:$A$401,MATCH(ROW()-13,_datos!$K$2:$K$401,0)),"")</f>
      </c>
      <c r="C65" s="22">
        <f>IFERROR(INDEX(_datos!$B$2:$B$401,MATCH(ROW()-13,_datos!$K$2:$K$401,0)),"")</f>
      </c>
      <c r="D65" s="43">
        <f>IFERROR(INDEX(_datos!$C$2:$C$401,MATCH(ROW()-13,_datos!$K$2:$K$401,0)),"")</f>
      </c>
      <c r="E65" s="22">
        <f>IFERROR(INDEX(_datos!$D$2:$D$401,MATCH(ROW()-13,_datos!$K$2:$K$401,0)),"")</f>
      </c>
      <c r="F65" s="21">
        <f>IFERROR(INDEX(_datos!$E$2:$E$401,MATCH(ROW()-13,_datos!$K$2:$K$401,0)),"")</f>
      </c>
      <c r="G65" s="23">
        <f>IFERROR(INDEX(_datos!$F$2:$F$401,MATCH(ROW()-13,_datos!$K$2:$K$401,0)),"")</f>
      </c>
      <c r="H65" s="21">
        <f>IFERROR(INDEX(_datos!$G$2:$G$401,MATCH(ROW()-13,_datos!$K$2:$K$401,0)),"")</f>
      </c>
      <c r="I65" s="24">
        <f>IFERROR(INDEX(_datos!$H$2:$H$401,MATCH(ROW()-13,_datos!$K$2:$K$401,0)),"")</f>
      </c>
      <c r="J65" s="22">
        <f>IFERROR(INDEX(_datos!$I$2:$I$401,MATCH(ROW()-13,_datos!$K$2:$K$401,0)),"")</f>
      </c>
      <c r="K65" s="44">
        <f>IFERROR(HYPERLINK(INDEX(_datos!$J$2:$J$401,MATCH(ROW()-13,_datos!$K$2:$K$401,0)),"abrir mapa"),"")</f>
      </c>
    </row>
    <row r="66" ht="18.75" customHeight="1" spans="2:11" x14ac:dyDescent="0.25">
      <c r="B66" s="20">
        <f>IFERROR(INDEX(_datos!$A$2:$A$401,MATCH(ROW()-13,_datos!$K$2:$K$401,0)),"")</f>
      </c>
      <c r="C66" s="22">
        <f>IFERROR(INDEX(_datos!$B$2:$B$401,MATCH(ROW()-13,_datos!$K$2:$K$401,0)),"")</f>
      </c>
      <c r="D66" s="43">
        <f>IFERROR(INDEX(_datos!$C$2:$C$401,MATCH(ROW()-13,_datos!$K$2:$K$401,0)),"")</f>
      </c>
      <c r="E66" s="22">
        <f>IFERROR(INDEX(_datos!$D$2:$D$401,MATCH(ROW()-13,_datos!$K$2:$K$401,0)),"")</f>
      </c>
      <c r="F66" s="21">
        <f>IFERROR(INDEX(_datos!$E$2:$E$401,MATCH(ROW()-13,_datos!$K$2:$K$401,0)),"")</f>
      </c>
      <c r="G66" s="23">
        <f>IFERROR(INDEX(_datos!$F$2:$F$401,MATCH(ROW()-13,_datos!$K$2:$K$401,0)),"")</f>
      </c>
      <c r="H66" s="21">
        <f>IFERROR(INDEX(_datos!$G$2:$G$401,MATCH(ROW()-13,_datos!$K$2:$K$401,0)),"")</f>
      </c>
      <c r="I66" s="24">
        <f>IFERROR(INDEX(_datos!$H$2:$H$401,MATCH(ROW()-13,_datos!$K$2:$K$401,0)),"")</f>
      </c>
      <c r="J66" s="22">
        <f>IFERROR(INDEX(_datos!$I$2:$I$401,MATCH(ROW()-13,_datos!$K$2:$K$401,0)),"")</f>
      </c>
      <c r="K66" s="44">
        <f>IFERROR(HYPERLINK(INDEX(_datos!$J$2:$J$401,MATCH(ROW()-13,_datos!$K$2:$K$401,0)),"abrir mapa"),"")</f>
      </c>
    </row>
    <row r="67" ht="18.75" customHeight="1" spans="2:11" x14ac:dyDescent="0.25">
      <c r="B67" s="20">
        <f>IFERROR(INDEX(_datos!$A$2:$A$401,MATCH(ROW()-13,_datos!$K$2:$K$401,0)),"")</f>
      </c>
      <c r="C67" s="22">
        <f>IFERROR(INDEX(_datos!$B$2:$B$401,MATCH(ROW()-13,_datos!$K$2:$K$401,0)),"")</f>
      </c>
      <c r="D67" s="43">
        <f>IFERROR(INDEX(_datos!$C$2:$C$401,MATCH(ROW()-13,_datos!$K$2:$K$401,0)),"")</f>
      </c>
      <c r="E67" s="22">
        <f>IFERROR(INDEX(_datos!$D$2:$D$401,MATCH(ROW()-13,_datos!$K$2:$K$401,0)),"")</f>
      </c>
      <c r="F67" s="21">
        <f>IFERROR(INDEX(_datos!$E$2:$E$401,MATCH(ROW()-13,_datos!$K$2:$K$401,0)),"")</f>
      </c>
      <c r="G67" s="23">
        <f>IFERROR(INDEX(_datos!$F$2:$F$401,MATCH(ROW()-13,_datos!$K$2:$K$401,0)),"")</f>
      </c>
      <c r="H67" s="21">
        <f>IFERROR(INDEX(_datos!$G$2:$G$401,MATCH(ROW()-13,_datos!$K$2:$K$401,0)),"")</f>
      </c>
      <c r="I67" s="24">
        <f>IFERROR(INDEX(_datos!$H$2:$H$401,MATCH(ROW()-13,_datos!$K$2:$K$401,0)),"")</f>
      </c>
      <c r="J67" s="22">
        <f>IFERROR(INDEX(_datos!$I$2:$I$401,MATCH(ROW()-13,_datos!$K$2:$K$401,0)),"")</f>
      </c>
      <c r="K67" s="44">
        <f>IFERROR(HYPERLINK(INDEX(_datos!$J$2:$J$401,MATCH(ROW()-13,_datos!$K$2:$K$401,0)),"abrir mapa"),"")</f>
      </c>
    </row>
    <row r="68" ht="18.75" customHeight="1" spans="2:11" x14ac:dyDescent="0.25">
      <c r="B68" s="20">
        <f>IFERROR(INDEX(_datos!$A$2:$A$401,MATCH(ROW()-13,_datos!$K$2:$K$401,0)),"")</f>
      </c>
      <c r="C68" s="22">
        <f>IFERROR(INDEX(_datos!$B$2:$B$401,MATCH(ROW()-13,_datos!$K$2:$K$401,0)),"")</f>
      </c>
      <c r="D68" s="43">
        <f>IFERROR(INDEX(_datos!$C$2:$C$401,MATCH(ROW()-13,_datos!$K$2:$K$401,0)),"")</f>
      </c>
      <c r="E68" s="22">
        <f>IFERROR(INDEX(_datos!$D$2:$D$401,MATCH(ROW()-13,_datos!$K$2:$K$401,0)),"")</f>
      </c>
      <c r="F68" s="21">
        <f>IFERROR(INDEX(_datos!$E$2:$E$401,MATCH(ROW()-13,_datos!$K$2:$K$401,0)),"")</f>
      </c>
      <c r="G68" s="23">
        <f>IFERROR(INDEX(_datos!$F$2:$F$401,MATCH(ROW()-13,_datos!$K$2:$K$401,0)),"")</f>
      </c>
      <c r="H68" s="21">
        <f>IFERROR(INDEX(_datos!$G$2:$G$401,MATCH(ROW()-13,_datos!$K$2:$K$401,0)),"")</f>
      </c>
      <c r="I68" s="24">
        <f>IFERROR(INDEX(_datos!$H$2:$H$401,MATCH(ROW()-13,_datos!$K$2:$K$401,0)),"")</f>
      </c>
      <c r="J68" s="22">
        <f>IFERROR(INDEX(_datos!$I$2:$I$401,MATCH(ROW()-13,_datos!$K$2:$K$401,0)),"")</f>
      </c>
      <c r="K68" s="44">
        <f>IFERROR(HYPERLINK(INDEX(_datos!$J$2:$J$401,MATCH(ROW()-13,_datos!$K$2:$K$401,0)),"abrir mapa"),"")</f>
      </c>
    </row>
    <row r="69" ht="18.75" customHeight="1" spans="2:11" x14ac:dyDescent="0.25">
      <c r="B69" s="20">
        <f>IFERROR(INDEX(_datos!$A$2:$A$401,MATCH(ROW()-13,_datos!$K$2:$K$401,0)),"")</f>
      </c>
      <c r="C69" s="22">
        <f>IFERROR(INDEX(_datos!$B$2:$B$401,MATCH(ROW()-13,_datos!$K$2:$K$401,0)),"")</f>
      </c>
      <c r="D69" s="43">
        <f>IFERROR(INDEX(_datos!$C$2:$C$401,MATCH(ROW()-13,_datos!$K$2:$K$401,0)),"")</f>
      </c>
      <c r="E69" s="22">
        <f>IFERROR(INDEX(_datos!$D$2:$D$401,MATCH(ROW()-13,_datos!$K$2:$K$401,0)),"")</f>
      </c>
      <c r="F69" s="21">
        <f>IFERROR(INDEX(_datos!$E$2:$E$401,MATCH(ROW()-13,_datos!$K$2:$K$401,0)),"")</f>
      </c>
      <c r="G69" s="23">
        <f>IFERROR(INDEX(_datos!$F$2:$F$401,MATCH(ROW()-13,_datos!$K$2:$K$401,0)),"")</f>
      </c>
      <c r="H69" s="21">
        <f>IFERROR(INDEX(_datos!$G$2:$G$401,MATCH(ROW()-13,_datos!$K$2:$K$401,0)),"")</f>
      </c>
      <c r="I69" s="24">
        <f>IFERROR(INDEX(_datos!$H$2:$H$401,MATCH(ROW()-13,_datos!$K$2:$K$401,0)),"")</f>
      </c>
      <c r="J69" s="22">
        <f>IFERROR(INDEX(_datos!$I$2:$I$401,MATCH(ROW()-13,_datos!$K$2:$K$401,0)),"")</f>
      </c>
      <c r="K69" s="44">
        <f>IFERROR(HYPERLINK(INDEX(_datos!$J$2:$J$401,MATCH(ROW()-13,_datos!$K$2:$K$401,0)),"abrir mapa"),"")</f>
      </c>
    </row>
    <row r="70" ht="18.75" customHeight="1" spans="2:11" x14ac:dyDescent="0.25">
      <c r="B70" s="20">
        <f>IFERROR(INDEX(_datos!$A$2:$A$401,MATCH(ROW()-13,_datos!$K$2:$K$401,0)),"")</f>
      </c>
      <c r="C70" s="22">
        <f>IFERROR(INDEX(_datos!$B$2:$B$401,MATCH(ROW()-13,_datos!$K$2:$K$401,0)),"")</f>
      </c>
      <c r="D70" s="43">
        <f>IFERROR(INDEX(_datos!$C$2:$C$401,MATCH(ROW()-13,_datos!$K$2:$K$401,0)),"")</f>
      </c>
      <c r="E70" s="22">
        <f>IFERROR(INDEX(_datos!$D$2:$D$401,MATCH(ROW()-13,_datos!$K$2:$K$401,0)),"")</f>
      </c>
      <c r="F70" s="21">
        <f>IFERROR(INDEX(_datos!$E$2:$E$401,MATCH(ROW()-13,_datos!$K$2:$K$401,0)),"")</f>
      </c>
      <c r="G70" s="23">
        <f>IFERROR(INDEX(_datos!$F$2:$F$401,MATCH(ROW()-13,_datos!$K$2:$K$401,0)),"")</f>
      </c>
      <c r="H70" s="21">
        <f>IFERROR(INDEX(_datos!$G$2:$G$401,MATCH(ROW()-13,_datos!$K$2:$K$401,0)),"")</f>
      </c>
      <c r="I70" s="24">
        <f>IFERROR(INDEX(_datos!$H$2:$H$401,MATCH(ROW()-13,_datos!$K$2:$K$401,0)),"")</f>
      </c>
      <c r="J70" s="22">
        <f>IFERROR(INDEX(_datos!$I$2:$I$401,MATCH(ROW()-13,_datos!$K$2:$K$401,0)),"")</f>
      </c>
      <c r="K70" s="44">
        <f>IFERROR(HYPERLINK(INDEX(_datos!$J$2:$J$401,MATCH(ROW()-13,_datos!$K$2:$K$401,0)),"abrir mapa"),"")</f>
      </c>
    </row>
    <row r="71" ht="18.75" customHeight="1" spans="2:11" x14ac:dyDescent="0.25">
      <c r="B71" s="20">
        <f>IFERROR(INDEX(_datos!$A$2:$A$401,MATCH(ROW()-13,_datos!$K$2:$K$401,0)),"")</f>
      </c>
      <c r="C71" s="22">
        <f>IFERROR(INDEX(_datos!$B$2:$B$401,MATCH(ROW()-13,_datos!$K$2:$K$401,0)),"")</f>
      </c>
      <c r="D71" s="43">
        <f>IFERROR(INDEX(_datos!$C$2:$C$401,MATCH(ROW()-13,_datos!$K$2:$K$401,0)),"")</f>
      </c>
      <c r="E71" s="22">
        <f>IFERROR(INDEX(_datos!$D$2:$D$401,MATCH(ROW()-13,_datos!$K$2:$K$401,0)),"")</f>
      </c>
      <c r="F71" s="21">
        <f>IFERROR(INDEX(_datos!$E$2:$E$401,MATCH(ROW()-13,_datos!$K$2:$K$401,0)),"")</f>
      </c>
      <c r="G71" s="23">
        <f>IFERROR(INDEX(_datos!$F$2:$F$401,MATCH(ROW()-13,_datos!$K$2:$K$401,0)),"")</f>
      </c>
      <c r="H71" s="21">
        <f>IFERROR(INDEX(_datos!$G$2:$G$401,MATCH(ROW()-13,_datos!$K$2:$K$401,0)),"")</f>
      </c>
      <c r="I71" s="24">
        <f>IFERROR(INDEX(_datos!$H$2:$H$401,MATCH(ROW()-13,_datos!$K$2:$K$401,0)),"")</f>
      </c>
      <c r="J71" s="22">
        <f>IFERROR(INDEX(_datos!$I$2:$I$401,MATCH(ROW()-13,_datos!$K$2:$K$401,0)),"")</f>
      </c>
      <c r="K71" s="44">
        <f>IFERROR(HYPERLINK(INDEX(_datos!$J$2:$J$401,MATCH(ROW()-13,_datos!$K$2:$K$401,0)),"abrir mapa"),"")</f>
      </c>
    </row>
    <row r="72" ht="18.75" customHeight="1" spans="2:11" x14ac:dyDescent="0.25">
      <c r="B72" s="20">
        <f>IFERROR(INDEX(_datos!$A$2:$A$401,MATCH(ROW()-13,_datos!$K$2:$K$401,0)),"")</f>
      </c>
      <c r="C72" s="22">
        <f>IFERROR(INDEX(_datos!$B$2:$B$401,MATCH(ROW()-13,_datos!$K$2:$K$401,0)),"")</f>
      </c>
      <c r="D72" s="43">
        <f>IFERROR(INDEX(_datos!$C$2:$C$401,MATCH(ROW()-13,_datos!$K$2:$K$401,0)),"")</f>
      </c>
      <c r="E72" s="22">
        <f>IFERROR(INDEX(_datos!$D$2:$D$401,MATCH(ROW()-13,_datos!$K$2:$K$401,0)),"")</f>
      </c>
      <c r="F72" s="21">
        <f>IFERROR(INDEX(_datos!$E$2:$E$401,MATCH(ROW()-13,_datos!$K$2:$K$401,0)),"")</f>
      </c>
      <c r="G72" s="23">
        <f>IFERROR(INDEX(_datos!$F$2:$F$401,MATCH(ROW()-13,_datos!$K$2:$K$401,0)),"")</f>
      </c>
      <c r="H72" s="21">
        <f>IFERROR(INDEX(_datos!$G$2:$G$401,MATCH(ROW()-13,_datos!$K$2:$K$401,0)),"")</f>
      </c>
      <c r="I72" s="24">
        <f>IFERROR(INDEX(_datos!$H$2:$H$401,MATCH(ROW()-13,_datos!$K$2:$K$401,0)),"")</f>
      </c>
      <c r="J72" s="22">
        <f>IFERROR(INDEX(_datos!$I$2:$I$401,MATCH(ROW()-13,_datos!$K$2:$K$401,0)),"")</f>
      </c>
      <c r="K72" s="44">
        <f>IFERROR(HYPERLINK(INDEX(_datos!$J$2:$J$401,MATCH(ROW()-13,_datos!$K$2:$K$401,0)),"abrir mapa"),"")</f>
      </c>
    </row>
    <row r="73" ht="18.75" customHeight="1" spans="2:11" x14ac:dyDescent="0.25">
      <c r="B73" s="20">
        <f>IFERROR(INDEX(_datos!$A$2:$A$401,MATCH(ROW()-13,_datos!$K$2:$K$401,0)),"")</f>
      </c>
      <c r="C73" s="22">
        <f>IFERROR(INDEX(_datos!$B$2:$B$401,MATCH(ROW()-13,_datos!$K$2:$K$401,0)),"")</f>
      </c>
      <c r="D73" s="43">
        <f>IFERROR(INDEX(_datos!$C$2:$C$401,MATCH(ROW()-13,_datos!$K$2:$K$401,0)),"")</f>
      </c>
      <c r="E73" s="22">
        <f>IFERROR(INDEX(_datos!$D$2:$D$401,MATCH(ROW()-13,_datos!$K$2:$K$401,0)),"")</f>
      </c>
      <c r="F73" s="21">
        <f>IFERROR(INDEX(_datos!$E$2:$E$401,MATCH(ROW()-13,_datos!$K$2:$K$401,0)),"")</f>
      </c>
      <c r="G73" s="23">
        <f>IFERROR(INDEX(_datos!$F$2:$F$401,MATCH(ROW()-13,_datos!$K$2:$K$401,0)),"")</f>
      </c>
      <c r="H73" s="21">
        <f>IFERROR(INDEX(_datos!$G$2:$G$401,MATCH(ROW()-13,_datos!$K$2:$K$401,0)),"")</f>
      </c>
      <c r="I73" s="24">
        <f>IFERROR(INDEX(_datos!$H$2:$H$401,MATCH(ROW()-13,_datos!$K$2:$K$401,0)),"")</f>
      </c>
      <c r="J73" s="22">
        <f>IFERROR(INDEX(_datos!$I$2:$I$401,MATCH(ROW()-13,_datos!$K$2:$K$401,0)),"")</f>
      </c>
      <c r="K73" s="44">
        <f>IFERROR(HYPERLINK(INDEX(_datos!$J$2:$J$401,MATCH(ROW()-13,_datos!$K$2:$K$401,0)),"abrir mapa"),"")</f>
      </c>
    </row>
    <row r="74" ht="18.75" customHeight="1" spans="2:11" x14ac:dyDescent="0.25">
      <c r="B74" s="20">
        <f>IFERROR(INDEX(_datos!$A$2:$A$401,MATCH(ROW()-13,_datos!$K$2:$K$401,0)),"")</f>
      </c>
      <c r="C74" s="22">
        <f>IFERROR(INDEX(_datos!$B$2:$B$401,MATCH(ROW()-13,_datos!$K$2:$K$401,0)),"")</f>
      </c>
      <c r="D74" s="43">
        <f>IFERROR(INDEX(_datos!$C$2:$C$401,MATCH(ROW()-13,_datos!$K$2:$K$401,0)),"")</f>
      </c>
      <c r="E74" s="22">
        <f>IFERROR(INDEX(_datos!$D$2:$D$401,MATCH(ROW()-13,_datos!$K$2:$K$401,0)),"")</f>
      </c>
      <c r="F74" s="21">
        <f>IFERROR(INDEX(_datos!$E$2:$E$401,MATCH(ROW()-13,_datos!$K$2:$K$401,0)),"")</f>
      </c>
      <c r="G74" s="23">
        <f>IFERROR(INDEX(_datos!$F$2:$F$401,MATCH(ROW()-13,_datos!$K$2:$K$401,0)),"")</f>
      </c>
      <c r="H74" s="21">
        <f>IFERROR(INDEX(_datos!$G$2:$G$401,MATCH(ROW()-13,_datos!$K$2:$K$401,0)),"")</f>
      </c>
      <c r="I74" s="24">
        <f>IFERROR(INDEX(_datos!$H$2:$H$401,MATCH(ROW()-13,_datos!$K$2:$K$401,0)),"")</f>
      </c>
      <c r="J74" s="22">
        <f>IFERROR(INDEX(_datos!$I$2:$I$401,MATCH(ROW()-13,_datos!$K$2:$K$401,0)),"")</f>
      </c>
      <c r="K74" s="44">
        <f>IFERROR(HYPERLINK(INDEX(_datos!$J$2:$J$401,MATCH(ROW()-13,_datos!$K$2:$K$401,0)),"abrir mapa"),"")</f>
      </c>
    </row>
    <row r="75" ht="18.75" customHeight="1" spans="2:11" x14ac:dyDescent="0.25">
      <c r="B75" s="20">
        <f>IFERROR(INDEX(_datos!$A$2:$A$401,MATCH(ROW()-13,_datos!$K$2:$K$401,0)),"")</f>
      </c>
      <c r="C75" s="22">
        <f>IFERROR(INDEX(_datos!$B$2:$B$401,MATCH(ROW()-13,_datos!$K$2:$K$401,0)),"")</f>
      </c>
      <c r="D75" s="43">
        <f>IFERROR(INDEX(_datos!$C$2:$C$401,MATCH(ROW()-13,_datos!$K$2:$K$401,0)),"")</f>
      </c>
      <c r="E75" s="22">
        <f>IFERROR(INDEX(_datos!$D$2:$D$401,MATCH(ROW()-13,_datos!$K$2:$K$401,0)),"")</f>
      </c>
      <c r="F75" s="21">
        <f>IFERROR(INDEX(_datos!$E$2:$E$401,MATCH(ROW()-13,_datos!$K$2:$K$401,0)),"")</f>
      </c>
      <c r="G75" s="23">
        <f>IFERROR(INDEX(_datos!$F$2:$F$401,MATCH(ROW()-13,_datos!$K$2:$K$401,0)),"")</f>
      </c>
      <c r="H75" s="21">
        <f>IFERROR(INDEX(_datos!$G$2:$G$401,MATCH(ROW()-13,_datos!$K$2:$K$401,0)),"")</f>
      </c>
      <c r="I75" s="24">
        <f>IFERROR(INDEX(_datos!$H$2:$H$401,MATCH(ROW()-13,_datos!$K$2:$K$401,0)),"")</f>
      </c>
      <c r="J75" s="22">
        <f>IFERROR(INDEX(_datos!$I$2:$I$401,MATCH(ROW()-13,_datos!$K$2:$K$401,0)),"")</f>
      </c>
      <c r="K75" s="44">
        <f>IFERROR(HYPERLINK(INDEX(_datos!$J$2:$J$401,MATCH(ROW()-13,_datos!$K$2:$K$401,0)),"abrir mapa"),"")</f>
      </c>
    </row>
    <row r="76" ht="18.75" customHeight="1" spans="2:11" x14ac:dyDescent="0.25">
      <c r="B76" s="20">
        <f>IFERROR(INDEX(_datos!$A$2:$A$401,MATCH(ROW()-13,_datos!$K$2:$K$401,0)),"")</f>
      </c>
      <c r="C76" s="22">
        <f>IFERROR(INDEX(_datos!$B$2:$B$401,MATCH(ROW()-13,_datos!$K$2:$K$401,0)),"")</f>
      </c>
      <c r="D76" s="43">
        <f>IFERROR(INDEX(_datos!$C$2:$C$401,MATCH(ROW()-13,_datos!$K$2:$K$401,0)),"")</f>
      </c>
      <c r="E76" s="22">
        <f>IFERROR(INDEX(_datos!$D$2:$D$401,MATCH(ROW()-13,_datos!$K$2:$K$401,0)),"")</f>
      </c>
      <c r="F76" s="21">
        <f>IFERROR(INDEX(_datos!$E$2:$E$401,MATCH(ROW()-13,_datos!$K$2:$K$401,0)),"")</f>
      </c>
      <c r="G76" s="23">
        <f>IFERROR(INDEX(_datos!$F$2:$F$401,MATCH(ROW()-13,_datos!$K$2:$K$401,0)),"")</f>
      </c>
      <c r="H76" s="21">
        <f>IFERROR(INDEX(_datos!$G$2:$G$401,MATCH(ROW()-13,_datos!$K$2:$K$401,0)),"")</f>
      </c>
      <c r="I76" s="24">
        <f>IFERROR(INDEX(_datos!$H$2:$H$401,MATCH(ROW()-13,_datos!$K$2:$K$401,0)),"")</f>
      </c>
      <c r="J76" s="22">
        <f>IFERROR(INDEX(_datos!$I$2:$I$401,MATCH(ROW()-13,_datos!$K$2:$K$401,0)),"")</f>
      </c>
      <c r="K76" s="44">
        <f>IFERROR(HYPERLINK(INDEX(_datos!$J$2:$J$401,MATCH(ROW()-13,_datos!$K$2:$K$401,0)),"abrir mapa"),"")</f>
      </c>
    </row>
    <row r="77" ht="18.75" customHeight="1" spans="2:11" x14ac:dyDescent="0.25">
      <c r="B77" s="20">
        <f>IFERROR(INDEX(_datos!$A$2:$A$401,MATCH(ROW()-13,_datos!$K$2:$K$401,0)),"")</f>
      </c>
      <c r="C77" s="22">
        <f>IFERROR(INDEX(_datos!$B$2:$B$401,MATCH(ROW()-13,_datos!$K$2:$K$401,0)),"")</f>
      </c>
      <c r="D77" s="43">
        <f>IFERROR(INDEX(_datos!$C$2:$C$401,MATCH(ROW()-13,_datos!$K$2:$K$401,0)),"")</f>
      </c>
      <c r="E77" s="22">
        <f>IFERROR(INDEX(_datos!$D$2:$D$401,MATCH(ROW()-13,_datos!$K$2:$K$401,0)),"")</f>
      </c>
      <c r="F77" s="21">
        <f>IFERROR(INDEX(_datos!$E$2:$E$401,MATCH(ROW()-13,_datos!$K$2:$K$401,0)),"")</f>
      </c>
      <c r="G77" s="23">
        <f>IFERROR(INDEX(_datos!$F$2:$F$401,MATCH(ROW()-13,_datos!$K$2:$K$401,0)),"")</f>
      </c>
      <c r="H77" s="21">
        <f>IFERROR(INDEX(_datos!$G$2:$G$401,MATCH(ROW()-13,_datos!$K$2:$K$401,0)),"")</f>
      </c>
      <c r="I77" s="24">
        <f>IFERROR(INDEX(_datos!$H$2:$H$401,MATCH(ROW()-13,_datos!$K$2:$K$401,0)),"")</f>
      </c>
      <c r="J77" s="22">
        <f>IFERROR(INDEX(_datos!$I$2:$I$401,MATCH(ROW()-13,_datos!$K$2:$K$401,0)),"")</f>
      </c>
      <c r="K77" s="44">
        <f>IFERROR(HYPERLINK(INDEX(_datos!$J$2:$J$401,MATCH(ROW()-13,_datos!$K$2:$K$401,0)),"abrir mapa"),"")</f>
      </c>
    </row>
    <row r="78" ht="18.75" customHeight="1" spans="2:11" x14ac:dyDescent="0.25">
      <c r="B78" s="20">
        <f>IFERROR(INDEX(_datos!$A$2:$A$401,MATCH(ROW()-13,_datos!$K$2:$K$401,0)),"")</f>
      </c>
      <c r="C78" s="22">
        <f>IFERROR(INDEX(_datos!$B$2:$B$401,MATCH(ROW()-13,_datos!$K$2:$K$401,0)),"")</f>
      </c>
      <c r="D78" s="43">
        <f>IFERROR(INDEX(_datos!$C$2:$C$401,MATCH(ROW()-13,_datos!$K$2:$K$401,0)),"")</f>
      </c>
      <c r="E78" s="22">
        <f>IFERROR(INDEX(_datos!$D$2:$D$401,MATCH(ROW()-13,_datos!$K$2:$K$401,0)),"")</f>
      </c>
      <c r="F78" s="21">
        <f>IFERROR(INDEX(_datos!$E$2:$E$401,MATCH(ROW()-13,_datos!$K$2:$K$401,0)),"")</f>
      </c>
      <c r="G78" s="23">
        <f>IFERROR(INDEX(_datos!$F$2:$F$401,MATCH(ROW()-13,_datos!$K$2:$K$401,0)),"")</f>
      </c>
      <c r="H78" s="21">
        <f>IFERROR(INDEX(_datos!$G$2:$G$401,MATCH(ROW()-13,_datos!$K$2:$K$401,0)),"")</f>
      </c>
      <c r="I78" s="24">
        <f>IFERROR(INDEX(_datos!$H$2:$H$401,MATCH(ROW()-13,_datos!$K$2:$K$401,0)),"")</f>
      </c>
      <c r="J78" s="22">
        <f>IFERROR(INDEX(_datos!$I$2:$I$401,MATCH(ROW()-13,_datos!$K$2:$K$401,0)),"")</f>
      </c>
      <c r="K78" s="44">
        <f>IFERROR(HYPERLINK(INDEX(_datos!$J$2:$J$401,MATCH(ROW()-13,_datos!$K$2:$K$401,0)),"abrir mapa"),"")</f>
      </c>
    </row>
    <row r="79" ht="18.75" customHeight="1" spans="2:11" x14ac:dyDescent="0.25">
      <c r="B79" s="20">
        <f>IFERROR(INDEX(_datos!$A$2:$A$401,MATCH(ROW()-13,_datos!$K$2:$K$401,0)),"")</f>
      </c>
      <c r="C79" s="22">
        <f>IFERROR(INDEX(_datos!$B$2:$B$401,MATCH(ROW()-13,_datos!$K$2:$K$401,0)),"")</f>
      </c>
      <c r="D79" s="43">
        <f>IFERROR(INDEX(_datos!$C$2:$C$401,MATCH(ROW()-13,_datos!$K$2:$K$401,0)),"")</f>
      </c>
      <c r="E79" s="22">
        <f>IFERROR(INDEX(_datos!$D$2:$D$401,MATCH(ROW()-13,_datos!$K$2:$K$401,0)),"")</f>
      </c>
      <c r="F79" s="21">
        <f>IFERROR(INDEX(_datos!$E$2:$E$401,MATCH(ROW()-13,_datos!$K$2:$K$401,0)),"")</f>
      </c>
      <c r="G79" s="23">
        <f>IFERROR(INDEX(_datos!$F$2:$F$401,MATCH(ROW()-13,_datos!$K$2:$K$401,0)),"")</f>
      </c>
      <c r="H79" s="21">
        <f>IFERROR(INDEX(_datos!$G$2:$G$401,MATCH(ROW()-13,_datos!$K$2:$K$401,0)),"")</f>
      </c>
      <c r="I79" s="24">
        <f>IFERROR(INDEX(_datos!$H$2:$H$401,MATCH(ROW()-13,_datos!$K$2:$K$401,0)),"")</f>
      </c>
      <c r="J79" s="22">
        <f>IFERROR(INDEX(_datos!$I$2:$I$401,MATCH(ROW()-13,_datos!$K$2:$K$401,0)),"")</f>
      </c>
      <c r="K79" s="44">
        <f>IFERROR(HYPERLINK(INDEX(_datos!$J$2:$J$401,MATCH(ROW()-13,_datos!$K$2:$K$401,0)),"abrir mapa"),"")</f>
      </c>
    </row>
    <row r="80" ht="18.75" customHeight="1" spans="2:11" x14ac:dyDescent="0.25">
      <c r="B80" s="20">
        <f>IFERROR(INDEX(_datos!$A$2:$A$401,MATCH(ROW()-13,_datos!$K$2:$K$401,0)),"")</f>
      </c>
      <c r="C80" s="22">
        <f>IFERROR(INDEX(_datos!$B$2:$B$401,MATCH(ROW()-13,_datos!$K$2:$K$401,0)),"")</f>
      </c>
      <c r="D80" s="43">
        <f>IFERROR(INDEX(_datos!$C$2:$C$401,MATCH(ROW()-13,_datos!$K$2:$K$401,0)),"")</f>
      </c>
      <c r="E80" s="22">
        <f>IFERROR(INDEX(_datos!$D$2:$D$401,MATCH(ROW()-13,_datos!$K$2:$K$401,0)),"")</f>
      </c>
      <c r="F80" s="21">
        <f>IFERROR(INDEX(_datos!$E$2:$E$401,MATCH(ROW()-13,_datos!$K$2:$K$401,0)),"")</f>
      </c>
      <c r="G80" s="23">
        <f>IFERROR(INDEX(_datos!$F$2:$F$401,MATCH(ROW()-13,_datos!$K$2:$K$401,0)),"")</f>
      </c>
      <c r="H80" s="21">
        <f>IFERROR(INDEX(_datos!$G$2:$G$401,MATCH(ROW()-13,_datos!$K$2:$K$401,0)),"")</f>
      </c>
      <c r="I80" s="24">
        <f>IFERROR(INDEX(_datos!$H$2:$H$401,MATCH(ROW()-13,_datos!$K$2:$K$401,0)),"")</f>
      </c>
      <c r="J80" s="22">
        <f>IFERROR(INDEX(_datos!$I$2:$I$401,MATCH(ROW()-13,_datos!$K$2:$K$401,0)),"")</f>
      </c>
      <c r="K80" s="44">
        <f>IFERROR(HYPERLINK(INDEX(_datos!$J$2:$J$401,MATCH(ROW()-13,_datos!$K$2:$K$401,0)),"abrir mapa"),"")</f>
      </c>
    </row>
    <row r="81" ht="18.75" customHeight="1" spans="2:11" x14ac:dyDescent="0.25">
      <c r="B81" s="20">
        <f>IFERROR(INDEX(_datos!$A$2:$A$401,MATCH(ROW()-13,_datos!$K$2:$K$401,0)),"")</f>
      </c>
      <c r="C81" s="22">
        <f>IFERROR(INDEX(_datos!$B$2:$B$401,MATCH(ROW()-13,_datos!$K$2:$K$401,0)),"")</f>
      </c>
      <c r="D81" s="43">
        <f>IFERROR(INDEX(_datos!$C$2:$C$401,MATCH(ROW()-13,_datos!$K$2:$K$401,0)),"")</f>
      </c>
      <c r="E81" s="22">
        <f>IFERROR(INDEX(_datos!$D$2:$D$401,MATCH(ROW()-13,_datos!$K$2:$K$401,0)),"")</f>
      </c>
      <c r="F81" s="21">
        <f>IFERROR(INDEX(_datos!$E$2:$E$401,MATCH(ROW()-13,_datos!$K$2:$K$401,0)),"")</f>
      </c>
      <c r="G81" s="23">
        <f>IFERROR(INDEX(_datos!$F$2:$F$401,MATCH(ROW()-13,_datos!$K$2:$K$401,0)),"")</f>
      </c>
      <c r="H81" s="21">
        <f>IFERROR(INDEX(_datos!$G$2:$G$401,MATCH(ROW()-13,_datos!$K$2:$K$401,0)),"")</f>
      </c>
      <c r="I81" s="24">
        <f>IFERROR(INDEX(_datos!$H$2:$H$401,MATCH(ROW()-13,_datos!$K$2:$K$401,0)),"")</f>
      </c>
      <c r="J81" s="22">
        <f>IFERROR(INDEX(_datos!$I$2:$I$401,MATCH(ROW()-13,_datos!$K$2:$K$401,0)),"")</f>
      </c>
      <c r="K81" s="44">
        <f>IFERROR(HYPERLINK(INDEX(_datos!$J$2:$J$401,MATCH(ROW()-13,_datos!$K$2:$K$401,0)),"abrir mapa"),"")</f>
      </c>
    </row>
    <row r="82" ht="18.75" customHeight="1" spans="2:11" x14ac:dyDescent="0.25">
      <c r="B82" s="20">
        <f>IFERROR(INDEX(_datos!$A$2:$A$401,MATCH(ROW()-13,_datos!$K$2:$K$401,0)),"")</f>
      </c>
      <c r="C82" s="22">
        <f>IFERROR(INDEX(_datos!$B$2:$B$401,MATCH(ROW()-13,_datos!$K$2:$K$401,0)),"")</f>
      </c>
      <c r="D82" s="43">
        <f>IFERROR(INDEX(_datos!$C$2:$C$401,MATCH(ROW()-13,_datos!$K$2:$K$401,0)),"")</f>
      </c>
      <c r="E82" s="22">
        <f>IFERROR(INDEX(_datos!$D$2:$D$401,MATCH(ROW()-13,_datos!$K$2:$K$401,0)),"")</f>
      </c>
      <c r="F82" s="21">
        <f>IFERROR(INDEX(_datos!$E$2:$E$401,MATCH(ROW()-13,_datos!$K$2:$K$401,0)),"")</f>
      </c>
      <c r="G82" s="23">
        <f>IFERROR(INDEX(_datos!$F$2:$F$401,MATCH(ROW()-13,_datos!$K$2:$K$401,0)),"")</f>
      </c>
      <c r="H82" s="21">
        <f>IFERROR(INDEX(_datos!$G$2:$G$401,MATCH(ROW()-13,_datos!$K$2:$K$401,0)),"")</f>
      </c>
      <c r="I82" s="24">
        <f>IFERROR(INDEX(_datos!$H$2:$H$401,MATCH(ROW()-13,_datos!$K$2:$K$401,0)),"")</f>
      </c>
      <c r="J82" s="22">
        <f>IFERROR(INDEX(_datos!$I$2:$I$401,MATCH(ROW()-13,_datos!$K$2:$K$401,0)),"")</f>
      </c>
      <c r="K82" s="44">
        <f>IFERROR(HYPERLINK(INDEX(_datos!$J$2:$J$401,MATCH(ROW()-13,_datos!$K$2:$K$401,0)),"abrir mapa"),"")</f>
      </c>
    </row>
    <row r="83" ht="18.75" customHeight="1" spans="2:11" x14ac:dyDescent="0.25">
      <c r="B83" s="20">
        <f>IFERROR(INDEX(_datos!$A$2:$A$401,MATCH(ROW()-13,_datos!$K$2:$K$401,0)),"")</f>
      </c>
      <c r="C83" s="22">
        <f>IFERROR(INDEX(_datos!$B$2:$B$401,MATCH(ROW()-13,_datos!$K$2:$K$401,0)),"")</f>
      </c>
      <c r="D83" s="43">
        <f>IFERROR(INDEX(_datos!$C$2:$C$401,MATCH(ROW()-13,_datos!$K$2:$K$401,0)),"")</f>
      </c>
      <c r="E83" s="22">
        <f>IFERROR(INDEX(_datos!$D$2:$D$401,MATCH(ROW()-13,_datos!$K$2:$K$401,0)),"")</f>
      </c>
      <c r="F83" s="21">
        <f>IFERROR(INDEX(_datos!$E$2:$E$401,MATCH(ROW()-13,_datos!$K$2:$K$401,0)),"")</f>
      </c>
      <c r="G83" s="23">
        <f>IFERROR(INDEX(_datos!$F$2:$F$401,MATCH(ROW()-13,_datos!$K$2:$K$401,0)),"")</f>
      </c>
      <c r="H83" s="21">
        <f>IFERROR(INDEX(_datos!$G$2:$G$401,MATCH(ROW()-13,_datos!$K$2:$K$401,0)),"")</f>
      </c>
      <c r="I83" s="24">
        <f>IFERROR(INDEX(_datos!$H$2:$H$401,MATCH(ROW()-13,_datos!$K$2:$K$401,0)),"")</f>
      </c>
      <c r="J83" s="22">
        <f>IFERROR(INDEX(_datos!$I$2:$I$401,MATCH(ROW()-13,_datos!$K$2:$K$401,0)),"")</f>
      </c>
      <c r="K83" s="44">
        <f>IFERROR(HYPERLINK(INDEX(_datos!$J$2:$J$401,MATCH(ROW()-13,_datos!$K$2:$K$401,0)),"abrir mapa"),"")</f>
      </c>
    </row>
    <row r="84" ht="18.75" customHeight="1" spans="2:11" x14ac:dyDescent="0.25">
      <c r="B84" s="20">
        <f>IFERROR(INDEX(_datos!$A$2:$A$401,MATCH(ROW()-13,_datos!$K$2:$K$401,0)),"")</f>
      </c>
      <c r="C84" s="22">
        <f>IFERROR(INDEX(_datos!$B$2:$B$401,MATCH(ROW()-13,_datos!$K$2:$K$401,0)),"")</f>
      </c>
      <c r="D84" s="43">
        <f>IFERROR(INDEX(_datos!$C$2:$C$401,MATCH(ROW()-13,_datos!$K$2:$K$401,0)),"")</f>
      </c>
      <c r="E84" s="22">
        <f>IFERROR(INDEX(_datos!$D$2:$D$401,MATCH(ROW()-13,_datos!$K$2:$K$401,0)),"")</f>
      </c>
      <c r="F84" s="21">
        <f>IFERROR(INDEX(_datos!$E$2:$E$401,MATCH(ROW()-13,_datos!$K$2:$K$401,0)),"")</f>
      </c>
      <c r="G84" s="23">
        <f>IFERROR(INDEX(_datos!$F$2:$F$401,MATCH(ROW()-13,_datos!$K$2:$K$401,0)),"")</f>
      </c>
      <c r="H84" s="21">
        <f>IFERROR(INDEX(_datos!$G$2:$G$401,MATCH(ROW()-13,_datos!$K$2:$K$401,0)),"")</f>
      </c>
      <c r="I84" s="24">
        <f>IFERROR(INDEX(_datos!$H$2:$H$401,MATCH(ROW()-13,_datos!$K$2:$K$401,0)),"")</f>
      </c>
      <c r="J84" s="22">
        <f>IFERROR(INDEX(_datos!$I$2:$I$401,MATCH(ROW()-13,_datos!$K$2:$K$401,0)),"")</f>
      </c>
      <c r="K84" s="44">
        <f>IFERROR(HYPERLINK(INDEX(_datos!$J$2:$J$401,MATCH(ROW()-13,_datos!$K$2:$K$401,0)),"abrir mapa"),"")</f>
      </c>
    </row>
    <row r="85" ht="18.75" customHeight="1" spans="2:11" x14ac:dyDescent="0.25">
      <c r="B85" s="20">
        <f>IFERROR(INDEX(_datos!$A$2:$A$401,MATCH(ROW()-13,_datos!$K$2:$K$401,0)),"")</f>
      </c>
      <c r="C85" s="22">
        <f>IFERROR(INDEX(_datos!$B$2:$B$401,MATCH(ROW()-13,_datos!$K$2:$K$401,0)),"")</f>
      </c>
      <c r="D85" s="43">
        <f>IFERROR(INDEX(_datos!$C$2:$C$401,MATCH(ROW()-13,_datos!$K$2:$K$401,0)),"")</f>
      </c>
      <c r="E85" s="22">
        <f>IFERROR(INDEX(_datos!$D$2:$D$401,MATCH(ROW()-13,_datos!$K$2:$K$401,0)),"")</f>
      </c>
      <c r="F85" s="21">
        <f>IFERROR(INDEX(_datos!$E$2:$E$401,MATCH(ROW()-13,_datos!$K$2:$K$401,0)),"")</f>
      </c>
      <c r="G85" s="23">
        <f>IFERROR(INDEX(_datos!$F$2:$F$401,MATCH(ROW()-13,_datos!$K$2:$K$401,0)),"")</f>
      </c>
      <c r="H85" s="21">
        <f>IFERROR(INDEX(_datos!$G$2:$G$401,MATCH(ROW()-13,_datos!$K$2:$K$401,0)),"")</f>
      </c>
      <c r="I85" s="24">
        <f>IFERROR(INDEX(_datos!$H$2:$H$401,MATCH(ROW()-13,_datos!$K$2:$K$401,0)),"")</f>
      </c>
      <c r="J85" s="22">
        <f>IFERROR(INDEX(_datos!$I$2:$I$401,MATCH(ROW()-13,_datos!$K$2:$K$401,0)),"")</f>
      </c>
      <c r="K85" s="44">
        <f>IFERROR(HYPERLINK(INDEX(_datos!$J$2:$J$401,MATCH(ROW()-13,_datos!$K$2:$K$401,0)),"abrir mapa"),"")</f>
      </c>
    </row>
    <row r="86" ht="18.75" customHeight="1" spans="2:11" x14ac:dyDescent="0.25">
      <c r="B86" s="20">
        <f>IFERROR(INDEX(_datos!$A$2:$A$401,MATCH(ROW()-13,_datos!$K$2:$K$401,0)),"")</f>
      </c>
      <c r="C86" s="22">
        <f>IFERROR(INDEX(_datos!$B$2:$B$401,MATCH(ROW()-13,_datos!$K$2:$K$401,0)),"")</f>
      </c>
      <c r="D86" s="43">
        <f>IFERROR(INDEX(_datos!$C$2:$C$401,MATCH(ROW()-13,_datos!$K$2:$K$401,0)),"")</f>
      </c>
      <c r="E86" s="22">
        <f>IFERROR(INDEX(_datos!$D$2:$D$401,MATCH(ROW()-13,_datos!$K$2:$K$401,0)),"")</f>
      </c>
      <c r="F86" s="21">
        <f>IFERROR(INDEX(_datos!$E$2:$E$401,MATCH(ROW()-13,_datos!$K$2:$K$401,0)),"")</f>
      </c>
      <c r="G86" s="23">
        <f>IFERROR(INDEX(_datos!$F$2:$F$401,MATCH(ROW()-13,_datos!$K$2:$K$401,0)),"")</f>
      </c>
      <c r="H86" s="21">
        <f>IFERROR(INDEX(_datos!$G$2:$G$401,MATCH(ROW()-13,_datos!$K$2:$K$401,0)),"")</f>
      </c>
      <c r="I86" s="24">
        <f>IFERROR(INDEX(_datos!$H$2:$H$401,MATCH(ROW()-13,_datos!$K$2:$K$401,0)),"")</f>
      </c>
      <c r="J86" s="22">
        <f>IFERROR(INDEX(_datos!$I$2:$I$401,MATCH(ROW()-13,_datos!$K$2:$K$401,0)),"")</f>
      </c>
      <c r="K86" s="44">
        <f>IFERROR(HYPERLINK(INDEX(_datos!$J$2:$J$401,MATCH(ROW()-13,_datos!$K$2:$K$401,0)),"abrir mapa"),"")</f>
      </c>
    </row>
    <row r="87" ht="18.75" customHeight="1" spans="2:11" x14ac:dyDescent="0.25">
      <c r="B87" s="20">
        <f>IFERROR(INDEX(_datos!$A$2:$A$401,MATCH(ROW()-13,_datos!$K$2:$K$401,0)),"")</f>
      </c>
      <c r="C87" s="22">
        <f>IFERROR(INDEX(_datos!$B$2:$B$401,MATCH(ROW()-13,_datos!$K$2:$K$401,0)),"")</f>
      </c>
      <c r="D87" s="43">
        <f>IFERROR(INDEX(_datos!$C$2:$C$401,MATCH(ROW()-13,_datos!$K$2:$K$401,0)),"")</f>
      </c>
      <c r="E87" s="22">
        <f>IFERROR(INDEX(_datos!$D$2:$D$401,MATCH(ROW()-13,_datos!$K$2:$K$401,0)),"")</f>
      </c>
      <c r="F87" s="21">
        <f>IFERROR(INDEX(_datos!$E$2:$E$401,MATCH(ROW()-13,_datos!$K$2:$K$401,0)),"")</f>
      </c>
      <c r="G87" s="23">
        <f>IFERROR(INDEX(_datos!$F$2:$F$401,MATCH(ROW()-13,_datos!$K$2:$K$401,0)),"")</f>
      </c>
      <c r="H87" s="21">
        <f>IFERROR(INDEX(_datos!$G$2:$G$401,MATCH(ROW()-13,_datos!$K$2:$K$401,0)),"")</f>
      </c>
      <c r="I87" s="24">
        <f>IFERROR(INDEX(_datos!$H$2:$H$401,MATCH(ROW()-13,_datos!$K$2:$K$401,0)),"")</f>
      </c>
      <c r="J87" s="22">
        <f>IFERROR(INDEX(_datos!$I$2:$I$401,MATCH(ROW()-13,_datos!$K$2:$K$401,0)),"")</f>
      </c>
      <c r="K87" s="44">
        <f>IFERROR(HYPERLINK(INDEX(_datos!$J$2:$J$401,MATCH(ROW()-13,_datos!$K$2:$K$401,0)),"abrir mapa"),"")</f>
      </c>
    </row>
    <row r="88" ht="18.75" customHeight="1" spans="2:11" x14ac:dyDescent="0.25">
      <c r="B88" s="20">
        <f>IFERROR(INDEX(_datos!$A$2:$A$401,MATCH(ROW()-13,_datos!$K$2:$K$401,0)),"")</f>
      </c>
      <c r="C88" s="22">
        <f>IFERROR(INDEX(_datos!$B$2:$B$401,MATCH(ROW()-13,_datos!$K$2:$K$401,0)),"")</f>
      </c>
      <c r="D88" s="43">
        <f>IFERROR(INDEX(_datos!$C$2:$C$401,MATCH(ROW()-13,_datos!$K$2:$K$401,0)),"")</f>
      </c>
      <c r="E88" s="22">
        <f>IFERROR(INDEX(_datos!$D$2:$D$401,MATCH(ROW()-13,_datos!$K$2:$K$401,0)),"")</f>
      </c>
      <c r="F88" s="21">
        <f>IFERROR(INDEX(_datos!$E$2:$E$401,MATCH(ROW()-13,_datos!$K$2:$K$401,0)),"")</f>
      </c>
      <c r="G88" s="23">
        <f>IFERROR(INDEX(_datos!$F$2:$F$401,MATCH(ROW()-13,_datos!$K$2:$K$401,0)),"")</f>
      </c>
      <c r="H88" s="21">
        <f>IFERROR(INDEX(_datos!$G$2:$G$401,MATCH(ROW()-13,_datos!$K$2:$K$401,0)),"")</f>
      </c>
      <c r="I88" s="24">
        <f>IFERROR(INDEX(_datos!$H$2:$H$401,MATCH(ROW()-13,_datos!$K$2:$K$401,0)),"")</f>
      </c>
      <c r="J88" s="22">
        <f>IFERROR(INDEX(_datos!$I$2:$I$401,MATCH(ROW()-13,_datos!$K$2:$K$401,0)),"")</f>
      </c>
      <c r="K88" s="44">
        <f>IFERROR(HYPERLINK(INDEX(_datos!$J$2:$J$401,MATCH(ROW()-13,_datos!$K$2:$K$401,0)),"abrir mapa"),"")</f>
      </c>
    </row>
    <row r="89" ht="18.75" customHeight="1" spans="2:11" x14ac:dyDescent="0.25">
      <c r="B89" s="20">
        <f>IFERROR(INDEX(_datos!$A$2:$A$401,MATCH(ROW()-13,_datos!$K$2:$K$401,0)),"")</f>
      </c>
      <c r="C89" s="22">
        <f>IFERROR(INDEX(_datos!$B$2:$B$401,MATCH(ROW()-13,_datos!$K$2:$K$401,0)),"")</f>
      </c>
      <c r="D89" s="43">
        <f>IFERROR(INDEX(_datos!$C$2:$C$401,MATCH(ROW()-13,_datos!$K$2:$K$401,0)),"")</f>
      </c>
      <c r="E89" s="22">
        <f>IFERROR(INDEX(_datos!$D$2:$D$401,MATCH(ROW()-13,_datos!$K$2:$K$401,0)),"")</f>
      </c>
      <c r="F89" s="21">
        <f>IFERROR(INDEX(_datos!$E$2:$E$401,MATCH(ROW()-13,_datos!$K$2:$K$401,0)),"")</f>
      </c>
      <c r="G89" s="23">
        <f>IFERROR(INDEX(_datos!$F$2:$F$401,MATCH(ROW()-13,_datos!$K$2:$K$401,0)),"")</f>
      </c>
      <c r="H89" s="21">
        <f>IFERROR(INDEX(_datos!$G$2:$G$401,MATCH(ROW()-13,_datos!$K$2:$K$401,0)),"")</f>
      </c>
      <c r="I89" s="24">
        <f>IFERROR(INDEX(_datos!$H$2:$H$401,MATCH(ROW()-13,_datos!$K$2:$K$401,0)),"")</f>
      </c>
      <c r="J89" s="22">
        <f>IFERROR(INDEX(_datos!$I$2:$I$401,MATCH(ROW()-13,_datos!$K$2:$K$401,0)),"")</f>
      </c>
      <c r="K89" s="44">
        <f>IFERROR(HYPERLINK(INDEX(_datos!$J$2:$J$401,MATCH(ROW()-13,_datos!$K$2:$K$401,0)),"abrir mapa"),"")</f>
      </c>
    </row>
    <row r="90" ht="18.75" customHeight="1" spans="2:11" x14ac:dyDescent="0.25">
      <c r="B90" s="20">
        <f>IFERROR(INDEX(_datos!$A$2:$A$401,MATCH(ROW()-13,_datos!$K$2:$K$401,0)),"")</f>
      </c>
      <c r="C90" s="22">
        <f>IFERROR(INDEX(_datos!$B$2:$B$401,MATCH(ROW()-13,_datos!$K$2:$K$401,0)),"")</f>
      </c>
      <c r="D90" s="43">
        <f>IFERROR(INDEX(_datos!$C$2:$C$401,MATCH(ROW()-13,_datos!$K$2:$K$401,0)),"")</f>
      </c>
      <c r="E90" s="22">
        <f>IFERROR(INDEX(_datos!$D$2:$D$401,MATCH(ROW()-13,_datos!$K$2:$K$401,0)),"")</f>
      </c>
      <c r="F90" s="21">
        <f>IFERROR(INDEX(_datos!$E$2:$E$401,MATCH(ROW()-13,_datos!$K$2:$K$401,0)),"")</f>
      </c>
      <c r="G90" s="23">
        <f>IFERROR(INDEX(_datos!$F$2:$F$401,MATCH(ROW()-13,_datos!$K$2:$K$401,0)),"")</f>
      </c>
      <c r="H90" s="21">
        <f>IFERROR(INDEX(_datos!$G$2:$G$401,MATCH(ROW()-13,_datos!$K$2:$K$401,0)),"")</f>
      </c>
      <c r="I90" s="24">
        <f>IFERROR(INDEX(_datos!$H$2:$H$401,MATCH(ROW()-13,_datos!$K$2:$K$401,0)),"")</f>
      </c>
      <c r="J90" s="22">
        <f>IFERROR(INDEX(_datos!$I$2:$I$401,MATCH(ROW()-13,_datos!$K$2:$K$401,0)),"")</f>
      </c>
      <c r="K90" s="44">
        <f>IFERROR(HYPERLINK(INDEX(_datos!$J$2:$J$401,MATCH(ROW()-13,_datos!$K$2:$K$401,0)),"abrir mapa"),"")</f>
      </c>
    </row>
    <row r="91" ht="18.75" customHeight="1" spans="2:11" x14ac:dyDescent="0.25">
      <c r="B91" s="20">
        <f>IFERROR(INDEX(_datos!$A$2:$A$401,MATCH(ROW()-13,_datos!$K$2:$K$401,0)),"")</f>
      </c>
      <c r="C91" s="22">
        <f>IFERROR(INDEX(_datos!$B$2:$B$401,MATCH(ROW()-13,_datos!$K$2:$K$401,0)),"")</f>
      </c>
      <c r="D91" s="43">
        <f>IFERROR(INDEX(_datos!$C$2:$C$401,MATCH(ROW()-13,_datos!$K$2:$K$401,0)),"")</f>
      </c>
      <c r="E91" s="22">
        <f>IFERROR(INDEX(_datos!$D$2:$D$401,MATCH(ROW()-13,_datos!$K$2:$K$401,0)),"")</f>
      </c>
      <c r="F91" s="21">
        <f>IFERROR(INDEX(_datos!$E$2:$E$401,MATCH(ROW()-13,_datos!$K$2:$K$401,0)),"")</f>
      </c>
      <c r="G91" s="23">
        <f>IFERROR(INDEX(_datos!$F$2:$F$401,MATCH(ROW()-13,_datos!$K$2:$K$401,0)),"")</f>
      </c>
      <c r="H91" s="21">
        <f>IFERROR(INDEX(_datos!$G$2:$G$401,MATCH(ROW()-13,_datos!$K$2:$K$401,0)),"")</f>
      </c>
      <c r="I91" s="24">
        <f>IFERROR(INDEX(_datos!$H$2:$H$401,MATCH(ROW()-13,_datos!$K$2:$K$401,0)),"")</f>
      </c>
      <c r="J91" s="22">
        <f>IFERROR(INDEX(_datos!$I$2:$I$401,MATCH(ROW()-13,_datos!$K$2:$K$401,0)),"")</f>
      </c>
      <c r="K91" s="44">
        <f>IFERROR(HYPERLINK(INDEX(_datos!$J$2:$J$401,MATCH(ROW()-13,_datos!$K$2:$K$401,0)),"abrir mapa"),"")</f>
      </c>
    </row>
    <row r="92" ht="18.75" customHeight="1" spans="2:11" x14ac:dyDescent="0.25">
      <c r="B92" s="20">
        <f>IFERROR(INDEX(_datos!$A$2:$A$401,MATCH(ROW()-13,_datos!$K$2:$K$401,0)),"")</f>
      </c>
      <c r="C92" s="22">
        <f>IFERROR(INDEX(_datos!$B$2:$B$401,MATCH(ROW()-13,_datos!$K$2:$K$401,0)),"")</f>
      </c>
      <c r="D92" s="43">
        <f>IFERROR(INDEX(_datos!$C$2:$C$401,MATCH(ROW()-13,_datos!$K$2:$K$401,0)),"")</f>
      </c>
      <c r="E92" s="22">
        <f>IFERROR(INDEX(_datos!$D$2:$D$401,MATCH(ROW()-13,_datos!$K$2:$K$401,0)),"")</f>
      </c>
      <c r="F92" s="21">
        <f>IFERROR(INDEX(_datos!$E$2:$E$401,MATCH(ROW()-13,_datos!$K$2:$K$401,0)),"")</f>
      </c>
      <c r="G92" s="23">
        <f>IFERROR(INDEX(_datos!$F$2:$F$401,MATCH(ROW()-13,_datos!$K$2:$K$401,0)),"")</f>
      </c>
      <c r="H92" s="21">
        <f>IFERROR(INDEX(_datos!$G$2:$G$401,MATCH(ROW()-13,_datos!$K$2:$K$401,0)),"")</f>
      </c>
      <c r="I92" s="24">
        <f>IFERROR(INDEX(_datos!$H$2:$H$401,MATCH(ROW()-13,_datos!$K$2:$K$401,0)),"")</f>
      </c>
      <c r="J92" s="22">
        <f>IFERROR(INDEX(_datos!$I$2:$I$401,MATCH(ROW()-13,_datos!$K$2:$K$401,0)),"")</f>
      </c>
      <c r="K92" s="44">
        <f>IFERROR(HYPERLINK(INDEX(_datos!$J$2:$J$401,MATCH(ROW()-13,_datos!$K$2:$K$401,0)),"abrir mapa"),"")</f>
      </c>
    </row>
    <row r="93" ht="18.75" customHeight="1" spans="2:11" x14ac:dyDescent="0.25">
      <c r="B93" s="20">
        <f>IFERROR(INDEX(_datos!$A$2:$A$401,MATCH(ROW()-13,_datos!$K$2:$K$401,0)),"")</f>
      </c>
      <c r="C93" s="22">
        <f>IFERROR(INDEX(_datos!$B$2:$B$401,MATCH(ROW()-13,_datos!$K$2:$K$401,0)),"")</f>
      </c>
      <c r="D93" s="43">
        <f>IFERROR(INDEX(_datos!$C$2:$C$401,MATCH(ROW()-13,_datos!$K$2:$K$401,0)),"")</f>
      </c>
      <c r="E93" s="22">
        <f>IFERROR(INDEX(_datos!$D$2:$D$401,MATCH(ROW()-13,_datos!$K$2:$K$401,0)),"")</f>
      </c>
      <c r="F93" s="21">
        <f>IFERROR(INDEX(_datos!$E$2:$E$401,MATCH(ROW()-13,_datos!$K$2:$K$401,0)),"")</f>
      </c>
      <c r="G93" s="23">
        <f>IFERROR(INDEX(_datos!$F$2:$F$401,MATCH(ROW()-13,_datos!$K$2:$K$401,0)),"")</f>
      </c>
      <c r="H93" s="21">
        <f>IFERROR(INDEX(_datos!$G$2:$G$401,MATCH(ROW()-13,_datos!$K$2:$K$401,0)),"")</f>
      </c>
      <c r="I93" s="24">
        <f>IFERROR(INDEX(_datos!$H$2:$H$401,MATCH(ROW()-13,_datos!$K$2:$K$401,0)),"")</f>
      </c>
      <c r="J93" s="22">
        <f>IFERROR(INDEX(_datos!$I$2:$I$401,MATCH(ROW()-13,_datos!$K$2:$K$401,0)),"")</f>
      </c>
      <c r="K93" s="44">
        <f>IFERROR(HYPERLINK(INDEX(_datos!$J$2:$J$401,MATCH(ROW()-13,_datos!$K$2:$K$401,0)),"abrir mapa"),"")</f>
      </c>
    </row>
    <row r="94" ht="18.75" customHeight="1" spans="2:11" x14ac:dyDescent="0.25">
      <c r="B94" s="20">
        <f>IFERROR(INDEX(_datos!$A$2:$A$401,MATCH(ROW()-13,_datos!$K$2:$K$401,0)),"")</f>
      </c>
      <c r="C94" s="22">
        <f>IFERROR(INDEX(_datos!$B$2:$B$401,MATCH(ROW()-13,_datos!$K$2:$K$401,0)),"")</f>
      </c>
      <c r="D94" s="43">
        <f>IFERROR(INDEX(_datos!$C$2:$C$401,MATCH(ROW()-13,_datos!$K$2:$K$401,0)),"")</f>
      </c>
      <c r="E94" s="22">
        <f>IFERROR(INDEX(_datos!$D$2:$D$401,MATCH(ROW()-13,_datos!$K$2:$K$401,0)),"")</f>
      </c>
      <c r="F94" s="21">
        <f>IFERROR(INDEX(_datos!$E$2:$E$401,MATCH(ROW()-13,_datos!$K$2:$K$401,0)),"")</f>
      </c>
      <c r="G94" s="23">
        <f>IFERROR(INDEX(_datos!$F$2:$F$401,MATCH(ROW()-13,_datos!$K$2:$K$401,0)),"")</f>
      </c>
      <c r="H94" s="21">
        <f>IFERROR(INDEX(_datos!$G$2:$G$401,MATCH(ROW()-13,_datos!$K$2:$K$401,0)),"")</f>
      </c>
      <c r="I94" s="24">
        <f>IFERROR(INDEX(_datos!$H$2:$H$401,MATCH(ROW()-13,_datos!$K$2:$K$401,0)),"")</f>
      </c>
      <c r="J94" s="22">
        <f>IFERROR(INDEX(_datos!$I$2:$I$401,MATCH(ROW()-13,_datos!$K$2:$K$401,0)),"")</f>
      </c>
      <c r="K94" s="44">
        <f>IFERROR(HYPERLINK(INDEX(_datos!$J$2:$J$401,MATCH(ROW()-13,_datos!$K$2:$K$401,0)),"abrir mapa"),"")</f>
      </c>
    </row>
    <row r="95" ht="18.75" customHeight="1" spans="2:11" x14ac:dyDescent="0.25">
      <c r="B95" s="20">
        <f>IFERROR(INDEX(_datos!$A$2:$A$401,MATCH(ROW()-13,_datos!$K$2:$K$401,0)),"")</f>
      </c>
      <c r="C95" s="22">
        <f>IFERROR(INDEX(_datos!$B$2:$B$401,MATCH(ROW()-13,_datos!$K$2:$K$401,0)),"")</f>
      </c>
      <c r="D95" s="43">
        <f>IFERROR(INDEX(_datos!$C$2:$C$401,MATCH(ROW()-13,_datos!$K$2:$K$401,0)),"")</f>
      </c>
      <c r="E95" s="22">
        <f>IFERROR(INDEX(_datos!$D$2:$D$401,MATCH(ROW()-13,_datos!$K$2:$K$401,0)),"")</f>
      </c>
      <c r="F95" s="21">
        <f>IFERROR(INDEX(_datos!$E$2:$E$401,MATCH(ROW()-13,_datos!$K$2:$K$401,0)),"")</f>
      </c>
      <c r="G95" s="23">
        <f>IFERROR(INDEX(_datos!$F$2:$F$401,MATCH(ROW()-13,_datos!$K$2:$K$401,0)),"")</f>
      </c>
      <c r="H95" s="21">
        <f>IFERROR(INDEX(_datos!$G$2:$G$401,MATCH(ROW()-13,_datos!$K$2:$K$401,0)),"")</f>
      </c>
      <c r="I95" s="24">
        <f>IFERROR(INDEX(_datos!$H$2:$H$401,MATCH(ROW()-13,_datos!$K$2:$K$401,0)),"")</f>
      </c>
      <c r="J95" s="22">
        <f>IFERROR(INDEX(_datos!$I$2:$I$401,MATCH(ROW()-13,_datos!$K$2:$K$401,0)),"")</f>
      </c>
      <c r="K95" s="44">
        <f>IFERROR(HYPERLINK(INDEX(_datos!$J$2:$J$401,MATCH(ROW()-13,_datos!$K$2:$K$401,0)),"abrir mapa"),"")</f>
      </c>
    </row>
    <row r="96" ht="18.75" customHeight="1" spans="2:11" x14ac:dyDescent="0.25">
      <c r="B96" s="20">
        <f>IFERROR(INDEX(_datos!$A$2:$A$401,MATCH(ROW()-13,_datos!$K$2:$K$401,0)),"")</f>
      </c>
      <c r="C96" s="22">
        <f>IFERROR(INDEX(_datos!$B$2:$B$401,MATCH(ROW()-13,_datos!$K$2:$K$401,0)),"")</f>
      </c>
      <c r="D96" s="43">
        <f>IFERROR(INDEX(_datos!$C$2:$C$401,MATCH(ROW()-13,_datos!$K$2:$K$401,0)),"")</f>
      </c>
      <c r="E96" s="22">
        <f>IFERROR(INDEX(_datos!$D$2:$D$401,MATCH(ROW()-13,_datos!$K$2:$K$401,0)),"")</f>
      </c>
      <c r="F96" s="21">
        <f>IFERROR(INDEX(_datos!$E$2:$E$401,MATCH(ROW()-13,_datos!$K$2:$K$401,0)),"")</f>
      </c>
      <c r="G96" s="23">
        <f>IFERROR(INDEX(_datos!$F$2:$F$401,MATCH(ROW()-13,_datos!$K$2:$K$401,0)),"")</f>
      </c>
      <c r="H96" s="21">
        <f>IFERROR(INDEX(_datos!$G$2:$G$401,MATCH(ROW()-13,_datos!$K$2:$K$401,0)),"")</f>
      </c>
      <c r="I96" s="24">
        <f>IFERROR(INDEX(_datos!$H$2:$H$401,MATCH(ROW()-13,_datos!$K$2:$K$401,0)),"")</f>
      </c>
      <c r="J96" s="22">
        <f>IFERROR(INDEX(_datos!$I$2:$I$401,MATCH(ROW()-13,_datos!$K$2:$K$401,0)),"")</f>
      </c>
      <c r="K96" s="44">
        <f>IFERROR(HYPERLINK(INDEX(_datos!$J$2:$J$401,MATCH(ROW()-13,_datos!$K$2:$K$401,0)),"abrir mapa"),"")</f>
      </c>
    </row>
    <row r="97" ht="18.75" customHeight="1" spans="2:11" x14ac:dyDescent="0.25">
      <c r="B97" s="20">
        <f>IFERROR(INDEX(_datos!$A$2:$A$401,MATCH(ROW()-13,_datos!$K$2:$K$401,0)),"")</f>
      </c>
      <c r="C97" s="22">
        <f>IFERROR(INDEX(_datos!$B$2:$B$401,MATCH(ROW()-13,_datos!$K$2:$K$401,0)),"")</f>
      </c>
      <c r="D97" s="43">
        <f>IFERROR(INDEX(_datos!$C$2:$C$401,MATCH(ROW()-13,_datos!$K$2:$K$401,0)),"")</f>
      </c>
      <c r="E97" s="22">
        <f>IFERROR(INDEX(_datos!$D$2:$D$401,MATCH(ROW()-13,_datos!$K$2:$K$401,0)),"")</f>
      </c>
      <c r="F97" s="21">
        <f>IFERROR(INDEX(_datos!$E$2:$E$401,MATCH(ROW()-13,_datos!$K$2:$K$401,0)),"")</f>
      </c>
      <c r="G97" s="23">
        <f>IFERROR(INDEX(_datos!$F$2:$F$401,MATCH(ROW()-13,_datos!$K$2:$K$401,0)),"")</f>
      </c>
      <c r="H97" s="21">
        <f>IFERROR(INDEX(_datos!$G$2:$G$401,MATCH(ROW()-13,_datos!$K$2:$K$401,0)),"")</f>
      </c>
      <c r="I97" s="24">
        <f>IFERROR(INDEX(_datos!$H$2:$H$401,MATCH(ROW()-13,_datos!$K$2:$K$401,0)),"")</f>
      </c>
      <c r="J97" s="22">
        <f>IFERROR(INDEX(_datos!$I$2:$I$401,MATCH(ROW()-13,_datos!$K$2:$K$401,0)),"")</f>
      </c>
      <c r="K97" s="44">
        <f>IFERROR(HYPERLINK(INDEX(_datos!$J$2:$J$401,MATCH(ROW()-13,_datos!$K$2:$K$401,0)),"abrir mapa"),"")</f>
      </c>
    </row>
    <row r="98" ht="18.75" customHeight="1" spans="2:11" x14ac:dyDescent="0.25">
      <c r="B98" s="20">
        <f>IFERROR(INDEX(_datos!$A$2:$A$401,MATCH(ROW()-13,_datos!$K$2:$K$401,0)),"")</f>
      </c>
      <c r="C98" s="22">
        <f>IFERROR(INDEX(_datos!$B$2:$B$401,MATCH(ROW()-13,_datos!$K$2:$K$401,0)),"")</f>
      </c>
      <c r="D98" s="43">
        <f>IFERROR(INDEX(_datos!$C$2:$C$401,MATCH(ROW()-13,_datos!$K$2:$K$401,0)),"")</f>
      </c>
      <c r="E98" s="22">
        <f>IFERROR(INDEX(_datos!$D$2:$D$401,MATCH(ROW()-13,_datos!$K$2:$K$401,0)),"")</f>
      </c>
      <c r="F98" s="21">
        <f>IFERROR(INDEX(_datos!$E$2:$E$401,MATCH(ROW()-13,_datos!$K$2:$K$401,0)),"")</f>
      </c>
      <c r="G98" s="23">
        <f>IFERROR(INDEX(_datos!$F$2:$F$401,MATCH(ROW()-13,_datos!$K$2:$K$401,0)),"")</f>
      </c>
      <c r="H98" s="21">
        <f>IFERROR(INDEX(_datos!$G$2:$G$401,MATCH(ROW()-13,_datos!$K$2:$K$401,0)),"")</f>
      </c>
      <c r="I98" s="24">
        <f>IFERROR(INDEX(_datos!$H$2:$H$401,MATCH(ROW()-13,_datos!$K$2:$K$401,0)),"")</f>
      </c>
      <c r="J98" s="22">
        <f>IFERROR(INDEX(_datos!$I$2:$I$401,MATCH(ROW()-13,_datos!$K$2:$K$401,0)),"")</f>
      </c>
      <c r="K98" s="44">
        <f>IFERROR(HYPERLINK(INDEX(_datos!$J$2:$J$401,MATCH(ROW()-13,_datos!$K$2:$K$401,0)),"abrir mapa"),"")</f>
      </c>
    </row>
    <row r="99" ht="18.75" customHeight="1" spans="2:11" x14ac:dyDescent="0.25">
      <c r="B99" s="20">
        <f>IFERROR(INDEX(_datos!$A$2:$A$401,MATCH(ROW()-13,_datos!$K$2:$K$401,0)),"")</f>
      </c>
      <c r="C99" s="22">
        <f>IFERROR(INDEX(_datos!$B$2:$B$401,MATCH(ROW()-13,_datos!$K$2:$K$401,0)),"")</f>
      </c>
      <c r="D99" s="43">
        <f>IFERROR(INDEX(_datos!$C$2:$C$401,MATCH(ROW()-13,_datos!$K$2:$K$401,0)),"")</f>
      </c>
      <c r="E99" s="22">
        <f>IFERROR(INDEX(_datos!$D$2:$D$401,MATCH(ROW()-13,_datos!$K$2:$K$401,0)),"")</f>
      </c>
      <c r="F99" s="21">
        <f>IFERROR(INDEX(_datos!$E$2:$E$401,MATCH(ROW()-13,_datos!$K$2:$K$401,0)),"")</f>
      </c>
      <c r="G99" s="23">
        <f>IFERROR(INDEX(_datos!$F$2:$F$401,MATCH(ROW()-13,_datos!$K$2:$K$401,0)),"")</f>
      </c>
      <c r="H99" s="21">
        <f>IFERROR(INDEX(_datos!$G$2:$G$401,MATCH(ROW()-13,_datos!$K$2:$K$401,0)),"")</f>
      </c>
      <c r="I99" s="24">
        <f>IFERROR(INDEX(_datos!$H$2:$H$401,MATCH(ROW()-13,_datos!$K$2:$K$401,0)),"")</f>
      </c>
      <c r="J99" s="22">
        <f>IFERROR(INDEX(_datos!$I$2:$I$401,MATCH(ROW()-13,_datos!$K$2:$K$401,0)),"")</f>
      </c>
      <c r="K99" s="44">
        <f>IFERROR(HYPERLINK(INDEX(_datos!$J$2:$J$401,MATCH(ROW()-13,_datos!$K$2:$K$401,0)),"abrir mapa"),"")</f>
      </c>
    </row>
    <row r="100" ht="18.75" customHeight="1" spans="2:11" x14ac:dyDescent="0.25">
      <c r="B100" s="20">
        <f>IFERROR(INDEX(_datos!$A$2:$A$401,MATCH(ROW()-13,_datos!$K$2:$K$401,0)),"")</f>
      </c>
      <c r="C100" s="22">
        <f>IFERROR(INDEX(_datos!$B$2:$B$401,MATCH(ROW()-13,_datos!$K$2:$K$401,0)),"")</f>
      </c>
      <c r="D100" s="43">
        <f>IFERROR(INDEX(_datos!$C$2:$C$401,MATCH(ROW()-13,_datos!$K$2:$K$401,0)),"")</f>
      </c>
      <c r="E100" s="22">
        <f>IFERROR(INDEX(_datos!$D$2:$D$401,MATCH(ROW()-13,_datos!$K$2:$K$401,0)),"")</f>
      </c>
      <c r="F100" s="21">
        <f>IFERROR(INDEX(_datos!$E$2:$E$401,MATCH(ROW()-13,_datos!$K$2:$K$401,0)),"")</f>
      </c>
      <c r="G100" s="23">
        <f>IFERROR(INDEX(_datos!$F$2:$F$401,MATCH(ROW()-13,_datos!$K$2:$K$401,0)),"")</f>
      </c>
      <c r="H100" s="21">
        <f>IFERROR(INDEX(_datos!$G$2:$G$401,MATCH(ROW()-13,_datos!$K$2:$K$401,0)),"")</f>
      </c>
      <c r="I100" s="24">
        <f>IFERROR(INDEX(_datos!$H$2:$H$401,MATCH(ROW()-13,_datos!$K$2:$K$401,0)),"")</f>
      </c>
      <c r="J100" s="22">
        <f>IFERROR(INDEX(_datos!$I$2:$I$401,MATCH(ROW()-13,_datos!$K$2:$K$401,0)),"")</f>
      </c>
      <c r="K100" s="44">
        <f>IFERROR(HYPERLINK(INDEX(_datos!$J$2:$J$401,MATCH(ROW()-13,_datos!$K$2:$K$401,0)),"abrir mapa"),"")</f>
      </c>
    </row>
    <row r="101" ht="18.75" customHeight="1" spans="2:11" x14ac:dyDescent="0.25">
      <c r="B101" s="20">
        <f>IFERROR(INDEX(_datos!$A$2:$A$401,MATCH(ROW()-13,_datos!$K$2:$K$401,0)),"")</f>
      </c>
      <c r="C101" s="22">
        <f>IFERROR(INDEX(_datos!$B$2:$B$401,MATCH(ROW()-13,_datos!$K$2:$K$401,0)),"")</f>
      </c>
      <c r="D101" s="43">
        <f>IFERROR(INDEX(_datos!$C$2:$C$401,MATCH(ROW()-13,_datos!$K$2:$K$401,0)),"")</f>
      </c>
      <c r="E101" s="22">
        <f>IFERROR(INDEX(_datos!$D$2:$D$401,MATCH(ROW()-13,_datos!$K$2:$K$401,0)),"")</f>
      </c>
      <c r="F101" s="21">
        <f>IFERROR(INDEX(_datos!$E$2:$E$401,MATCH(ROW()-13,_datos!$K$2:$K$401,0)),"")</f>
      </c>
      <c r="G101" s="23">
        <f>IFERROR(INDEX(_datos!$F$2:$F$401,MATCH(ROW()-13,_datos!$K$2:$K$401,0)),"")</f>
      </c>
      <c r="H101" s="21">
        <f>IFERROR(INDEX(_datos!$G$2:$G$401,MATCH(ROW()-13,_datos!$K$2:$K$401,0)),"")</f>
      </c>
      <c r="I101" s="24">
        <f>IFERROR(INDEX(_datos!$H$2:$H$401,MATCH(ROW()-13,_datos!$K$2:$K$401,0)),"")</f>
      </c>
      <c r="J101" s="22">
        <f>IFERROR(INDEX(_datos!$I$2:$I$401,MATCH(ROW()-13,_datos!$K$2:$K$401,0)),"")</f>
      </c>
      <c r="K101" s="44">
        <f>IFERROR(HYPERLINK(INDEX(_datos!$J$2:$J$401,MATCH(ROW()-13,_datos!$K$2:$K$401,0)),"abrir mapa"),"")</f>
      </c>
    </row>
    <row r="102" ht="18.75" customHeight="1" spans="2:11" x14ac:dyDescent="0.25">
      <c r="B102" s="20">
        <f>IFERROR(INDEX(_datos!$A$2:$A$401,MATCH(ROW()-13,_datos!$K$2:$K$401,0)),"")</f>
      </c>
      <c r="C102" s="22">
        <f>IFERROR(INDEX(_datos!$B$2:$B$401,MATCH(ROW()-13,_datos!$K$2:$K$401,0)),"")</f>
      </c>
      <c r="D102" s="43">
        <f>IFERROR(INDEX(_datos!$C$2:$C$401,MATCH(ROW()-13,_datos!$K$2:$K$401,0)),"")</f>
      </c>
      <c r="E102" s="22">
        <f>IFERROR(INDEX(_datos!$D$2:$D$401,MATCH(ROW()-13,_datos!$K$2:$K$401,0)),"")</f>
      </c>
      <c r="F102" s="21">
        <f>IFERROR(INDEX(_datos!$E$2:$E$401,MATCH(ROW()-13,_datos!$K$2:$K$401,0)),"")</f>
      </c>
      <c r="G102" s="23">
        <f>IFERROR(INDEX(_datos!$F$2:$F$401,MATCH(ROW()-13,_datos!$K$2:$K$401,0)),"")</f>
      </c>
      <c r="H102" s="21">
        <f>IFERROR(INDEX(_datos!$G$2:$G$401,MATCH(ROW()-13,_datos!$K$2:$K$401,0)),"")</f>
      </c>
      <c r="I102" s="24">
        <f>IFERROR(INDEX(_datos!$H$2:$H$401,MATCH(ROW()-13,_datos!$K$2:$K$401,0)),"")</f>
      </c>
      <c r="J102" s="22">
        <f>IFERROR(INDEX(_datos!$I$2:$I$401,MATCH(ROW()-13,_datos!$K$2:$K$401,0)),"")</f>
      </c>
      <c r="K102" s="44">
        <f>IFERROR(HYPERLINK(INDEX(_datos!$J$2:$J$401,MATCH(ROW()-13,_datos!$K$2:$K$401,0)),"abrir mapa"),"")</f>
      </c>
    </row>
    <row r="103" ht="18.75" customHeight="1" spans="2:11" x14ac:dyDescent="0.25">
      <c r="B103" s="20">
        <f>IFERROR(INDEX(_datos!$A$2:$A$401,MATCH(ROW()-13,_datos!$K$2:$K$401,0)),"")</f>
      </c>
      <c r="C103" s="22">
        <f>IFERROR(INDEX(_datos!$B$2:$B$401,MATCH(ROW()-13,_datos!$K$2:$K$401,0)),"")</f>
      </c>
      <c r="D103" s="43">
        <f>IFERROR(INDEX(_datos!$C$2:$C$401,MATCH(ROW()-13,_datos!$K$2:$K$401,0)),"")</f>
      </c>
      <c r="E103" s="22">
        <f>IFERROR(INDEX(_datos!$D$2:$D$401,MATCH(ROW()-13,_datos!$K$2:$K$401,0)),"")</f>
      </c>
      <c r="F103" s="21">
        <f>IFERROR(INDEX(_datos!$E$2:$E$401,MATCH(ROW()-13,_datos!$K$2:$K$401,0)),"")</f>
      </c>
      <c r="G103" s="23">
        <f>IFERROR(INDEX(_datos!$F$2:$F$401,MATCH(ROW()-13,_datos!$K$2:$K$401,0)),"")</f>
      </c>
      <c r="H103" s="21">
        <f>IFERROR(INDEX(_datos!$G$2:$G$401,MATCH(ROW()-13,_datos!$K$2:$K$401,0)),"")</f>
      </c>
      <c r="I103" s="24">
        <f>IFERROR(INDEX(_datos!$H$2:$H$401,MATCH(ROW()-13,_datos!$K$2:$K$401,0)),"")</f>
      </c>
      <c r="J103" s="22">
        <f>IFERROR(INDEX(_datos!$I$2:$I$401,MATCH(ROW()-13,_datos!$K$2:$K$401,0)),"")</f>
      </c>
      <c r="K103" s="44">
        <f>IFERROR(HYPERLINK(INDEX(_datos!$J$2:$J$401,MATCH(ROW()-13,_datos!$K$2:$K$401,0)),"abrir mapa"),"")</f>
      </c>
    </row>
    <row r="104" ht="18.75" customHeight="1" spans="2:11" x14ac:dyDescent="0.25">
      <c r="B104" s="20">
        <f>IFERROR(INDEX(_datos!$A$2:$A$401,MATCH(ROW()-13,_datos!$K$2:$K$401,0)),"")</f>
      </c>
      <c r="C104" s="22">
        <f>IFERROR(INDEX(_datos!$B$2:$B$401,MATCH(ROW()-13,_datos!$K$2:$K$401,0)),"")</f>
      </c>
      <c r="D104" s="43">
        <f>IFERROR(INDEX(_datos!$C$2:$C$401,MATCH(ROW()-13,_datos!$K$2:$K$401,0)),"")</f>
      </c>
      <c r="E104" s="22">
        <f>IFERROR(INDEX(_datos!$D$2:$D$401,MATCH(ROW()-13,_datos!$K$2:$K$401,0)),"")</f>
      </c>
      <c r="F104" s="21">
        <f>IFERROR(INDEX(_datos!$E$2:$E$401,MATCH(ROW()-13,_datos!$K$2:$K$401,0)),"")</f>
      </c>
      <c r="G104" s="23">
        <f>IFERROR(INDEX(_datos!$F$2:$F$401,MATCH(ROW()-13,_datos!$K$2:$K$401,0)),"")</f>
      </c>
      <c r="H104" s="21">
        <f>IFERROR(INDEX(_datos!$G$2:$G$401,MATCH(ROW()-13,_datos!$K$2:$K$401,0)),"")</f>
      </c>
      <c r="I104" s="24">
        <f>IFERROR(INDEX(_datos!$H$2:$H$401,MATCH(ROW()-13,_datos!$K$2:$K$401,0)),"")</f>
      </c>
      <c r="J104" s="22">
        <f>IFERROR(INDEX(_datos!$I$2:$I$401,MATCH(ROW()-13,_datos!$K$2:$K$401,0)),"")</f>
      </c>
      <c r="K104" s="44">
        <f>IFERROR(HYPERLINK(INDEX(_datos!$J$2:$J$401,MATCH(ROW()-13,_datos!$K$2:$K$401,0)),"abrir mapa"),"")</f>
      </c>
    </row>
    <row r="105" ht="18.75" customHeight="1" spans="2:11" x14ac:dyDescent="0.25">
      <c r="B105" s="20">
        <f>IFERROR(INDEX(_datos!$A$2:$A$401,MATCH(ROW()-13,_datos!$K$2:$K$401,0)),"")</f>
      </c>
      <c r="C105" s="22">
        <f>IFERROR(INDEX(_datos!$B$2:$B$401,MATCH(ROW()-13,_datos!$K$2:$K$401,0)),"")</f>
      </c>
      <c r="D105" s="43">
        <f>IFERROR(INDEX(_datos!$C$2:$C$401,MATCH(ROW()-13,_datos!$K$2:$K$401,0)),"")</f>
      </c>
      <c r="E105" s="22">
        <f>IFERROR(INDEX(_datos!$D$2:$D$401,MATCH(ROW()-13,_datos!$K$2:$K$401,0)),"")</f>
      </c>
      <c r="F105" s="21">
        <f>IFERROR(INDEX(_datos!$E$2:$E$401,MATCH(ROW()-13,_datos!$K$2:$K$401,0)),"")</f>
      </c>
      <c r="G105" s="23">
        <f>IFERROR(INDEX(_datos!$F$2:$F$401,MATCH(ROW()-13,_datos!$K$2:$K$401,0)),"")</f>
      </c>
      <c r="H105" s="21">
        <f>IFERROR(INDEX(_datos!$G$2:$G$401,MATCH(ROW()-13,_datos!$K$2:$K$401,0)),"")</f>
      </c>
      <c r="I105" s="24">
        <f>IFERROR(INDEX(_datos!$H$2:$H$401,MATCH(ROW()-13,_datos!$K$2:$K$401,0)),"")</f>
      </c>
      <c r="J105" s="22">
        <f>IFERROR(INDEX(_datos!$I$2:$I$401,MATCH(ROW()-13,_datos!$K$2:$K$401,0)),"")</f>
      </c>
      <c r="K105" s="44">
        <f>IFERROR(HYPERLINK(INDEX(_datos!$J$2:$J$401,MATCH(ROW()-13,_datos!$K$2:$K$401,0)),"abrir mapa"),"")</f>
      </c>
    </row>
    <row r="106" ht="18.75" customHeight="1" spans="2:11" x14ac:dyDescent="0.25">
      <c r="B106" s="20">
        <f>IFERROR(INDEX(_datos!$A$2:$A$401,MATCH(ROW()-13,_datos!$K$2:$K$401,0)),"")</f>
      </c>
      <c r="C106" s="22">
        <f>IFERROR(INDEX(_datos!$B$2:$B$401,MATCH(ROW()-13,_datos!$K$2:$K$401,0)),"")</f>
      </c>
      <c r="D106" s="43">
        <f>IFERROR(INDEX(_datos!$C$2:$C$401,MATCH(ROW()-13,_datos!$K$2:$K$401,0)),"")</f>
      </c>
      <c r="E106" s="22">
        <f>IFERROR(INDEX(_datos!$D$2:$D$401,MATCH(ROW()-13,_datos!$K$2:$K$401,0)),"")</f>
      </c>
      <c r="F106" s="21">
        <f>IFERROR(INDEX(_datos!$E$2:$E$401,MATCH(ROW()-13,_datos!$K$2:$K$401,0)),"")</f>
      </c>
      <c r="G106" s="23">
        <f>IFERROR(INDEX(_datos!$F$2:$F$401,MATCH(ROW()-13,_datos!$K$2:$K$401,0)),"")</f>
      </c>
      <c r="H106" s="21">
        <f>IFERROR(INDEX(_datos!$G$2:$G$401,MATCH(ROW()-13,_datos!$K$2:$K$401,0)),"")</f>
      </c>
      <c r="I106" s="24">
        <f>IFERROR(INDEX(_datos!$H$2:$H$401,MATCH(ROW()-13,_datos!$K$2:$K$401,0)),"")</f>
      </c>
      <c r="J106" s="22">
        <f>IFERROR(INDEX(_datos!$I$2:$I$401,MATCH(ROW()-13,_datos!$K$2:$K$401,0)),"")</f>
      </c>
      <c r="K106" s="44">
        <f>IFERROR(HYPERLINK(INDEX(_datos!$J$2:$J$401,MATCH(ROW()-13,_datos!$K$2:$K$401,0)),"abrir mapa"),"")</f>
      </c>
    </row>
    <row r="107" ht="18.75" customHeight="1" spans="2:11" x14ac:dyDescent="0.25">
      <c r="B107" s="20">
        <f>IFERROR(INDEX(_datos!$A$2:$A$401,MATCH(ROW()-13,_datos!$K$2:$K$401,0)),"")</f>
      </c>
      <c r="C107" s="22">
        <f>IFERROR(INDEX(_datos!$B$2:$B$401,MATCH(ROW()-13,_datos!$K$2:$K$401,0)),"")</f>
      </c>
      <c r="D107" s="43">
        <f>IFERROR(INDEX(_datos!$C$2:$C$401,MATCH(ROW()-13,_datos!$K$2:$K$401,0)),"")</f>
      </c>
      <c r="E107" s="22">
        <f>IFERROR(INDEX(_datos!$D$2:$D$401,MATCH(ROW()-13,_datos!$K$2:$K$401,0)),"")</f>
      </c>
      <c r="F107" s="21">
        <f>IFERROR(INDEX(_datos!$E$2:$E$401,MATCH(ROW()-13,_datos!$K$2:$K$401,0)),"")</f>
      </c>
      <c r="G107" s="23">
        <f>IFERROR(INDEX(_datos!$F$2:$F$401,MATCH(ROW()-13,_datos!$K$2:$K$401,0)),"")</f>
      </c>
      <c r="H107" s="21">
        <f>IFERROR(INDEX(_datos!$G$2:$G$401,MATCH(ROW()-13,_datos!$K$2:$K$401,0)),"")</f>
      </c>
      <c r="I107" s="24">
        <f>IFERROR(INDEX(_datos!$H$2:$H$401,MATCH(ROW()-13,_datos!$K$2:$K$401,0)),"")</f>
      </c>
      <c r="J107" s="22">
        <f>IFERROR(INDEX(_datos!$I$2:$I$401,MATCH(ROW()-13,_datos!$K$2:$K$401,0)),"")</f>
      </c>
      <c r="K107" s="44">
        <f>IFERROR(HYPERLINK(INDEX(_datos!$J$2:$J$401,MATCH(ROW()-13,_datos!$K$2:$K$401,0)),"abrir mapa"),"")</f>
      </c>
    </row>
    <row r="108" ht="18.75" customHeight="1" spans="2:11" x14ac:dyDescent="0.25">
      <c r="B108" s="20">
        <f>IFERROR(INDEX(_datos!$A$2:$A$401,MATCH(ROW()-13,_datos!$K$2:$K$401,0)),"")</f>
      </c>
      <c r="C108" s="22">
        <f>IFERROR(INDEX(_datos!$B$2:$B$401,MATCH(ROW()-13,_datos!$K$2:$K$401,0)),"")</f>
      </c>
      <c r="D108" s="43">
        <f>IFERROR(INDEX(_datos!$C$2:$C$401,MATCH(ROW()-13,_datos!$K$2:$K$401,0)),"")</f>
      </c>
      <c r="E108" s="22">
        <f>IFERROR(INDEX(_datos!$D$2:$D$401,MATCH(ROW()-13,_datos!$K$2:$K$401,0)),"")</f>
      </c>
      <c r="F108" s="21">
        <f>IFERROR(INDEX(_datos!$E$2:$E$401,MATCH(ROW()-13,_datos!$K$2:$K$401,0)),"")</f>
      </c>
      <c r="G108" s="23">
        <f>IFERROR(INDEX(_datos!$F$2:$F$401,MATCH(ROW()-13,_datos!$K$2:$K$401,0)),"")</f>
      </c>
      <c r="H108" s="21">
        <f>IFERROR(INDEX(_datos!$G$2:$G$401,MATCH(ROW()-13,_datos!$K$2:$K$401,0)),"")</f>
      </c>
      <c r="I108" s="24">
        <f>IFERROR(INDEX(_datos!$H$2:$H$401,MATCH(ROW()-13,_datos!$K$2:$K$401,0)),"")</f>
      </c>
      <c r="J108" s="22">
        <f>IFERROR(INDEX(_datos!$I$2:$I$401,MATCH(ROW()-13,_datos!$K$2:$K$401,0)),"")</f>
      </c>
      <c r="K108" s="44">
        <f>IFERROR(HYPERLINK(INDEX(_datos!$J$2:$J$401,MATCH(ROW()-13,_datos!$K$2:$K$401,0)),"abrir mapa"),"")</f>
      </c>
    </row>
    <row r="109" ht="18.75" customHeight="1" spans="2:11" x14ac:dyDescent="0.25">
      <c r="B109" s="20">
        <f>IFERROR(INDEX(_datos!$A$2:$A$401,MATCH(ROW()-13,_datos!$K$2:$K$401,0)),"")</f>
      </c>
      <c r="C109" s="22">
        <f>IFERROR(INDEX(_datos!$B$2:$B$401,MATCH(ROW()-13,_datos!$K$2:$K$401,0)),"")</f>
      </c>
      <c r="D109" s="43">
        <f>IFERROR(INDEX(_datos!$C$2:$C$401,MATCH(ROW()-13,_datos!$K$2:$K$401,0)),"")</f>
      </c>
      <c r="E109" s="22">
        <f>IFERROR(INDEX(_datos!$D$2:$D$401,MATCH(ROW()-13,_datos!$K$2:$K$401,0)),"")</f>
      </c>
      <c r="F109" s="21">
        <f>IFERROR(INDEX(_datos!$E$2:$E$401,MATCH(ROW()-13,_datos!$K$2:$K$401,0)),"")</f>
      </c>
      <c r="G109" s="23">
        <f>IFERROR(INDEX(_datos!$F$2:$F$401,MATCH(ROW()-13,_datos!$K$2:$K$401,0)),"")</f>
      </c>
      <c r="H109" s="21">
        <f>IFERROR(INDEX(_datos!$G$2:$G$401,MATCH(ROW()-13,_datos!$K$2:$K$401,0)),"")</f>
      </c>
      <c r="I109" s="24">
        <f>IFERROR(INDEX(_datos!$H$2:$H$401,MATCH(ROW()-13,_datos!$K$2:$K$401,0)),"")</f>
      </c>
      <c r="J109" s="22">
        <f>IFERROR(INDEX(_datos!$I$2:$I$401,MATCH(ROW()-13,_datos!$K$2:$K$401,0)),"")</f>
      </c>
      <c r="K109" s="44">
        <f>IFERROR(HYPERLINK(INDEX(_datos!$J$2:$J$401,MATCH(ROW()-13,_datos!$K$2:$K$401,0)),"abrir mapa"),"")</f>
      </c>
    </row>
    <row r="110" ht="18.75" customHeight="1" spans="2:11" x14ac:dyDescent="0.25">
      <c r="B110" s="20">
        <f>IFERROR(INDEX(_datos!$A$2:$A$401,MATCH(ROW()-13,_datos!$K$2:$K$401,0)),"")</f>
      </c>
      <c r="C110" s="22">
        <f>IFERROR(INDEX(_datos!$B$2:$B$401,MATCH(ROW()-13,_datos!$K$2:$K$401,0)),"")</f>
      </c>
      <c r="D110" s="43">
        <f>IFERROR(INDEX(_datos!$C$2:$C$401,MATCH(ROW()-13,_datos!$K$2:$K$401,0)),"")</f>
      </c>
      <c r="E110" s="22">
        <f>IFERROR(INDEX(_datos!$D$2:$D$401,MATCH(ROW()-13,_datos!$K$2:$K$401,0)),"")</f>
      </c>
      <c r="F110" s="21">
        <f>IFERROR(INDEX(_datos!$E$2:$E$401,MATCH(ROW()-13,_datos!$K$2:$K$401,0)),"")</f>
      </c>
      <c r="G110" s="23">
        <f>IFERROR(INDEX(_datos!$F$2:$F$401,MATCH(ROW()-13,_datos!$K$2:$K$401,0)),"")</f>
      </c>
      <c r="H110" s="21">
        <f>IFERROR(INDEX(_datos!$G$2:$G$401,MATCH(ROW()-13,_datos!$K$2:$K$401,0)),"")</f>
      </c>
      <c r="I110" s="24">
        <f>IFERROR(INDEX(_datos!$H$2:$H$401,MATCH(ROW()-13,_datos!$K$2:$K$401,0)),"")</f>
      </c>
      <c r="J110" s="22">
        <f>IFERROR(INDEX(_datos!$I$2:$I$401,MATCH(ROW()-13,_datos!$K$2:$K$401,0)),"")</f>
      </c>
      <c r="K110" s="44">
        <f>IFERROR(HYPERLINK(INDEX(_datos!$J$2:$J$401,MATCH(ROW()-13,_datos!$K$2:$K$401,0)),"abrir mapa"),"")</f>
      </c>
    </row>
    <row r="111" ht="18.75" customHeight="1" spans="2:11" x14ac:dyDescent="0.25">
      <c r="B111" s="20">
        <f>IFERROR(INDEX(_datos!$A$2:$A$401,MATCH(ROW()-13,_datos!$K$2:$K$401,0)),"")</f>
      </c>
      <c r="C111" s="22">
        <f>IFERROR(INDEX(_datos!$B$2:$B$401,MATCH(ROW()-13,_datos!$K$2:$K$401,0)),"")</f>
      </c>
      <c r="D111" s="43">
        <f>IFERROR(INDEX(_datos!$C$2:$C$401,MATCH(ROW()-13,_datos!$K$2:$K$401,0)),"")</f>
      </c>
      <c r="E111" s="22">
        <f>IFERROR(INDEX(_datos!$D$2:$D$401,MATCH(ROW()-13,_datos!$K$2:$K$401,0)),"")</f>
      </c>
      <c r="F111" s="21">
        <f>IFERROR(INDEX(_datos!$E$2:$E$401,MATCH(ROW()-13,_datos!$K$2:$K$401,0)),"")</f>
      </c>
      <c r="G111" s="23">
        <f>IFERROR(INDEX(_datos!$F$2:$F$401,MATCH(ROW()-13,_datos!$K$2:$K$401,0)),"")</f>
      </c>
      <c r="H111" s="21">
        <f>IFERROR(INDEX(_datos!$G$2:$G$401,MATCH(ROW()-13,_datos!$K$2:$K$401,0)),"")</f>
      </c>
      <c r="I111" s="24">
        <f>IFERROR(INDEX(_datos!$H$2:$H$401,MATCH(ROW()-13,_datos!$K$2:$K$401,0)),"")</f>
      </c>
      <c r="J111" s="22">
        <f>IFERROR(INDEX(_datos!$I$2:$I$401,MATCH(ROW()-13,_datos!$K$2:$K$401,0)),"")</f>
      </c>
      <c r="K111" s="44">
        <f>IFERROR(HYPERLINK(INDEX(_datos!$J$2:$J$401,MATCH(ROW()-13,_datos!$K$2:$K$401,0)),"abrir mapa"),"")</f>
      </c>
    </row>
    <row r="112" ht="18.75" customHeight="1" spans="2:11" x14ac:dyDescent="0.25">
      <c r="B112" s="20">
        <f>IFERROR(INDEX(_datos!$A$2:$A$401,MATCH(ROW()-13,_datos!$K$2:$K$401,0)),"")</f>
      </c>
      <c r="C112" s="22">
        <f>IFERROR(INDEX(_datos!$B$2:$B$401,MATCH(ROW()-13,_datos!$K$2:$K$401,0)),"")</f>
      </c>
      <c r="D112" s="43">
        <f>IFERROR(INDEX(_datos!$C$2:$C$401,MATCH(ROW()-13,_datos!$K$2:$K$401,0)),"")</f>
      </c>
      <c r="E112" s="22">
        <f>IFERROR(INDEX(_datos!$D$2:$D$401,MATCH(ROW()-13,_datos!$K$2:$K$401,0)),"")</f>
      </c>
      <c r="F112" s="21">
        <f>IFERROR(INDEX(_datos!$E$2:$E$401,MATCH(ROW()-13,_datos!$K$2:$K$401,0)),"")</f>
      </c>
      <c r="G112" s="23">
        <f>IFERROR(INDEX(_datos!$F$2:$F$401,MATCH(ROW()-13,_datos!$K$2:$K$401,0)),"")</f>
      </c>
      <c r="H112" s="21">
        <f>IFERROR(INDEX(_datos!$G$2:$G$401,MATCH(ROW()-13,_datos!$K$2:$K$401,0)),"")</f>
      </c>
      <c r="I112" s="24">
        <f>IFERROR(INDEX(_datos!$H$2:$H$401,MATCH(ROW()-13,_datos!$K$2:$K$401,0)),"")</f>
      </c>
      <c r="J112" s="22">
        <f>IFERROR(INDEX(_datos!$I$2:$I$401,MATCH(ROW()-13,_datos!$K$2:$K$401,0)),"")</f>
      </c>
      <c r="K112" s="44">
        <f>IFERROR(HYPERLINK(INDEX(_datos!$J$2:$J$401,MATCH(ROW()-13,_datos!$K$2:$K$401,0)),"abrir mapa"),"")</f>
      </c>
    </row>
    <row r="113" ht="18.75" customHeight="1" spans="2:11" x14ac:dyDescent="0.25">
      <c r="B113" s="20">
        <f>IFERROR(INDEX(_datos!$A$2:$A$401,MATCH(ROW()-13,_datos!$K$2:$K$401,0)),"")</f>
      </c>
      <c r="C113" s="22">
        <f>IFERROR(INDEX(_datos!$B$2:$B$401,MATCH(ROW()-13,_datos!$K$2:$K$401,0)),"")</f>
      </c>
      <c r="D113" s="43">
        <f>IFERROR(INDEX(_datos!$C$2:$C$401,MATCH(ROW()-13,_datos!$K$2:$K$401,0)),"")</f>
      </c>
      <c r="E113" s="22">
        <f>IFERROR(INDEX(_datos!$D$2:$D$401,MATCH(ROW()-13,_datos!$K$2:$K$401,0)),"")</f>
      </c>
      <c r="F113" s="21">
        <f>IFERROR(INDEX(_datos!$E$2:$E$401,MATCH(ROW()-13,_datos!$K$2:$K$401,0)),"")</f>
      </c>
      <c r="G113" s="23">
        <f>IFERROR(INDEX(_datos!$F$2:$F$401,MATCH(ROW()-13,_datos!$K$2:$K$401,0)),"")</f>
      </c>
      <c r="H113" s="21">
        <f>IFERROR(INDEX(_datos!$G$2:$G$401,MATCH(ROW()-13,_datos!$K$2:$K$401,0)),"")</f>
      </c>
      <c r="I113" s="24">
        <f>IFERROR(INDEX(_datos!$H$2:$H$401,MATCH(ROW()-13,_datos!$K$2:$K$401,0)),"")</f>
      </c>
      <c r="J113" s="22">
        <f>IFERROR(INDEX(_datos!$I$2:$I$401,MATCH(ROW()-13,_datos!$K$2:$K$401,0)),"")</f>
      </c>
      <c r="K113" s="44">
        <f>IFERROR(HYPERLINK(INDEX(_datos!$J$2:$J$401,MATCH(ROW()-13,_datos!$K$2:$K$401,0)),"abrir mapa"),"")</f>
      </c>
    </row>
    <row r="114" ht="18.75" customHeight="1" spans="2:11" x14ac:dyDescent="0.25">
      <c r="B114" s="20">
        <f>IFERROR(INDEX(_datos!$A$2:$A$401,MATCH(ROW()-13,_datos!$K$2:$K$401,0)),"")</f>
      </c>
      <c r="C114" s="22">
        <f>IFERROR(INDEX(_datos!$B$2:$B$401,MATCH(ROW()-13,_datos!$K$2:$K$401,0)),"")</f>
      </c>
      <c r="D114" s="43">
        <f>IFERROR(INDEX(_datos!$C$2:$C$401,MATCH(ROW()-13,_datos!$K$2:$K$401,0)),"")</f>
      </c>
      <c r="E114" s="22">
        <f>IFERROR(INDEX(_datos!$D$2:$D$401,MATCH(ROW()-13,_datos!$K$2:$K$401,0)),"")</f>
      </c>
      <c r="F114" s="21">
        <f>IFERROR(INDEX(_datos!$E$2:$E$401,MATCH(ROW()-13,_datos!$K$2:$K$401,0)),"")</f>
      </c>
      <c r="G114" s="23">
        <f>IFERROR(INDEX(_datos!$F$2:$F$401,MATCH(ROW()-13,_datos!$K$2:$K$401,0)),"")</f>
      </c>
      <c r="H114" s="21">
        <f>IFERROR(INDEX(_datos!$G$2:$G$401,MATCH(ROW()-13,_datos!$K$2:$K$401,0)),"")</f>
      </c>
      <c r="I114" s="24">
        <f>IFERROR(INDEX(_datos!$H$2:$H$401,MATCH(ROW()-13,_datos!$K$2:$K$401,0)),"")</f>
      </c>
      <c r="J114" s="22">
        <f>IFERROR(INDEX(_datos!$I$2:$I$401,MATCH(ROW()-13,_datos!$K$2:$K$401,0)),"")</f>
      </c>
      <c r="K114" s="44">
        <f>IFERROR(HYPERLINK(INDEX(_datos!$J$2:$J$401,MATCH(ROW()-13,_datos!$K$2:$K$401,0)),"abrir mapa"),"")</f>
      </c>
    </row>
    <row r="115" ht="18.75" customHeight="1" spans="2:11" x14ac:dyDescent="0.25">
      <c r="B115" s="20">
        <f>IFERROR(INDEX(_datos!$A$2:$A$401,MATCH(ROW()-13,_datos!$K$2:$K$401,0)),"")</f>
      </c>
      <c r="C115" s="22">
        <f>IFERROR(INDEX(_datos!$B$2:$B$401,MATCH(ROW()-13,_datos!$K$2:$K$401,0)),"")</f>
      </c>
      <c r="D115" s="43">
        <f>IFERROR(INDEX(_datos!$C$2:$C$401,MATCH(ROW()-13,_datos!$K$2:$K$401,0)),"")</f>
      </c>
      <c r="E115" s="22">
        <f>IFERROR(INDEX(_datos!$D$2:$D$401,MATCH(ROW()-13,_datos!$K$2:$K$401,0)),"")</f>
      </c>
      <c r="F115" s="21">
        <f>IFERROR(INDEX(_datos!$E$2:$E$401,MATCH(ROW()-13,_datos!$K$2:$K$401,0)),"")</f>
      </c>
      <c r="G115" s="23">
        <f>IFERROR(INDEX(_datos!$F$2:$F$401,MATCH(ROW()-13,_datos!$K$2:$K$401,0)),"")</f>
      </c>
      <c r="H115" s="21">
        <f>IFERROR(INDEX(_datos!$G$2:$G$401,MATCH(ROW()-13,_datos!$K$2:$K$401,0)),"")</f>
      </c>
      <c r="I115" s="24">
        <f>IFERROR(INDEX(_datos!$H$2:$H$401,MATCH(ROW()-13,_datos!$K$2:$K$401,0)),"")</f>
      </c>
      <c r="J115" s="22">
        <f>IFERROR(INDEX(_datos!$I$2:$I$401,MATCH(ROW()-13,_datos!$K$2:$K$401,0)),"")</f>
      </c>
      <c r="K115" s="44">
        <f>IFERROR(HYPERLINK(INDEX(_datos!$J$2:$J$401,MATCH(ROW()-13,_datos!$K$2:$K$401,0)),"abrir mapa"),"")</f>
      </c>
    </row>
    <row r="116" ht="18.75" customHeight="1" spans="2:11" x14ac:dyDescent="0.25">
      <c r="B116" s="20">
        <f>IFERROR(INDEX(_datos!$A$2:$A$401,MATCH(ROW()-13,_datos!$K$2:$K$401,0)),"")</f>
      </c>
      <c r="C116" s="22">
        <f>IFERROR(INDEX(_datos!$B$2:$B$401,MATCH(ROW()-13,_datos!$K$2:$K$401,0)),"")</f>
      </c>
      <c r="D116" s="43">
        <f>IFERROR(INDEX(_datos!$C$2:$C$401,MATCH(ROW()-13,_datos!$K$2:$K$401,0)),"")</f>
      </c>
      <c r="E116" s="22">
        <f>IFERROR(INDEX(_datos!$D$2:$D$401,MATCH(ROW()-13,_datos!$K$2:$K$401,0)),"")</f>
      </c>
      <c r="F116" s="21">
        <f>IFERROR(INDEX(_datos!$E$2:$E$401,MATCH(ROW()-13,_datos!$K$2:$K$401,0)),"")</f>
      </c>
      <c r="G116" s="23">
        <f>IFERROR(INDEX(_datos!$F$2:$F$401,MATCH(ROW()-13,_datos!$K$2:$K$401,0)),"")</f>
      </c>
      <c r="H116" s="21">
        <f>IFERROR(INDEX(_datos!$G$2:$G$401,MATCH(ROW()-13,_datos!$K$2:$K$401,0)),"")</f>
      </c>
      <c r="I116" s="24">
        <f>IFERROR(INDEX(_datos!$H$2:$H$401,MATCH(ROW()-13,_datos!$K$2:$K$401,0)),"")</f>
      </c>
      <c r="J116" s="22">
        <f>IFERROR(INDEX(_datos!$I$2:$I$401,MATCH(ROW()-13,_datos!$K$2:$K$401,0)),"")</f>
      </c>
      <c r="K116" s="44">
        <f>IFERROR(HYPERLINK(INDEX(_datos!$J$2:$J$401,MATCH(ROW()-13,_datos!$K$2:$K$401,0)),"abrir mapa"),"")</f>
      </c>
    </row>
    <row r="117" ht="18.75" customHeight="1" spans="2:11" x14ac:dyDescent="0.25">
      <c r="B117" s="20">
        <f>IFERROR(INDEX(_datos!$A$2:$A$401,MATCH(ROW()-13,_datos!$K$2:$K$401,0)),"")</f>
      </c>
      <c r="C117" s="22">
        <f>IFERROR(INDEX(_datos!$B$2:$B$401,MATCH(ROW()-13,_datos!$K$2:$K$401,0)),"")</f>
      </c>
      <c r="D117" s="43">
        <f>IFERROR(INDEX(_datos!$C$2:$C$401,MATCH(ROW()-13,_datos!$K$2:$K$401,0)),"")</f>
      </c>
      <c r="E117" s="22">
        <f>IFERROR(INDEX(_datos!$D$2:$D$401,MATCH(ROW()-13,_datos!$K$2:$K$401,0)),"")</f>
      </c>
      <c r="F117" s="21">
        <f>IFERROR(INDEX(_datos!$E$2:$E$401,MATCH(ROW()-13,_datos!$K$2:$K$401,0)),"")</f>
      </c>
      <c r="G117" s="23">
        <f>IFERROR(INDEX(_datos!$F$2:$F$401,MATCH(ROW()-13,_datos!$K$2:$K$401,0)),"")</f>
      </c>
      <c r="H117" s="21">
        <f>IFERROR(INDEX(_datos!$G$2:$G$401,MATCH(ROW()-13,_datos!$K$2:$K$401,0)),"")</f>
      </c>
      <c r="I117" s="24">
        <f>IFERROR(INDEX(_datos!$H$2:$H$401,MATCH(ROW()-13,_datos!$K$2:$K$401,0)),"")</f>
      </c>
      <c r="J117" s="22">
        <f>IFERROR(INDEX(_datos!$I$2:$I$401,MATCH(ROW()-13,_datos!$K$2:$K$401,0)),"")</f>
      </c>
      <c r="K117" s="44">
        <f>IFERROR(HYPERLINK(INDEX(_datos!$J$2:$J$401,MATCH(ROW()-13,_datos!$K$2:$K$401,0)),"abrir mapa"),"")</f>
      </c>
    </row>
    <row r="118" ht="18.75" customHeight="1" spans="2:11" x14ac:dyDescent="0.25">
      <c r="B118" s="20">
        <f>IFERROR(INDEX(_datos!$A$2:$A$401,MATCH(ROW()-13,_datos!$K$2:$K$401,0)),"")</f>
      </c>
      <c r="C118" s="22">
        <f>IFERROR(INDEX(_datos!$B$2:$B$401,MATCH(ROW()-13,_datos!$K$2:$K$401,0)),"")</f>
      </c>
      <c r="D118" s="43">
        <f>IFERROR(INDEX(_datos!$C$2:$C$401,MATCH(ROW()-13,_datos!$K$2:$K$401,0)),"")</f>
      </c>
      <c r="E118" s="22">
        <f>IFERROR(INDEX(_datos!$D$2:$D$401,MATCH(ROW()-13,_datos!$K$2:$K$401,0)),"")</f>
      </c>
      <c r="F118" s="21">
        <f>IFERROR(INDEX(_datos!$E$2:$E$401,MATCH(ROW()-13,_datos!$K$2:$K$401,0)),"")</f>
      </c>
      <c r="G118" s="23">
        <f>IFERROR(INDEX(_datos!$F$2:$F$401,MATCH(ROW()-13,_datos!$K$2:$K$401,0)),"")</f>
      </c>
      <c r="H118" s="21">
        <f>IFERROR(INDEX(_datos!$G$2:$G$401,MATCH(ROW()-13,_datos!$K$2:$K$401,0)),"")</f>
      </c>
      <c r="I118" s="24">
        <f>IFERROR(INDEX(_datos!$H$2:$H$401,MATCH(ROW()-13,_datos!$K$2:$K$401,0)),"")</f>
      </c>
      <c r="J118" s="22">
        <f>IFERROR(INDEX(_datos!$I$2:$I$401,MATCH(ROW()-13,_datos!$K$2:$K$401,0)),"")</f>
      </c>
      <c r="K118" s="44">
        <f>IFERROR(HYPERLINK(INDEX(_datos!$J$2:$J$401,MATCH(ROW()-13,_datos!$K$2:$K$401,0)),"abrir mapa"),"")</f>
      </c>
    </row>
    <row r="119" ht="18.75" customHeight="1" spans="2:11" x14ac:dyDescent="0.25">
      <c r="B119" s="20">
        <f>IFERROR(INDEX(_datos!$A$2:$A$401,MATCH(ROW()-13,_datos!$K$2:$K$401,0)),"")</f>
      </c>
      <c r="C119" s="22">
        <f>IFERROR(INDEX(_datos!$B$2:$B$401,MATCH(ROW()-13,_datos!$K$2:$K$401,0)),"")</f>
      </c>
      <c r="D119" s="43">
        <f>IFERROR(INDEX(_datos!$C$2:$C$401,MATCH(ROW()-13,_datos!$K$2:$K$401,0)),"")</f>
      </c>
      <c r="E119" s="22">
        <f>IFERROR(INDEX(_datos!$D$2:$D$401,MATCH(ROW()-13,_datos!$K$2:$K$401,0)),"")</f>
      </c>
      <c r="F119" s="21">
        <f>IFERROR(INDEX(_datos!$E$2:$E$401,MATCH(ROW()-13,_datos!$K$2:$K$401,0)),"")</f>
      </c>
      <c r="G119" s="23">
        <f>IFERROR(INDEX(_datos!$F$2:$F$401,MATCH(ROW()-13,_datos!$K$2:$K$401,0)),"")</f>
      </c>
      <c r="H119" s="21">
        <f>IFERROR(INDEX(_datos!$G$2:$G$401,MATCH(ROW()-13,_datos!$K$2:$K$401,0)),"")</f>
      </c>
      <c r="I119" s="24">
        <f>IFERROR(INDEX(_datos!$H$2:$H$401,MATCH(ROW()-13,_datos!$K$2:$K$401,0)),"")</f>
      </c>
      <c r="J119" s="22">
        <f>IFERROR(INDEX(_datos!$I$2:$I$401,MATCH(ROW()-13,_datos!$K$2:$K$401,0)),"")</f>
      </c>
      <c r="K119" s="44">
        <f>IFERROR(HYPERLINK(INDEX(_datos!$J$2:$J$401,MATCH(ROW()-13,_datos!$K$2:$K$401,0)),"abrir mapa"),"")</f>
      </c>
    </row>
    <row r="120" ht="18.75" customHeight="1" spans="2:11" x14ac:dyDescent="0.25">
      <c r="B120" s="20">
        <f>IFERROR(INDEX(_datos!$A$2:$A$401,MATCH(ROW()-13,_datos!$K$2:$K$401,0)),"")</f>
      </c>
      <c r="C120" s="22">
        <f>IFERROR(INDEX(_datos!$B$2:$B$401,MATCH(ROW()-13,_datos!$K$2:$K$401,0)),"")</f>
      </c>
      <c r="D120" s="43">
        <f>IFERROR(INDEX(_datos!$C$2:$C$401,MATCH(ROW()-13,_datos!$K$2:$K$401,0)),"")</f>
      </c>
      <c r="E120" s="22">
        <f>IFERROR(INDEX(_datos!$D$2:$D$401,MATCH(ROW()-13,_datos!$K$2:$K$401,0)),"")</f>
      </c>
      <c r="F120" s="21">
        <f>IFERROR(INDEX(_datos!$E$2:$E$401,MATCH(ROW()-13,_datos!$K$2:$K$401,0)),"")</f>
      </c>
      <c r="G120" s="23">
        <f>IFERROR(INDEX(_datos!$F$2:$F$401,MATCH(ROW()-13,_datos!$K$2:$K$401,0)),"")</f>
      </c>
      <c r="H120" s="21">
        <f>IFERROR(INDEX(_datos!$G$2:$G$401,MATCH(ROW()-13,_datos!$K$2:$K$401,0)),"")</f>
      </c>
      <c r="I120" s="24">
        <f>IFERROR(INDEX(_datos!$H$2:$H$401,MATCH(ROW()-13,_datos!$K$2:$K$401,0)),"")</f>
      </c>
      <c r="J120" s="22">
        <f>IFERROR(INDEX(_datos!$I$2:$I$401,MATCH(ROW()-13,_datos!$K$2:$K$401,0)),"")</f>
      </c>
      <c r="K120" s="44">
        <f>IFERROR(HYPERLINK(INDEX(_datos!$J$2:$J$401,MATCH(ROW()-13,_datos!$K$2:$K$401,0)),"abrir mapa"),"")</f>
      </c>
    </row>
    <row r="121" ht="18.75" customHeight="1" spans="2:11" x14ac:dyDescent="0.25">
      <c r="B121" s="20">
        <f>IFERROR(INDEX(_datos!$A$2:$A$401,MATCH(ROW()-13,_datos!$K$2:$K$401,0)),"")</f>
      </c>
      <c r="C121" s="22">
        <f>IFERROR(INDEX(_datos!$B$2:$B$401,MATCH(ROW()-13,_datos!$K$2:$K$401,0)),"")</f>
      </c>
      <c r="D121" s="43">
        <f>IFERROR(INDEX(_datos!$C$2:$C$401,MATCH(ROW()-13,_datos!$K$2:$K$401,0)),"")</f>
      </c>
      <c r="E121" s="22">
        <f>IFERROR(INDEX(_datos!$D$2:$D$401,MATCH(ROW()-13,_datos!$K$2:$K$401,0)),"")</f>
      </c>
      <c r="F121" s="21">
        <f>IFERROR(INDEX(_datos!$E$2:$E$401,MATCH(ROW()-13,_datos!$K$2:$K$401,0)),"")</f>
      </c>
      <c r="G121" s="23">
        <f>IFERROR(INDEX(_datos!$F$2:$F$401,MATCH(ROW()-13,_datos!$K$2:$K$401,0)),"")</f>
      </c>
      <c r="H121" s="21">
        <f>IFERROR(INDEX(_datos!$G$2:$G$401,MATCH(ROW()-13,_datos!$K$2:$K$401,0)),"")</f>
      </c>
      <c r="I121" s="24">
        <f>IFERROR(INDEX(_datos!$H$2:$H$401,MATCH(ROW()-13,_datos!$K$2:$K$401,0)),"")</f>
      </c>
      <c r="J121" s="22">
        <f>IFERROR(INDEX(_datos!$I$2:$I$401,MATCH(ROW()-13,_datos!$K$2:$K$401,0)),"")</f>
      </c>
      <c r="K121" s="44">
        <f>IFERROR(HYPERLINK(INDEX(_datos!$J$2:$J$401,MATCH(ROW()-13,_datos!$K$2:$K$401,0)),"abrir mapa"),"")</f>
      </c>
    </row>
    <row r="122" ht="18.75" customHeight="1" spans="2:11" x14ac:dyDescent="0.25">
      <c r="B122" s="20">
        <f>IFERROR(INDEX(_datos!$A$2:$A$401,MATCH(ROW()-13,_datos!$K$2:$K$401,0)),"")</f>
      </c>
      <c r="C122" s="22">
        <f>IFERROR(INDEX(_datos!$B$2:$B$401,MATCH(ROW()-13,_datos!$K$2:$K$401,0)),"")</f>
      </c>
      <c r="D122" s="43">
        <f>IFERROR(INDEX(_datos!$C$2:$C$401,MATCH(ROW()-13,_datos!$K$2:$K$401,0)),"")</f>
      </c>
      <c r="E122" s="22">
        <f>IFERROR(INDEX(_datos!$D$2:$D$401,MATCH(ROW()-13,_datos!$K$2:$K$401,0)),"")</f>
      </c>
      <c r="F122" s="21">
        <f>IFERROR(INDEX(_datos!$E$2:$E$401,MATCH(ROW()-13,_datos!$K$2:$K$401,0)),"")</f>
      </c>
      <c r="G122" s="23">
        <f>IFERROR(INDEX(_datos!$F$2:$F$401,MATCH(ROW()-13,_datos!$K$2:$K$401,0)),"")</f>
      </c>
      <c r="H122" s="21">
        <f>IFERROR(INDEX(_datos!$G$2:$G$401,MATCH(ROW()-13,_datos!$K$2:$K$401,0)),"")</f>
      </c>
      <c r="I122" s="24">
        <f>IFERROR(INDEX(_datos!$H$2:$H$401,MATCH(ROW()-13,_datos!$K$2:$K$401,0)),"")</f>
      </c>
      <c r="J122" s="22">
        <f>IFERROR(INDEX(_datos!$I$2:$I$401,MATCH(ROW()-13,_datos!$K$2:$K$401,0)),"")</f>
      </c>
      <c r="K122" s="44">
        <f>IFERROR(HYPERLINK(INDEX(_datos!$J$2:$J$401,MATCH(ROW()-13,_datos!$K$2:$K$401,0)),"abrir mapa"),"")</f>
      </c>
    </row>
    <row r="123" ht="18.75" customHeight="1" spans="2:11" x14ac:dyDescent="0.25">
      <c r="B123" s="20">
        <f>IFERROR(INDEX(_datos!$A$2:$A$401,MATCH(ROW()-13,_datos!$K$2:$K$401,0)),"")</f>
      </c>
      <c r="C123" s="22">
        <f>IFERROR(INDEX(_datos!$B$2:$B$401,MATCH(ROW()-13,_datos!$K$2:$K$401,0)),"")</f>
      </c>
      <c r="D123" s="43">
        <f>IFERROR(INDEX(_datos!$C$2:$C$401,MATCH(ROW()-13,_datos!$K$2:$K$401,0)),"")</f>
      </c>
      <c r="E123" s="22">
        <f>IFERROR(INDEX(_datos!$D$2:$D$401,MATCH(ROW()-13,_datos!$K$2:$K$401,0)),"")</f>
      </c>
      <c r="F123" s="21">
        <f>IFERROR(INDEX(_datos!$E$2:$E$401,MATCH(ROW()-13,_datos!$K$2:$K$401,0)),"")</f>
      </c>
      <c r="G123" s="23">
        <f>IFERROR(INDEX(_datos!$F$2:$F$401,MATCH(ROW()-13,_datos!$K$2:$K$401,0)),"")</f>
      </c>
      <c r="H123" s="21">
        <f>IFERROR(INDEX(_datos!$G$2:$G$401,MATCH(ROW()-13,_datos!$K$2:$K$401,0)),"")</f>
      </c>
      <c r="I123" s="24">
        <f>IFERROR(INDEX(_datos!$H$2:$H$401,MATCH(ROW()-13,_datos!$K$2:$K$401,0)),"")</f>
      </c>
      <c r="J123" s="22">
        <f>IFERROR(INDEX(_datos!$I$2:$I$401,MATCH(ROW()-13,_datos!$K$2:$K$401,0)),"")</f>
      </c>
      <c r="K123" s="44">
        <f>IFERROR(HYPERLINK(INDEX(_datos!$J$2:$J$401,MATCH(ROW()-13,_datos!$K$2:$K$401,0)),"abrir mapa"),"")</f>
      </c>
    </row>
    <row r="124" ht="18.75" customHeight="1" spans="2:11" x14ac:dyDescent="0.25">
      <c r="B124" s="20">
        <f>IFERROR(INDEX(_datos!$A$2:$A$401,MATCH(ROW()-13,_datos!$K$2:$K$401,0)),"")</f>
      </c>
      <c r="C124" s="22">
        <f>IFERROR(INDEX(_datos!$B$2:$B$401,MATCH(ROW()-13,_datos!$K$2:$K$401,0)),"")</f>
      </c>
      <c r="D124" s="43">
        <f>IFERROR(INDEX(_datos!$C$2:$C$401,MATCH(ROW()-13,_datos!$K$2:$K$401,0)),"")</f>
      </c>
      <c r="E124" s="22">
        <f>IFERROR(INDEX(_datos!$D$2:$D$401,MATCH(ROW()-13,_datos!$K$2:$K$401,0)),"")</f>
      </c>
      <c r="F124" s="21">
        <f>IFERROR(INDEX(_datos!$E$2:$E$401,MATCH(ROW()-13,_datos!$K$2:$K$401,0)),"")</f>
      </c>
      <c r="G124" s="23">
        <f>IFERROR(INDEX(_datos!$F$2:$F$401,MATCH(ROW()-13,_datos!$K$2:$K$401,0)),"")</f>
      </c>
      <c r="H124" s="21">
        <f>IFERROR(INDEX(_datos!$G$2:$G$401,MATCH(ROW()-13,_datos!$K$2:$K$401,0)),"")</f>
      </c>
      <c r="I124" s="24">
        <f>IFERROR(INDEX(_datos!$H$2:$H$401,MATCH(ROW()-13,_datos!$K$2:$K$401,0)),"")</f>
      </c>
      <c r="J124" s="22">
        <f>IFERROR(INDEX(_datos!$I$2:$I$401,MATCH(ROW()-13,_datos!$K$2:$K$401,0)),"")</f>
      </c>
      <c r="K124" s="44">
        <f>IFERROR(HYPERLINK(INDEX(_datos!$J$2:$J$401,MATCH(ROW()-13,_datos!$K$2:$K$401,0)),"abrir mapa"),"")</f>
      </c>
    </row>
    <row r="125" ht="18.75" customHeight="1" spans="2:11" x14ac:dyDescent="0.25">
      <c r="B125" s="20">
        <f>IFERROR(INDEX(_datos!$A$2:$A$401,MATCH(ROW()-13,_datos!$K$2:$K$401,0)),"")</f>
      </c>
      <c r="C125" s="22">
        <f>IFERROR(INDEX(_datos!$B$2:$B$401,MATCH(ROW()-13,_datos!$K$2:$K$401,0)),"")</f>
      </c>
      <c r="D125" s="43">
        <f>IFERROR(INDEX(_datos!$C$2:$C$401,MATCH(ROW()-13,_datos!$K$2:$K$401,0)),"")</f>
      </c>
      <c r="E125" s="22">
        <f>IFERROR(INDEX(_datos!$D$2:$D$401,MATCH(ROW()-13,_datos!$K$2:$K$401,0)),"")</f>
      </c>
      <c r="F125" s="21">
        <f>IFERROR(INDEX(_datos!$E$2:$E$401,MATCH(ROW()-13,_datos!$K$2:$K$401,0)),"")</f>
      </c>
      <c r="G125" s="23">
        <f>IFERROR(INDEX(_datos!$F$2:$F$401,MATCH(ROW()-13,_datos!$K$2:$K$401,0)),"")</f>
      </c>
      <c r="H125" s="21">
        <f>IFERROR(INDEX(_datos!$G$2:$G$401,MATCH(ROW()-13,_datos!$K$2:$K$401,0)),"")</f>
      </c>
      <c r="I125" s="24">
        <f>IFERROR(INDEX(_datos!$H$2:$H$401,MATCH(ROW()-13,_datos!$K$2:$K$401,0)),"")</f>
      </c>
      <c r="J125" s="22">
        <f>IFERROR(INDEX(_datos!$I$2:$I$401,MATCH(ROW()-13,_datos!$K$2:$K$401,0)),"")</f>
      </c>
      <c r="K125" s="44">
        <f>IFERROR(HYPERLINK(INDEX(_datos!$J$2:$J$401,MATCH(ROW()-13,_datos!$K$2:$K$401,0)),"abrir mapa"),"")</f>
      </c>
    </row>
    <row r="126" ht="18.75" customHeight="1" spans="2:11" x14ac:dyDescent="0.25">
      <c r="B126" s="20">
        <f>IFERROR(INDEX(_datos!$A$2:$A$401,MATCH(ROW()-13,_datos!$K$2:$K$401,0)),"")</f>
      </c>
      <c r="C126" s="22">
        <f>IFERROR(INDEX(_datos!$B$2:$B$401,MATCH(ROW()-13,_datos!$K$2:$K$401,0)),"")</f>
      </c>
      <c r="D126" s="43">
        <f>IFERROR(INDEX(_datos!$C$2:$C$401,MATCH(ROW()-13,_datos!$K$2:$K$401,0)),"")</f>
      </c>
      <c r="E126" s="22">
        <f>IFERROR(INDEX(_datos!$D$2:$D$401,MATCH(ROW()-13,_datos!$K$2:$K$401,0)),"")</f>
      </c>
      <c r="F126" s="21">
        <f>IFERROR(INDEX(_datos!$E$2:$E$401,MATCH(ROW()-13,_datos!$K$2:$K$401,0)),"")</f>
      </c>
      <c r="G126" s="23">
        <f>IFERROR(INDEX(_datos!$F$2:$F$401,MATCH(ROW()-13,_datos!$K$2:$K$401,0)),"")</f>
      </c>
      <c r="H126" s="21">
        <f>IFERROR(INDEX(_datos!$G$2:$G$401,MATCH(ROW()-13,_datos!$K$2:$K$401,0)),"")</f>
      </c>
      <c r="I126" s="24">
        <f>IFERROR(INDEX(_datos!$H$2:$H$401,MATCH(ROW()-13,_datos!$K$2:$K$401,0)),"")</f>
      </c>
      <c r="J126" s="22">
        <f>IFERROR(INDEX(_datos!$I$2:$I$401,MATCH(ROW()-13,_datos!$K$2:$K$401,0)),"")</f>
      </c>
      <c r="K126" s="44">
        <f>IFERROR(HYPERLINK(INDEX(_datos!$J$2:$J$401,MATCH(ROW()-13,_datos!$K$2:$K$401,0)),"abrir mapa"),"")</f>
      </c>
    </row>
    <row r="127" ht="18.75" customHeight="1" spans="2:11" x14ac:dyDescent="0.25">
      <c r="B127" s="20">
        <f>IFERROR(INDEX(_datos!$A$2:$A$401,MATCH(ROW()-13,_datos!$K$2:$K$401,0)),"")</f>
      </c>
      <c r="C127" s="22">
        <f>IFERROR(INDEX(_datos!$B$2:$B$401,MATCH(ROW()-13,_datos!$K$2:$K$401,0)),"")</f>
      </c>
      <c r="D127" s="43">
        <f>IFERROR(INDEX(_datos!$C$2:$C$401,MATCH(ROW()-13,_datos!$K$2:$K$401,0)),"")</f>
      </c>
      <c r="E127" s="22">
        <f>IFERROR(INDEX(_datos!$D$2:$D$401,MATCH(ROW()-13,_datos!$K$2:$K$401,0)),"")</f>
      </c>
      <c r="F127" s="21">
        <f>IFERROR(INDEX(_datos!$E$2:$E$401,MATCH(ROW()-13,_datos!$K$2:$K$401,0)),"")</f>
      </c>
      <c r="G127" s="23">
        <f>IFERROR(INDEX(_datos!$F$2:$F$401,MATCH(ROW()-13,_datos!$K$2:$K$401,0)),"")</f>
      </c>
      <c r="H127" s="21">
        <f>IFERROR(INDEX(_datos!$G$2:$G$401,MATCH(ROW()-13,_datos!$K$2:$K$401,0)),"")</f>
      </c>
      <c r="I127" s="24">
        <f>IFERROR(INDEX(_datos!$H$2:$H$401,MATCH(ROW()-13,_datos!$K$2:$K$401,0)),"")</f>
      </c>
      <c r="J127" s="22">
        <f>IFERROR(INDEX(_datos!$I$2:$I$401,MATCH(ROW()-13,_datos!$K$2:$K$401,0)),"")</f>
      </c>
      <c r="K127" s="44">
        <f>IFERROR(HYPERLINK(INDEX(_datos!$J$2:$J$401,MATCH(ROW()-13,_datos!$K$2:$K$401,0)),"abrir mapa"),"")</f>
      </c>
    </row>
    <row r="128" ht="18.75" customHeight="1" spans="2:11" x14ac:dyDescent="0.25">
      <c r="B128" s="20">
        <f>IFERROR(INDEX(_datos!$A$2:$A$401,MATCH(ROW()-13,_datos!$K$2:$K$401,0)),"")</f>
      </c>
      <c r="C128" s="22">
        <f>IFERROR(INDEX(_datos!$B$2:$B$401,MATCH(ROW()-13,_datos!$K$2:$K$401,0)),"")</f>
      </c>
      <c r="D128" s="43">
        <f>IFERROR(INDEX(_datos!$C$2:$C$401,MATCH(ROW()-13,_datos!$K$2:$K$401,0)),"")</f>
      </c>
      <c r="E128" s="22">
        <f>IFERROR(INDEX(_datos!$D$2:$D$401,MATCH(ROW()-13,_datos!$K$2:$K$401,0)),"")</f>
      </c>
      <c r="F128" s="21">
        <f>IFERROR(INDEX(_datos!$E$2:$E$401,MATCH(ROW()-13,_datos!$K$2:$K$401,0)),"")</f>
      </c>
      <c r="G128" s="23">
        <f>IFERROR(INDEX(_datos!$F$2:$F$401,MATCH(ROW()-13,_datos!$K$2:$K$401,0)),"")</f>
      </c>
      <c r="H128" s="21">
        <f>IFERROR(INDEX(_datos!$G$2:$G$401,MATCH(ROW()-13,_datos!$K$2:$K$401,0)),"")</f>
      </c>
      <c r="I128" s="24">
        <f>IFERROR(INDEX(_datos!$H$2:$H$401,MATCH(ROW()-13,_datos!$K$2:$K$401,0)),"")</f>
      </c>
      <c r="J128" s="22">
        <f>IFERROR(INDEX(_datos!$I$2:$I$401,MATCH(ROW()-13,_datos!$K$2:$K$401,0)),"")</f>
      </c>
      <c r="K128" s="44">
        <f>IFERROR(HYPERLINK(INDEX(_datos!$J$2:$J$401,MATCH(ROW()-13,_datos!$K$2:$K$401,0)),"abrir mapa"),"")</f>
      </c>
    </row>
    <row r="129" ht="18.75" customHeight="1" spans="2:11" x14ac:dyDescent="0.25">
      <c r="B129" s="20">
        <f>IFERROR(INDEX(_datos!$A$2:$A$401,MATCH(ROW()-13,_datos!$K$2:$K$401,0)),"")</f>
      </c>
      <c r="C129" s="22">
        <f>IFERROR(INDEX(_datos!$B$2:$B$401,MATCH(ROW()-13,_datos!$K$2:$K$401,0)),"")</f>
      </c>
      <c r="D129" s="43">
        <f>IFERROR(INDEX(_datos!$C$2:$C$401,MATCH(ROW()-13,_datos!$K$2:$K$401,0)),"")</f>
      </c>
      <c r="E129" s="22">
        <f>IFERROR(INDEX(_datos!$D$2:$D$401,MATCH(ROW()-13,_datos!$K$2:$K$401,0)),"")</f>
      </c>
      <c r="F129" s="21">
        <f>IFERROR(INDEX(_datos!$E$2:$E$401,MATCH(ROW()-13,_datos!$K$2:$K$401,0)),"")</f>
      </c>
      <c r="G129" s="23">
        <f>IFERROR(INDEX(_datos!$F$2:$F$401,MATCH(ROW()-13,_datos!$K$2:$K$401,0)),"")</f>
      </c>
      <c r="H129" s="21">
        <f>IFERROR(INDEX(_datos!$G$2:$G$401,MATCH(ROW()-13,_datos!$K$2:$K$401,0)),"")</f>
      </c>
      <c r="I129" s="24">
        <f>IFERROR(INDEX(_datos!$H$2:$H$401,MATCH(ROW()-13,_datos!$K$2:$K$401,0)),"")</f>
      </c>
      <c r="J129" s="22">
        <f>IFERROR(INDEX(_datos!$I$2:$I$401,MATCH(ROW()-13,_datos!$K$2:$K$401,0)),"")</f>
      </c>
      <c r="K129" s="44">
        <f>IFERROR(HYPERLINK(INDEX(_datos!$J$2:$J$401,MATCH(ROW()-13,_datos!$K$2:$K$401,0)),"abrir mapa"),"")</f>
      </c>
    </row>
    <row r="130" ht="18.75" customHeight="1" spans="2:11" x14ac:dyDescent="0.25">
      <c r="B130" s="20">
        <f>IFERROR(INDEX(_datos!$A$2:$A$401,MATCH(ROW()-13,_datos!$K$2:$K$401,0)),"")</f>
      </c>
      <c r="C130" s="22">
        <f>IFERROR(INDEX(_datos!$B$2:$B$401,MATCH(ROW()-13,_datos!$K$2:$K$401,0)),"")</f>
      </c>
      <c r="D130" s="43">
        <f>IFERROR(INDEX(_datos!$C$2:$C$401,MATCH(ROW()-13,_datos!$K$2:$K$401,0)),"")</f>
      </c>
      <c r="E130" s="22">
        <f>IFERROR(INDEX(_datos!$D$2:$D$401,MATCH(ROW()-13,_datos!$K$2:$K$401,0)),"")</f>
      </c>
      <c r="F130" s="21">
        <f>IFERROR(INDEX(_datos!$E$2:$E$401,MATCH(ROW()-13,_datos!$K$2:$K$401,0)),"")</f>
      </c>
      <c r="G130" s="23">
        <f>IFERROR(INDEX(_datos!$F$2:$F$401,MATCH(ROW()-13,_datos!$K$2:$K$401,0)),"")</f>
      </c>
      <c r="H130" s="21">
        <f>IFERROR(INDEX(_datos!$G$2:$G$401,MATCH(ROW()-13,_datos!$K$2:$K$401,0)),"")</f>
      </c>
      <c r="I130" s="24">
        <f>IFERROR(INDEX(_datos!$H$2:$H$401,MATCH(ROW()-13,_datos!$K$2:$K$401,0)),"")</f>
      </c>
      <c r="J130" s="22">
        <f>IFERROR(INDEX(_datos!$I$2:$I$401,MATCH(ROW()-13,_datos!$K$2:$K$401,0)),"")</f>
      </c>
      <c r="K130" s="44">
        <f>IFERROR(HYPERLINK(INDEX(_datos!$J$2:$J$401,MATCH(ROW()-13,_datos!$K$2:$K$401,0)),"abrir mapa"),"")</f>
      </c>
    </row>
    <row r="131" ht="18.75" customHeight="1" spans="2:11" x14ac:dyDescent="0.25">
      <c r="B131" s="20">
        <f>IFERROR(INDEX(_datos!$A$2:$A$401,MATCH(ROW()-13,_datos!$K$2:$K$401,0)),"")</f>
      </c>
      <c r="C131" s="22">
        <f>IFERROR(INDEX(_datos!$B$2:$B$401,MATCH(ROW()-13,_datos!$K$2:$K$401,0)),"")</f>
      </c>
      <c r="D131" s="43">
        <f>IFERROR(INDEX(_datos!$C$2:$C$401,MATCH(ROW()-13,_datos!$K$2:$K$401,0)),"")</f>
      </c>
      <c r="E131" s="22">
        <f>IFERROR(INDEX(_datos!$D$2:$D$401,MATCH(ROW()-13,_datos!$K$2:$K$401,0)),"")</f>
      </c>
      <c r="F131" s="21">
        <f>IFERROR(INDEX(_datos!$E$2:$E$401,MATCH(ROW()-13,_datos!$K$2:$K$401,0)),"")</f>
      </c>
      <c r="G131" s="23">
        <f>IFERROR(INDEX(_datos!$F$2:$F$401,MATCH(ROW()-13,_datos!$K$2:$K$401,0)),"")</f>
      </c>
      <c r="H131" s="21">
        <f>IFERROR(INDEX(_datos!$G$2:$G$401,MATCH(ROW()-13,_datos!$K$2:$K$401,0)),"")</f>
      </c>
      <c r="I131" s="24">
        <f>IFERROR(INDEX(_datos!$H$2:$H$401,MATCH(ROW()-13,_datos!$K$2:$K$401,0)),"")</f>
      </c>
      <c r="J131" s="22">
        <f>IFERROR(INDEX(_datos!$I$2:$I$401,MATCH(ROW()-13,_datos!$K$2:$K$401,0)),"")</f>
      </c>
      <c r="K131" s="44">
        <f>IFERROR(HYPERLINK(INDEX(_datos!$J$2:$J$401,MATCH(ROW()-13,_datos!$K$2:$K$401,0)),"abrir mapa"),"")</f>
      </c>
    </row>
    <row r="132" ht="18.75" customHeight="1" spans="2:11" x14ac:dyDescent="0.25">
      <c r="B132" s="20">
        <f>IFERROR(INDEX(_datos!$A$2:$A$401,MATCH(ROW()-13,_datos!$K$2:$K$401,0)),"")</f>
      </c>
      <c r="C132" s="22">
        <f>IFERROR(INDEX(_datos!$B$2:$B$401,MATCH(ROW()-13,_datos!$K$2:$K$401,0)),"")</f>
      </c>
      <c r="D132" s="43">
        <f>IFERROR(INDEX(_datos!$C$2:$C$401,MATCH(ROW()-13,_datos!$K$2:$K$401,0)),"")</f>
      </c>
      <c r="E132" s="22">
        <f>IFERROR(INDEX(_datos!$D$2:$D$401,MATCH(ROW()-13,_datos!$K$2:$K$401,0)),"")</f>
      </c>
      <c r="F132" s="21">
        <f>IFERROR(INDEX(_datos!$E$2:$E$401,MATCH(ROW()-13,_datos!$K$2:$K$401,0)),"")</f>
      </c>
      <c r="G132" s="23">
        <f>IFERROR(INDEX(_datos!$F$2:$F$401,MATCH(ROW()-13,_datos!$K$2:$K$401,0)),"")</f>
      </c>
      <c r="H132" s="21">
        <f>IFERROR(INDEX(_datos!$G$2:$G$401,MATCH(ROW()-13,_datos!$K$2:$K$401,0)),"")</f>
      </c>
      <c r="I132" s="24">
        <f>IFERROR(INDEX(_datos!$H$2:$H$401,MATCH(ROW()-13,_datos!$K$2:$K$401,0)),"")</f>
      </c>
      <c r="J132" s="22">
        <f>IFERROR(INDEX(_datos!$I$2:$I$401,MATCH(ROW()-13,_datos!$K$2:$K$401,0)),"")</f>
      </c>
      <c r="K132" s="44">
        <f>IFERROR(HYPERLINK(INDEX(_datos!$J$2:$J$401,MATCH(ROW()-13,_datos!$K$2:$K$401,0)),"abrir mapa"),"")</f>
      </c>
    </row>
    <row r="133" ht="18.75" customHeight="1" spans="2:11" x14ac:dyDescent="0.25">
      <c r="B133" s="20">
        <f>IFERROR(INDEX(_datos!$A$2:$A$401,MATCH(ROW()-13,_datos!$K$2:$K$401,0)),"")</f>
      </c>
      <c r="C133" s="22">
        <f>IFERROR(INDEX(_datos!$B$2:$B$401,MATCH(ROW()-13,_datos!$K$2:$K$401,0)),"")</f>
      </c>
      <c r="D133" s="43">
        <f>IFERROR(INDEX(_datos!$C$2:$C$401,MATCH(ROW()-13,_datos!$K$2:$K$401,0)),"")</f>
      </c>
      <c r="E133" s="22">
        <f>IFERROR(INDEX(_datos!$D$2:$D$401,MATCH(ROW()-13,_datos!$K$2:$K$401,0)),"")</f>
      </c>
      <c r="F133" s="21">
        <f>IFERROR(INDEX(_datos!$E$2:$E$401,MATCH(ROW()-13,_datos!$K$2:$K$401,0)),"")</f>
      </c>
      <c r="G133" s="23">
        <f>IFERROR(INDEX(_datos!$F$2:$F$401,MATCH(ROW()-13,_datos!$K$2:$K$401,0)),"")</f>
      </c>
      <c r="H133" s="21">
        <f>IFERROR(INDEX(_datos!$G$2:$G$401,MATCH(ROW()-13,_datos!$K$2:$K$401,0)),"")</f>
      </c>
      <c r="I133" s="24">
        <f>IFERROR(INDEX(_datos!$H$2:$H$401,MATCH(ROW()-13,_datos!$K$2:$K$401,0)),"")</f>
      </c>
      <c r="J133" s="22">
        <f>IFERROR(INDEX(_datos!$I$2:$I$401,MATCH(ROW()-13,_datos!$K$2:$K$401,0)),"")</f>
      </c>
      <c r="K133" s="44">
        <f>IFERROR(HYPERLINK(INDEX(_datos!$J$2:$J$401,MATCH(ROW()-13,_datos!$K$2:$K$401,0)),"abrir mapa"),"")</f>
      </c>
    </row>
    <row r="134" ht="18.75" customHeight="1" spans="2:11" x14ac:dyDescent="0.25">
      <c r="B134" s="20">
        <f>IFERROR(INDEX(_datos!$A$2:$A$401,MATCH(ROW()-13,_datos!$K$2:$K$401,0)),"")</f>
      </c>
      <c r="C134" s="22">
        <f>IFERROR(INDEX(_datos!$B$2:$B$401,MATCH(ROW()-13,_datos!$K$2:$K$401,0)),"")</f>
      </c>
      <c r="D134" s="43">
        <f>IFERROR(INDEX(_datos!$C$2:$C$401,MATCH(ROW()-13,_datos!$K$2:$K$401,0)),"")</f>
      </c>
      <c r="E134" s="22">
        <f>IFERROR(INDEX(_datos!$D$2:$D$401,MATCH(ROW()-13,_datos!$K$2:$K$401,0)),"")</f>
      </c>
      <c r="F134" s="21">
        <f>IFERROR(INDEX(_datos!$E$2:$E$401,MATCH(ROW()-13,_datos!$K$2:$K$401,0)),"")</f>
      </c>
      <c r="G134" s="23">
        <f>IFERROR(INDEX(_datos!$F$2:$F$401,MATCH(ROW()-13,_datos!$K$2:$K$401,0)),"")</f>
      </c>
      <c r="H134" s="21">
        <f>IFERROR(INDEX(_datos!$G$2:$G$401,MATCH(ROW()-13,_datos!$K$2:$K$401,0)),"")</f>
      </c>
      <c r="I134" s="24">
        <f>IFERROR(INDEX(_datos!$H$2:$H$401,MATCH(ROW()-13,_datos!$K$2:$K$401,0)),"")</f>
      </c>
      <c r="J134" s="22">
        <f>IFERROR(INDEX(_datos!$I$2:$I$401,MATCH(ROW()-13,_datos!$K$2:$K$401,0)),"")</f>
      </c>
      <c r="K134" s="44">
        <f>IFERROR(HYPERLINK(INDEX(_datos!$J$2:$J$401,MATCH(ROW()-13,_datos!$K$2:$K$401,0)),"abrir mapa"),"")</f>
      </c>
    </row>
    <row r="135" ht="18.75" customHeight="1" spans="2:11" x14ac:dyDescent="0.25">
      <c r="B135" s="20">
        <f>IFERROR(INDEX(_datos!$A$2:$A$401,MATCH(ROW()-13,_datos!$K$2:$K$401,0)),"")</f>
      </c>
      <c r="C135" s="22">
        <f>IFERROR(INDEX(_datos!$B$2:$B$401,MATCH(ROW()-13,_datos!$K$2:$K$401,0)),"")</f>
      </c>
      <c r="D135" s="43">
        <f>IFERROR(INDEX(_datos!$C$2:$C$401,MATCH(ROW()-13,_datos!$K$2:$K$401,0)),"")</f>
      </c>
      <c r="E135" s="22">
        <f>IFERROR(INDEX(_datos!$D$2:$D$401,MATCH(ROW()-13,_datos!$K$2:$K$401,0)),"")</f>
      </c>
      <c r="F135" s="21">
        <f>IFERROR(INDEX(_datos!$E$2:$E$401,MATCH(ROW()-13,_datos!$K$2:$K$401,0)),"")</f>
      </c>
      <c r="G135" s="23">
        <f>IFERROR(INDEX(_datos!$F$2:$F$401,MATCH(ROW()-13,_datos!$K$2:$K$401,0)),"")</f>
      </c>
      <c r="H135" s="21">
        <f>IFERROR(INDEX(_datos!$G$2:$G$401,MATCH(ROW()-13,_datos!$K$2:$K$401,0)),"")</f>
      </c>
      <c r="I135" s="24">
        <f>IFERROR(INDEX(_datos!$H$2:$H$401,MATCH(ROW()-13,_datos!$K$2:$K$401,0)),"")</f>
      </c>
      <c r="J135" s="22">
        <f>IFERROR(INDEX(_datos!$I$2:$I$401,MATCH(ROW()-13,_datos!$K$2:$K$401,0)),"")</f>
      </c>
      <c r="K135" s="44">
        <f>IFERROR(HYPERLINK(INDEX(_datos!$J$2:$J$401,MATCH(ROW()-13,_datos!$K$2:$K$401,0)),"abrir mapa"),"")</f>
      </c>
    </row>
    <row r="136" ht="18.75" customHeight="1" spans="2:11" x14ac:dyDescent="0.25">
      <c r="B136" s="20">
        <f>IFERROR(INDEX(_datos!$A$2:$A$401,MATCH(ROW()-13,_datos!$K$2:$K$401,0)),"")</f>
      </c>
      <c r="C136" s="22">
        <f>IFERROR(INDEX(_datos!$B$2:$B$401,MATCH(ROW()-13,_datos!$K$2:$K$401,0)),"")</f>
      </c>
      <c r="D136" s="43">
        <f>IFERROR(INDEX(_datos!$C$2:$C$401,MATCH(ROW()-13,_datos!$K$2:$K$401,0)),"")</f>
      </c>
      <c r="E136" s="22">
        <f>IFERROR(INDEX(_datos!$D$2:$D$401,MATCH(ROW()-13,_datos!$K$2:$K$401,0)),"")</f>
      </c>
      <c r="F136" s="21">
        <f>IFERROR(INDEX(_datos!$E$2:$E$401,MATCH(ROW()-13,_datos!$K$2:$K$401,0)),"")</f>
      </c>
      <c r="G136" s="23">
        <f>IFERROR(INDEX(_datos!$F$2:$F$401,MATCH(ROW()-13,_datos!$K$2:$K$401,0)),"")</f>
      </c>
      <c r="H136" s="21">
        <f>IFERROR(INDEX(_datos!$G$2:$G$401,MATCH(ROW()-13,_datos!$K$2:$K$401,0)),"")</f>
      </c>
      <c r="I136" s="24">
        <f>IFERROR(INDEX(_datos!$H$2:$H$401,MATCH(ROW()-13,_datos!$K$2:$K$401,0)),"")</f>
      </c>
      <c r="J136" s="22">
        <f>IFERROR(INDEX(_datos!$I$2:$I$401,MATCH(ROW()-13,_datos!$K$2:$K$401,0)),"")</f>
      </c>
      <c r="K136" s="44">
        <f>IFERROR(HYPERLINK(INDEX(_datos!$J$2:$J$401,MATCH(ROW()-13,_datos!$K$2:$K$401,0)),"abrir mapa"),"")</f>
      </c>
    </row>
    <row r="137" ht="18.75" customHeight="1" spans="2:11" x14ac:dyDescent="0.25">
      <c r="B137" s="20">
        <f>IFERROR(INDEX(_datos!$A$2:$A$401,MATCH(ROW()-13,_datos!$K$2:$K$401,0)),"")</f>
      </c>
      <c r="C137" s="22">
        <f>IFERROR(INDEX(_datos!$B$2:$B$401,MATCH(ROW()-13,_datos!$K$2:$K$401,0)),"")</f>
      </c>
      <c r="D137" s="43">
        <f>IFERROR(INDEX(_datos!$C$2:$C$401,MATCH(ROW()-13,_datos!$K$2:$K$401,0)),"")</f>
      </c>
      <c r="E137" s="22">
        <f>IFERROR(INDEX(_datos!$D$2:$D$401,MATCH(ROW()-13,_datos!$K$2:$K$401,0)),"")</f>
      </c>
      <c r="F137" s="21">
        <f>IFERROR(INDEX(_datos!$E$2:$E$401,MATCH(ROW()-13,_datos!$K$2:$K$401,0)),"")</f>
      </c>
      <c r="G137" s="23">
        <f>IFERROR(INDEX(_datos!$F$2:$F$401,MATCH(ROW()-13,_datos!$K$2:$K$401,0)),"")</f>
      </c>
      <c r="H137" s="21">
        <f>IFERROR(INDEX(_datos!$G$2:$G$401,MATCH(ROW()-13,_datos!$K$2:$K$401,0)),"")</f>
      </c>
      <c r="I137" s="24">
        <f>IFERROR(INDEX(_datos!$H$2:$H$401,MATCH(ROW()-13,_datos!$K$2:$K$401,0)),"")</f>
      </c>
      <c r="J137" s="22">
        <f>IFERROR(INDEX(_datos!$I$2:$I$401,MATCH(ROW()-13,_datos!$K$2:$K$401,0)),"")</f>
      </c>
      <c r="K137" s="44">
        <f>IFERROR(HYPERLINK(INDEX(_datos!$J$2:$J$401,MATCH(ROW()-13,_datos!$K$2:$K$401,0)),"abrir mapa"),"")</f>
      </c>
    </row>
    <row r="138" ht="18.75" customHeight="1" spans="2:11" x14ac:dyDescent="0.25">
      <c r="B138" s="20">
        <f>IFERROR(INDEX(_datos!$A$2:$A$401,MATCH(ROW()-13,_datos!$K$2:$K$401,0)),"")</f>
      </c>
      <c r="C138" s="22">
        <f>IFERROR(INDEX(_datos!$B$2:$B$401,MATCH(ROW()-13,_datos!$K$2:$K$401,0)),"")</f>
      </c>
      <c r="D138" s="43">
        <f>IFERROR(INDEX(_datos!$C$2:$C$401,MATCH(ROW()-13,_datos!$K$2:$K$401,0)),"")</f>
      </c>
      <c r="E138" s="22">
        <f>IFERROR(INDEX(_datos!$D$2:$D$401,MATCH(ROW()-13,_datos!$K$2:$K$401,0)),"")</f>
      </c>
      <c r="F138" s="21">
        <f>IFERROR(INDEX(_datos!$E$2:$E$401,MATCH(ROW()-13,_datos!$K$2:$K$401,0)),"")</f>
      </c>
      <c r="G138" s="23">
        <f>IFERROR(INDEX(_datos!$F$2:$F$401,MATCH(ROW()-13,_datos!$K$2:$K$401,0)),"")</f>
      </c>
      <c r="H138" s="21">
        <f>IFERROR(INDEX(_datos!$G$2:$G$401,MATCH(ROW()-13,_datos!$K$2:$K$401,0)),"")</f>
      </c>
      <c r="I138" s="24">
        <f>IFERROR(INDEX(_datos!$H$2:$H$401,MATCH(ROW()-13,_datos!$K$2:$K$401,0)),"")</f>
      </c>
      <c r="J138" s="22">
        <f>IFERROR(INDEX(_datos!$I$2:$I$401,MATCH(ROW()-13,_datos!$K$2:$K$401,0)),"")</f>
      </c>
      <c r="K138" s="44">
        <f>IFERROR(HYPERLINK(INDEX(_datos!$J$2:$J$401,MATCH(ROW()-13,_datos!$K$2:$K$401,0)),"abrir mapa"),"")</f>
      </c>
    </row>
    <row r="139" ht="18.75" customHeight="1" spans="2:11" x14ac:dyDescent="0.25">
      <c r="B139" s="20">
        <f>IFERROR(INDEX(_datos!$A$2:$A$401,MATCH(ROW()-13,_datos!$K$2:$K$401,0)),"")</f>
      </c>
      <c r="C139" s="22">
        <f>IFERROR(INDEX(_datos!$B$2:$B$401,MATCH(ROW()-13,_datos!$K$2:$K$401,0)),"")</f>
      </c>
      <c r="D139" s="43">
        <f>IFERROR(INDEX(_datos!$C$2:$C$401,MATCH(ROW()-13,_datos!$K$2:$K$401,0)),"")</f>
      </c>
      <c r="E139" s="22">
        <f>IFERROR(INDEX(_datos!$D$2:$D$401,MATCH(ROW()-13,_datos!$K$2:$K$401,0)),"")</f>
      </c>
      <c r="F139" s="21">
        <f>IFERROR(INDEX(_datos!$E$2:$E$401,MATCH(ROW()-13,_datos!$K$2:$K$401,0)),"")</f>
      </c>
      <c r="G139" s="23">
        <f>IFERROR(INDEX(_datos!$F$2:$F$401,MATCH(ROW()-13,_datos!$K$2:$K$401,0)),"")</f>
      </c>
      <c r="H139" s="21">
        <f>IFERROR(INDEX(_datos!$G$2:$G$401,MATCH(ROW()-13,_datos!$K$2:$K$401,0)),"")</f>
      </c>
      <c r="I139" s="24">
        <f>IFERROR(INDEX(_datos!$H$2:$H$401,MATCH(ROW()-13,_datos!$K$2:$K$401,0)),"")</f>
      </c>
      <c r="J139" s="22">
        <f>IFERROR(INDEX(_datos!$I$2:$I$401,MATCH(ROW()-13,_datos!$K$2:$K$401,0)),"")</f>
      </c>
      <c r="K139" s="44">
        <f>IFERROR(HYPERLINK(INDEX(_datos!$J$2:$J$401,MATCH(ROW()-13,_datos!$K$2:$K$401,0)),"abrir mapa"),"")</f>
      </c>
    </row>
    <row r="140" ht="18.75" customHeight="1" spans="2:11" x14ac:dyDescent="0.25">
      <c r="B140" s="20">
        <f>IFERROR(INDEX(_datos!$A$2:$A$401,MATCH(ROW()-13,_datos!$K$2:$K$401,0)),"")</f>
      </c>
      <c r="C140" s="22">
        <f>IFERROR(INDEX(_datos!$B$2:$B$401,MATCH(ROW()-13,_datos!$K$2:$K$401,0)),"")</f>
      </c>
      <c r="D140" s="43">
        <f>IFERROR(INDEX(_datos!$C$2:$C$401,MATCH(ROW()-13,_datos!$K$2:$K$401,0)),"")</f>
      </c>
      <c r="E140" s="22">
        <f>IFERROR(INDEX(_datos!$D$2:$D$401,MATCH(ROW()-13,_datos!$K$2:$K$401,0)),"")</f>
      </c>
      <c r="F140" s="21">
        <f>IFERROR(INDEX(_datos!$E$2:$E$401,MATCH(ROW()-13,_datos!$K$2:$K$401,0)),"")</f>
      </c>
      <c r="G140" s="23">
        <f>IFERROR(INDEX(_datos!$F$2:$F$401,MATCH(ROW()-13,_datos!$K$2:$K$401,0)),"")</f>
      </c>
      <c r="H140" s="21">
        <f>IFERROR(INDEX(_datos!$G$2:$G$401,MATCH(ROW()-13,_datos!$K$2:$K$401,0)),"")</f>
      </c>
      <c r="I140" s="24">
        <f>IFERROR(INDEX(_datos!$H$2:$H$401,MATCH(ROW()-13,_datos!$K$2:$K$401,0)),"")</f>
      </c>
      <c r="J140" s="22">
        <f>IFERROR(INDEX(_datos!$I$2:$I$401,MATCH(ROW()-13,_datos!$K$2:$K$401,0)),"")</f>
      </c>
      <c r="K140" s="44">
        <f>IFERROR(HYPERLINK(INDEX(_datos!$J$2:$J$401,MATCH(ROW()-13,_datos!$K$2:$K$401,0)),"abrir mapa"),"")</f>
      </c>
    </row>
    <row r="141" ht="18.75" customHeight="1" spans="2:11" x14ac:dyDescent="0.25">
      <c r="B141" s="20">
        <f>IFERROR(INDEX(_datos!$A$2:$A$401,MATCH(ROW()-13,_datos!$K$2:$K$401,0)),"")</f>
      </c>
      <c r="C141" s="22">
        <f>IFERROR(INDEX(_datos!$B$2:$B$401,MATCH(ROW()-13,_datos!$K$2:$K$401,0)),"")</f>
      </c>
      <c r="D141" s="43">
        <f>IFERROR(INDEX(_datos!$C$2:$C$401,MATCH(ROW()-13,_datos!$K$2:$K$401,0)),"")</f>
      </c>
      <c r="E141" s="22">
        <f>IFERROR(INDEX(_datos!$D$2:$D$401,MATCH(ROW()-13,_datos!$K$2:$K$401,0)),"")</f>
      </c>
      <c r="F141" s="21">
        <f>IFERROR(INDEX(_datos!$E$2:$E$401,MATCH(ROW()-13,_datos!$K$2:$K$401,0)),"")</f>
      </c>
      <c r="G141" s="23">
        <f>IFERROR(INDEX(_datos!$F$2:$F$401,MATCH(ROW()-13,_datos!$K$2:$K$401,0)),"")</f>
      </c>
      <c r="H141" s="21">
        <f>IFERROR(INDEX(_datos!$G$2:$G$401,MATCH(ROW()-13,_datos!$K$2:$K$401,0)),"")</f>
      </c>
      <c r="I141" s="24">
        <f>IFERROR(INDEX(_datos!$H$2:$H$401,MATCH(ROW()-13,_datos!$K$2:$K$401,0)),"")</f>
      </c>
      <c r="J141" s="22">
        <f>IFERROR(INDEX(_datos!$I$2:$I$401,MATCH(ROW()-13,_datos!$K$2:$K$401,0)),"")</f>
      </c>
      <c r="K141" s="44">
        <f>IFERROR(HYPERLINK(INDEX(_datos!$J$2:$J$401,MATCH(ROW()-13,_datos!$K$2:$K$401,0)),"abrir mapa"),"")</f>
      </c>
    </row>
    <row r="142" ht="18.75" customHeight="1" spans="2:11" x14ac:dyDescent="0.25">
      <c r="B142" s="20">
        <f>IFERROR(INDEX(_datos!$A$2:$A$401,MATCH(ROW()-13,_datos!$K$2:$K$401,0)),"")</f>
      </c>
      <c r="C142" s="22">
        <f>IFERROR(INDEX(_datos!$B$2:$B$401,MATCH(ROW()-13,_datos!$K$2:$K$401,0)),"")</f>
      </c>
      <c r="D142" s="43">
        <f>IFERROR(INDEX(_datos!$C$2:$C$401,MATCH(ROW()-13,_datos!$K$2:$K$401,0)),"")</f>
      </c>
      <c r="E142" s="22">
        <f>IFERROR(INDEX(_datos!$D$2:$D$401,MATCH(ROW()-13,_datos!$K$2:$K$401,0)),"")</f>
      </c>
      <c r="F142" s="21">
        <f>IFERROR(INDEX(_datos!$E$2:$E$401,MATCH(ROW()-13,_datos!$K$2:$K$401,0)),"")</f>
      </c>
      <c r="G142" s="23">
        <f>IFERROR(INDEX(_datos!$F$2:$F$401,MATCH(ROW()-13,_datos!$K$2:$K$401,0)),"")</f>
      </c>
      <c r="H142" s="21">
        <f>IFERROR(INDEX(_datos!$G$2:$G$401,MATCH(ROW()-13,_datos!$K$2:$K$401,0)),"")</f>
      </c>
      <c r="I142" s="24">
        <f>IFERROR(INDEX(_datos!$H$2:$H$401,MATCH(ROW()-13,_datos!$K$2:$K$401,0)),"")</f>
      </c>
      <c r="J142" s="22">
        <f>IFERROR(INDEX(_datos!$I$2:$I$401,MATCH(ROW()-13,_datos!$K$2:$K$401,0)),"")</f>
      </c>
      <c r="K142" s="44">
        <f>IFERROR(HYPERLINK(INDEX(_datos!$J$2:$J$401,MATCH(ROW()-13,_datos!$K$2:$K$401,0)),"abrir mapa"),"")</f>
      </c>
    </row>
    <row r="143" ht="18.75" customHeight="1" spans="2:11" x14ac:dyDescent="0.25">
      <c r="B143" s="20">
        <f>IFERROR(INDEX(_datos!$A$2:$A$401,MATCH(ROW()-13,_datos!$K$2:$K$401,0)),"")</f>
      </c>
      <c r="C143" s="22">
        <f>IFERROR(INDEX(_datos!$B$2:$B$401,MATCH(ROW()-13,_datos!$K$2:$K$401,0)),"")</f>
      </c>
      <c r="D143" s="43">
        <f>IFERROR(INDEX(_datos!$C$2:$C$401,MATCH(ROW()-13,_datos!$K$2:$K$401,0)),"")</f>
      </c>
      <c r="E143" s="22">
        <f>IFERROR(INDEX(_datos!$D$2:$D$401,MATCH(ROW()-13,_datos!$K$2:$K$401,0)),"")</f>
      </c>
      <c r="F143" s="21">
        <f>IFERROR(INDEX(_datos!$E$2:$E$401,MATCH(ROW()-13,_datos!$K$2:$K$401,0)),"")</f>
      </c>
      <c r="G143" s="23">
        <f>IFERROR(INDEX(_datos!$F$2:$F$401,MATCH(ROW()-13,_datos!$K$2:$K$401,0)),"")</f>
      </c>
      <c r="H143" s="21">
        <f>IFERROR(INDEX(_datos!$G$2:$G$401,MATCH(ROW()-13,_datos!$K$2:$K$401,0)),"")</f>
      </c>
      <c r="I143" s="24">
        <f>IFERROR(INDEX(_datos!$H$2:$H$401,MATCH(ROW()-13,_datos!$K$2:$K$401,0)),"")</f>
      </c>
      <c r="J143" s="22">
        <f>IFERROR(INDEX(_datos!$I$2:$I$401,MATCH(ROW()-13,_datos!$K$2:$K$401,0)),"")</f>
      </c>
      <c r="K143" s="44">
        <f>IFERROR(HYPERLINK(INDEX(_datos!$J$2:$J$401,MATCH(ROW()-13,_datos!$K$2:$K$401,0)),"abrir mapa"),"")</f>
      </c>
    </row>
    <row r="144" ht="18.75" customHeight="1" spans="2:11" x14ac:dyDescent="0.25">
      <c r="B144" s="20">
        <f>IFERROR(INDEX(_datos!$A$2:$A$401,MATCH(ROW()-13,_datos!$K$2:$K$401,0)),"")</f>
      </c>
      <c r="C144" s="22">
        <f>IFERROR(INDEX(_datos!$B$2:$B$401,MATCH(ROW()-13,_datos!$K$2:$K$401,0)),"")</f>
      </c>
      <c r="D144" s="43">
        <f>IFERROR(INDEX(_datos!$C$2:$C$401,MATCH(ROW()-13,_datos!$K$2:$K$401,0)),"")</f>
      </c>
      <c r="E144" s="22">
        <f>IFERROR(INDEX(_datos!$D$2:$D$401,MATCH(ROW()-13,_datos!$K$2:$K$401,0)),"")</f>
      </c>
      <c r="F144" s="21">
        <f>IFERROR(INDEX(_datos!$E$2:$E$401,MATCH(ROW()-13,_datos!$K$2:$K$401,0)),"")</f>
      </c>
      <c r="G144" s="23">
        <f>IFERROR(INDEX(_datos!$F$2:$F$401,MATCH(ROW()-13,_datos!$K$2:$K$401,0)),"")</f>
      </c>
      <c r="H144" s="21">
        <f>IFERROR(INDEX(_datos!$G$2:$G$401,MATCH(ROW()-13,_datos!$K$2:$K$401,0)),"")</f>
      </c>
      <c r="I144" s="24">
        <f>IFERROR(INDEX(_datos!$H$2:$H$401,MATCH(ROW()-13,_datos!$K$2:$K$401,0)),"")</f>
      </c>
      <c r="J144" s="22">
        <f>IFERROR(INDEX(_datos!$I$2:$I$401,MATCH(ROW()-13,_datos!$K$2:$K$401,0)),"")</f>
      </c>
      <c r="K144" s="44">
        <f>IFERROR(HYPERLINK(INDEX(_datos!$J$2:$J$401,MATCH(ROW()-13,_datos!$K$2:$K$401,0)),"abrir mapa"),"")</f>
      </c>
    </row>
    <row r="145" ht="18.75" customHeight="1" spans="2:11" x14ac:dyDescent="0.25">
      <c r="B145" s="20">
        <f>IFERROR(INDEX(_datos!$A$2:$A$401,MATCH(ROW()-13,_datos!$K$2:$K$401,0)),"")</f>
      </c>
      <c r="C145" s="22">
        <f>IFERROR(INDEX(_datos!$B$2:$B$401,MATCH(ROW()-13,_datos!$K$2:$K$401,0)),"")</f>
      </c>
      <c r="D145" s="43">
        <f>IFERROR(INDEX(_datos!$C$2:$C$401,MATCH(ROW()-13,_datos!$K$2:$K$401,0)),"")</f>
      </c>
      <c r="E145" s="22">
        <f>IFERROR(INDEX(_datos!$D$2:$D$401,MATCH(ROW()-13,_datos!$K$2:$K$401,0)),"")</f>
      </c>
      <c r="F145" s="21">
        <f>IFERROR(INDEX(_datos!$E$2:$E$401,MATCH(ROW()-13,_datos!$K$2:$K$401,0)),"")</f>
      </c>
      <c r="G145" s="23">
        <f>IFERROR(INDEX(_datos!$F$2:$F$401,MATCH(ROW()-13,_datos!$K$2:$K$401,0)),"")</f>
      </c>
      <c r="H145" s="21">
        <f>IFERROR(INDEX(_datos!$G$2:$G$401,MATCH(ROW()-13,_datos!$K$2:$K$401,0)),"")</f>
      </c>
      <c r="I145" s="24">
        <f>IFERROR(INDEX(_datos!$H$2:$H$401,MATCH(ROW()-13,_datos!$K$2:$K$401,0)),"")</f>
      </c>
      <c r="J145" s="22">
        <f>IFERROR(INDEX(_datos!$I$2:$I$401,MATCH(ROW()-13,_datos!$K$2:$K$401,0)),"")</f>
      </c>
      <c r="K145" s="44">
        <f>IFERROR(HYPERLINK(INDEX(_datos!$J$2:$J$401,MATCH(ROW()-13,_datos!$K$2:$K$401,0)),"abrir mapa"),"")</f>
      </c>
    </row>
    <row r="146" ht="18.75" customHeight="1" spans="2:11" x14ac:dyDescent="0.25">
      <c r="B146" s="20">
        <f>IFERROR(INDEX(_datos!$A$2:$A$401,MATCH(ROW()-13,_datos!$K$2:$K$401,0)),"")</f>
      </c>
      <c r="C146" s="22">
        <f>IFERROR(INDEX(_datos!$B$2:$B$401,MATCH(ROW()-13,_datos!$K$2:$K$401,0)),"")</f>
      </c>
      <c r="D146" s="43">
        <f>IFERROR(INDEX(_datos!$C$2:$C$401,MATCH(ROW()-13,_datos!$K$2:$K$401,0)),"")</f>
      </c>
      <c r="E146" s="22">
        <f>IFERROR(INDEX(_datos!$D$2:$D$401,MATCH(ROW()-13,_datos!$K$2:$K$401,0)),"")</f>
      </c>
      <c r="F146" s="21">
        <f>IFERROR(INDEX(_datos!$E$2:$E$401,MATCH(ROW()-13,_datos!$K$2:$K$401,0)),"")</f>
      </c>
      <c r="G146" s="23">
        <f>IFERROR(INDEX(_datos!$F$2:$F$401,MATCH(ROW()-13,_datos!$K$2:$K$401,0)),"")</f>
      </c>
      <c r="H146" s="21">
        <f>IFERROR(INDEX(_datos!$G$2:$G$401,MATCH(ROW()-13,_datos!$K$2:$K$401,0)),"")</f>
      </c>
      <c r="I146" s="24">
        <f>IFERROR(INDEX(_datos!$H$2:$H$401,MATCH(ROW()-13,_datos!$K$2:$K$401,0)),"")</f>
      </c>
      <c r="J146" s="22">
        <f>IFERROR(INDEX(_datos!$I$2:$I$401,MATCH(ROW()-13,_datos!$K$2:$K$401,0)),"")</f>
      </c>
      <c r="K146" s="44">
        <f>IFERROR(HYPERLINK(INDEX(_datos!$J$2:$J$401,MATCH(ROW()-13,_datos!$K$2:$K$401,0)),"abrir mapa"),"")</f>
      </c>
    </row>
    <row r="147" ht="18.75" customHeight="1" spans="2:11" x14ac:dyDescent="0.25">
      <c r="B147" s="20">
        <f>IFERROR(INDEX(_datos!$A$2:$A$401,MATCH(ROW()-13,_datos!$K$2:$K$401,0)),"")</f>
      </c>
      <c r="C147" s="22">
        <f>IFERROR(INDEX(_datos!$B$2:$B$401,MATCH(ROW()-13,_datos!$K$2:$K$401,0)),"")</f>
      </c>
      <c r="D147" s="43">
        <f>IFERROR(INDEX(_datos!$C$2:$C$401,MATCH(ROW()-13,_datos!$K$2:$K$401,0)),"")</f>
      </c>
      <c r="E147" s="22">
        <f>IFERROR(INDEX(_datos!$D$2:$D$401,MATCH(ROW()-13,_datos!$K$2:$K$401,0)),"")</f>
      </c>
      <c r="F147" s="21">
        <f>IFERROR(INDEX(_datos!$E$2:$E$401,MATCH(ROW()-13,_datos!$K$2:$K$401,0)),"")</f>
      </c>
      <c r="G147" s="23">
        <f>IFERROR(INDEX(_datos!$F$2:$F$401,MATCH(ROW()-13,_datos!$K$2:$K$401,0)),"")</f>
      </c>
      <c r="H147" s="21">
        <f>IFERROR(INDEX(_datos!$G$2:$G$401,MATCH(ROW()-13,_datos!$K$2:$K$401,0)),"")</f>
      </c>
      <c r="I147" s="24">
        <f>IFERROR(INDEX(_datos!$H$2:$H$401,MATCH(ROW()-13,_datos!$K$2:$K$401,0)),"")</f>
      </c>
      <c r="J147" s="22">
        <f>IFERROR(INDEX(_datos!$I$2:$I$401,MATCH(ROW()-13,_datos!$K$2:$K$401,0)),"")</f>
      </c>
      <c r="K147" s="44">
        <f>IFERROR(HYPERLINK(INDEX(_datos!$J$2:$J$401,MATCH(ROW()-13,_datos!$K$2:$K$401,0)),"abrir mapa"),"")</f>
      </c>
    </row>
    <row r="148" ht="18.75" customHeight="1" spans="2:11" x14ac:dyDescent="0.25">
      <c r="B148" s="20">
        <f>IFERROR(INDEX(_datos!$A$2:$A$401,MATCH(ROW()-13,_datos!$K$2:$K$401,0)),"")</f>
      </c>
      <c r="C148" s="22">
        <f>IFERROR(INDEX(_datos!$B$2:$B$401,MATCH(ROW()-13,_datos!$K$2:$K$401,0)),"")</f>
      </c>
      <c r="D148" s="43">
        <f>IFERROR(INDEX(_datos!$C$2:$C$401,MATCH(ROW()-13,_datos!$K$2:$K$401,0)),"")</f>
      </c>
      <c r="E148" s="22">
        <f>IFERROR(INDEX(_datos!$D$2:$D$401,MATCH(ROW()-13,_datos!$K$2:$K$401,0)),"")</f>
      </c>
      <c r="F148" s="21">
        <f>IFERROR(INDEX(_datos!$E$2:$E$401,MATCH(ROW()-13,_datos!$K$2:$K$401,0)),"")</f>
      </c>
      <c r="G148" s="23">
        <f>IFERROR(INDEX(_datos!$F$2:$F$401,MATCH(ROW()-13,_datos!$K$2:$K$401,0)),"")</f>
      </c>
      <c r="H148" s="21">
        <f>IFERROR(INDEX(_datos!$G$2:$G$401,MATCH(ROW()-13,_datos!$K$2:$K$401,0)),"")</f>
      </c>
      <c r="I148" s="24">
        <f>IFERROR(INDEX(_datos!$H$2:$H$401,MATCH(ROW()-13,_datos!$K$2:$K$401,0)),"")</f>
      </c>
      <c r="J148" s="22">
        <f>IFERROR(INDEX(_datos!$I$2:$I$401,MATCH(ROW()-13,_datos!$K$2:$K$401,0)),"")</f>
      </c>
      <c r="K148" s="44">
        <f>IFERROR(HYPERLINK(INDEX(_datos!$J$2:$J$401,MATCH(ROW()-13,_datos!$K$2:$K$401,0)),"abrir mapa"),"")</f>
      </c>
    </row>
    <row r="149" ht="18.75" customHeight="1" spans="2:11" x14ac:dyDescent="0.25">
      <c r="B149" s="20">
        <f>IFERROR(INDEX(_datos!$A$2:$A$401,MATCH(ROW()-13,_datos!$K$2:$K$401,0)),"")</f>
      </c>
      <c r="C149" s="22">
        <f>IFERROR(INDEX(_datos!$B$2:$B$401,MATCH(ROW()-13,_datos!$K$2:$K$401,0)),"")</f>
      </c>
      <c r="D149" s="43">
        <f>IFERROR(INDEX(_datos!$C$2:$C$401,MATCH(ROW()-13,_datos!$K$2:$K$401,0)),"")</f>
      </c>
      <c r="E149" s="22">
        <f>IFERROR(INDEX(_datos!$D$2:$D$401,MATCH(ROW()-13,_datos!$K$2:$K$401,0)),"")</f>
      </c>
      <c r="F149" s="21">
        <f>IFERROR(INDEX(_datos!$E$2:$E$401,MATCH(ROW()-13,_datos!$K$2:$K$401,0)),"")</f>
      </c>
      <c r="G149" s="23">
        <f>IFERROR(INDEX(_datos!$F$2:$F$401,MATCH(ROW()-13,_datos!$K$2:$K$401,0)),"")</f>
      </c>
      <c r="H149" s="21">
        <f>IFERROR(INDEX(_datos!$G$2:$G$401,MATCH(ROW()-13,_datos!$K$2:$K$401,0)),"")</f>
      </c>
      <c r="I149" s="24">
        <f>IFERROR(INDEX(_datos!$H$2:$H$401,MATCH(ROW()-13,_datos!$K$2:$K$401,0)),"")</f>
      </c>
      <c r="J149" s="22">
        <f>IFERROR(INDEX(_datos!$I$2:$I$401,MATCH(ROW()-13,_datos!$K$2:$K$401,0)),"")</f>
      </c>
      <c r="K149" s="44">
        <f>IFERROR(HYPERLINK(INDEX(_datos!$J$2:$J$401,MATCH(ROW()-13,_datos!$K$2:$K$401,0)),"abrir mapa"),"")</f>
      </c>
    </row>
    <row r="150" ht="18.75" customHeight="1" spans="2:11" x14ac:dyDescent="0.25">
      <c r="B150" s="20">
        <f>IFERROR(INDEX(_datos!$A$2:$A$401,MATCH(ROW()-13,_datos!$K$2:$K$401,0)),"")</f>
      </c>
      <c r="C150" s="22">
        <f>IFERROR(INDEX(_datos!$B$2:$B$401,MATCH(ROW()-13,_datos!$K$2:$K$401,0)),"")</f>
      </c>
      <c r="D150" s="43">
        <f>IFERROR(INDEX(_datos!$C$2:$C$401,MATCH(ROW()-13,_datos!$K$2:$K$401,0)),"")</f>
      </c>
      <c r="E150" s="22">
        <f>IFERROR(INDEX(_datos!$D$2:$D$401,MATCH(ROW()-13,_datos!$K$2:$K$401,0)),"")</f>
      </c>
      <c r="F150" s="21">
        <f>IFERROR(INDEX(_datos!$E$2:$E$401,MATCH(ROW()-13,_datos!$K$2:$K$401,0)),"")</f>
      </c>
      <c r="G150" s="23">
        <f>IFERROR(INDEX(_datos!$F$2:$F$401,MATCH(ROW()-13,_datos!$K$2:$K$401,0)),"")</f>
      </c>
      <c r="H150" s="21">
        <f>IFERROR(INDEX(_datos!$G$2:$G$401,MATCH(ROW()-13,_datos!$K$2:$K$401,0)),"")</f>
      </c>
      <c r="I150" s="24">
        <f>IFERROR(INDEX(_datos!$H$2:$H$401,MATCH(ROW()-13,_datos!$K$2:$K$401,0)),"")</f>
      </c>
      <c r="J150" s="22">
        <f>IFERROR(INDEX(_datos!$I$2:$I$401,MATCH(ROW()-13,_datos!$K$2:$K$401,0)),"")</f>
      </c>
      <c r="K150" s="44">
        <f>IFERROR(HYPERLINK(INDEX(_datos!$J$2:$J$401,MATCH(ROW()-13,_datos!$K$2:$K$401,0)),"abrir mapa"),"")</f>
      </c>
    </row>
    <row r="151" ht="18.75" customHeight="1" spans="2:11" x14ac:dyDescent="0.25">
      <c r="B151" s="20">
        <f>IFERROR(INDEX(_datos!$A$2:$A$401,MATCH(ROW()-13,_datos!$K$2:$K$401,0)),"")</f>
      </c>
      <c r="C151" s="22">
        <f>IFERROR(INDEX(_datos!$B$2:$B$401,MATCH(ROW()-13,_datos!$K$2:$K$401,0)),"")</f>
      </c>
      <c r="D151" s="43">
        <f>IFERROR(INDEX(_datos!$C$2:$C$401,MATCH(ROW()-13,_datos!$K$2:$K$401,0)),"")</f>
      </c>
      <c r="E151" s="22">
        <f>IFERROR(INDEX(_datos!$D$2:$D$401,MATCH(ROW()-13,_datos!$K$2:$K$401,0)),"")</f>
      </c>
      <c r="F151" s="21">
        <f>IFERROR(INDEX(_datos!$E$2:$E$401,MATCH(ROW()-13,_datos!$K$2:$K$401,0)),"")</f>
      </c>
      <c r="G151" s="23">
        <f>IFERROR(INDEX(_datos!$F$2:$F$401,MATCH(ROW()-13,_datos!$K$2:$K$401,0)),"")</f>
      </c>
      <c r="H151" s="21">
        <f>IFERROR(INDEX(_datos!$G$2:$G$401,MATCH(ROW()-13,_datos!$K$2:$K$401,0)),"")</f>
      </c>
      <c r="I151" s="24">
        <f>IFERROR(INDEX(_datos!$H$2:$H$401,MATCH(ROW()-13,_datos!$K$2:$K$401,0)),"")</f>
      </c>
      <c r="J151" s="22">
        <f>IFERROR(INDEX(_datos!$I$2:$I$401,MATCH(ROW()-13,_datos!$K$2:$K$401,0)),"")</f>
      </c>
      <c r="K151" s="44">
        <f>IFERROR(HYPERLINK(INDEX(_datos!$J$2:$J$401,MATCH(ROW()-13,_datos!$K$2:$K$401,0)),"abrir mapa"),"")</f>
      </c>
    </row>
    <row r="152" ht="18.75" customHeight="1" spans="2:11" x14ac:dyDescent="0.25">
      <c r="B152" s="20">
        <f>IFERROR(INDEX(_datos!$A$2:$A$401,MATCH(ROW()-13,_datos!$K$2:$K$401,0)),"")</f>
      </c>
      <c r="C152" s="22">
        <f>IFERROR(INDEX(_datos!$B$2:$B$401,MATCH(ROW()-13,_datos!$K$2:$K$401,0)),"")</f>
      </c>
      <c r="D152" s="43">
        <f>IFERROR(INDEX(_datos!$C$2:$C$401,MATCH(ROW()-13,_datos!$K$2:$K$401,0)),"")</f>
      </c>
      <c r="E152" s="22">
        <f>IFERROR(INDEX(_datos!$D$2:$D$401,MATCH(ROW()-13,_datos!$K$2:$K$401,0)),"")</f>
      </c>
      <c r="F152" s="21">
        <f>IFERROR(INDEX(_datos!$E$2:$E$401,MATCH(ROW()-13,_datos!$K$2:$K$401,0)),"")</f>
      </c>
      <c r="G152" s="23">
        <f>IFERROR(INDEX(_datos!$F$2:$F$401,MATCH(ROW()-13,_datos!$K$2:$K$401,0)),"")</f>
      </c>
      <c r="H152" s="21">
        <f>IFERROR(INDEX(_datos!$G$2:$G$401,MATCH(ROW()-13,_datos!$K$2:$K$401,0)),"")</f>
      </c>
      <c r="I152" s="24">
        <f>IFERROR(INDEX(_datos!$H$2:$H$401,MATCH(ROW()-13,_datos!$K$2:$K$401,0)),"")</f>
      </c>
      <c r="J152" s="22">
        <f>IFERROR(INDEX(_datos!$I$2:$I$401,MATCH(ROW()-13,_datos!$K$2:$K$401,0)),"")</f>
      </c>
      <c r="K152" s="44">
        <f>IFERROR(HYPERLINK(INDEX(_datos!$J$2:$J$401,MATCH(ROW()-13,_datos!$K$2:$K$401,0)),"abrir mapa"),"")</f>
      </c>
    </row>
    <row r="153" ht="18.75" customHeight="1" spans="2:11" x14ac:dyDescent="0.25">
      <c r="B153" s="20">
        <f>IFERROR(INDEX(_datos!$A$2:$A$401,MATCH(ROW()-13,_datos!$K$2:$K$401,0)),"")</f>
      </c>
      <c r="C153" s="22">
        <f>IFERROR(INDEX(_datos!$B$2:$B$401,MATCH(ROW()-13,_datos!$K$2:$K$401,0)),"")</f>
      </c>
      <c r="D153" s="43">
        <f>IFERROR(INDEX(_datos!$C$2:$C$401,MATCH(ROW()-13,_datos!$K$2:$K$401,0)),"")</f>
      </c>
      <c r="E153" s="22">
        <f>IFERROR(INDEX(_datos!$D$2:$D$401,MATCH(ROW()-13,_datos!$K$2:$K$401,0)),"")</f>
      </c>
      <c r="F153" s="21">
        <f>IFERROR(INDEX(_datos!$E$2:$E$401,MATCH(ROW()-13,_datos!$K$2:$K$401,0)),"")</f>
      </c>
      <c r="G153" s="23">
        <f>IFERROR(INDEX(_datos!$F$2:$F$401,MATCH(ROW()-13,_datos!$K$2:$K$401,0)),"")</f>
      </c>
      <c r="H153" s="21">
        <f>IFERROR(INDEX(_datos!$G$2:$G$401,MATCH(ROW()-13,_datos!$K$2:$K$401,0)),"")</f>
      </c>
      <c r="I153" s="24">
        <f>IFERROR(INDEX(_datos!$H$2:$H$401,MATCH(ROW()-13,_datos!$K$2:$K$401,0)),"")</f>
      </c>
      <c r="J153" s="22">
        <f>IFERROR(INDEX(_datos!$I$2:$I$401,MATCH(ROW()-13,_datos!$K$2:$K$401,0)),"")</f>
      </c>
      <c r="K153" s="44">
        <f>IFERROR(HYPERLINK(INDEX(_datos!$J$2:$J$401,MATCH(ROW()-13,_datos!$K$2:$K$401,0)),"abrir mapa"),"")</f>
      </c>
    </row>
    <row r="154" ht="18.75" customHeight="1" spans="2:11" x14ac:dyDescent="0.25">
      <c r="B154" s="20">
        <f>IFERROR(INDEX(_datos!$A$2:$A$401,MATCH(ROW()-13,_datos!$K$2:$K$401,0)),"")</f>
      </c>
      <c r="C154" s="22">
        <f>IFERROR(INDEX(_datos!$B$2:$B$401,MATCH(ROW()-13,_datos!$K$2:$K$401,0)),"")</f>
      </c>
      <c r="D154" s="43">
        <f>IFERROR(INDEX(_datos!$C$2:$C$401,MATCH(ROW()-13,_datos!$K$2:$K$401,0)),"")</f>
      </c>
      <c r="E154" s="22">
        <f>IFERROR(INDEX(_datos!$D$2:$D$401,MATCH(ROW()-13,_datos!$K$2:$K$401,0)),"")</f>
      </c>
      <c r="F154" s="21">
        <f>IFERROR(INDEX(_datos!$E$2:$E$401,MATCH(ROW()-13,_datos!$K$2:$K$401,0)),"")</f>
      </c>
      <c r="G154" s="23">
        <f>IFERROR(INDEX(_datos!$F$2:$F$401,MATCH(ROW()-13,_datos!$K$2:$K$401,0)),"")</f>
      </c>
      <c r="H154" s="21">
        <f>IFERROR(INDEX(_datos!$G$2:$G$401,MATCH(ROW()-13,_datos!$K$2:$K$401,0)),"")</f>
      </c>
      <c r="I154" s="24">
        <f>IFERROR(INDEX(_datos!$H$2:$H$401,MATCH(ROW()-13,_datos!$K$2:$K$401,0)),"")</f>
      </c>
      <c r="J154" s="22">
        <f>IFERROR(INDEX(_datos!$I$2:$I$401,MATCH(ROW()-13,_datos!$K$2:$K$401,0)),"")</f>
      </c>
      <c r="K154" s="44">
        <f>IFERROR(HYPERLINK(INDEX(_datos!$J$2:$J$401,MATCH(ROW()-13,_datos!$K$2:$K$401,0)),"abrir mapa"),"")</f>
      </c>
    </row>
    <row r="155" ht="18.75" customHeight="1" spans="2:11" x14ac:dyDescent="0.25">
      <c r="B155" s="20">
        <f>IFERROR(INDEX(_datos!$A$2:$A$401,MATCH(ROW()-13,_datos!$K$2:$K$401,0)),"")</f>
      </c>
      <c r="C155" s="22">
        <f>IFERROR(INDEX(_datos!$B$2:$B$401,MATCH(ROW()-13,_datos!$K$2:$K$401,0)),"")</f>
      </c>
      <c r="D155" s="43">
        <f>IFERROR(INDEX(_datos!$C$2:$C$401,MATCH(ROW()-13,_datos!$K$2:$K$401,0)),"")</f>
      </c>
      <c r="E155" s="22">
        <f>IFERROR(INDEX(_datos!$D$2:$D$401,MATCH(ROW()-13,_datos!$K$2:$K$401,0)),"")</f>
      </c>
      <c r="F155" s="21">
        <f>IFERROR(INDEX(_datos!$E$2:$E$401,MATCH(ROW()-13,_datos!$K$2:$K$401,0)),"")</f>
      </c>
      <c r="G155" s="23">
        <f>IFERROR(INDEX(_datos!$F$2:$F$401,MATCH(ROW()-13,_datos!$K$2:$K$401,0)),"")</f>
      </c>
      <c r="H155" s="21">
        <f>IFERROR(INDEX(_datos!$G$2:$G$401,MATCH(ROW()-13,_datos!$K$2:$K$401,0)),"")</f>
      </c>
      <c r="I155" s="24">
        <f>IFERROR(INDEX(_datos!$H$2:$H$401,MATCH(ROW()-13,_datos!$K$2:$K$401,0)),"")</f>
      </c>
      <c r="J155" s="22">
        <f>IFERROR(INDEX(_datos!$I$2:$I$401,MATCH(ROW()-13,_datos!$K$2:$K$401,0)),"")</f>
      </c>
      <c r="K155" s="44">
        <f>IFERROR(HYPERLINK(INDEX(_datos!$J$2:$J$401,MATCH(ROW()-13,_datos!$K$2:$K$401,0)),"abrir mapa"),"")</f>
      </c>
    </row>
    <row r="156" ht="18.75" customHeight="1" spans="2:11" x14ac:dyDescent="0.25">
      <c r="B156" s="20">
        <f>IFERROR(INDEX(_datos!$A$2:$A$401,MATCH(ROW()-13,_datos!$K$2:$K$401,0)),"")</f>
      </c>
      <c r="C156" s="22">
        <f>IFERROR(INDEX(_datos!$B$2:$B$401,MATCH(ROW()-13,_datos!$K$2:$K$401,0)),"")</f>
      </c>
      <c r="D156" s="43">
        <f>IFERROR(INDEX(_datos!$C$2:$C$401,MATCH(ROW()-13,_datos!$K$2:$K$401,0)),"")</f>
      </c>
      <c r="E156" s="22">
        <f>IFERROR(INDEX(_datos!$D$2:$D$401,MATCH(ROW()-13,_datos!$K$2:$K$401,0)),"")</f>
      </c>
      <c r="F156" s="21">
        <f>IFERROR(INDEX(_datos!$E$2:$E$401,MATCH(ROW()-13,_datos!$K$2:$K$401,0)),"")</f>
      </c>
      <c r="G156" s="23">
        <f>IFERROR(INDEX(_datos!$F$2:$F$401,MATCH(ROW()-13,_datos!$K$2:$K$401,0)),"")</f>
      </c>
      <c r="H156" s="21">
        <f>IFERROR(INDEX(_datos!$G$2:$G$401,MATCH(ROW()-13,_datos!$K$2:$K$401,0)),"")</f>
      </c>
      <c r="I156" s="24">
        <f>IFERROR(INDEX(_datos!$H$2:$H$401,MATCH(ROW()-13,_datos!$K$2:$K$401,0)),"")</f>
      </c>
      <c r="J156" s="22">
        <f>IFERROR(INDEX(_datos!$I$2:$I$401,MATCH(ROW()-13,_datos!$K$2:$K$401,0)),"")</f>
      </c>
      <c r="K156" s="44">
        <f>IFERROR(HYPERLINK(INDEX(_datos!$J$2:$J$401,MATCH(ROW()-13,_datos!$K$2:$K$401,0)),"abrir mapa"),"")</f>
      </c>
    </row>
    <row r="157" ht="18.75" customHeight="1" spans="2:11" x14ac:dyDescent="0.25">
      <c r="B157" s="20">
        <f>IFERROR(INDEX(_datos!$A$2:$A$401,MATCH(ROW()-13,_datos!$K$2:$K$401,0)),"")</f>
      </c>
      <c r="C157" s="22">
        <f>IFERROR(INDEX(_datos!$B$2:$B$401,MATCH(ROW()-13,_datos!$K$2:$K$401,0)),"")</f>
      </c>
      <c r="D157" s="43">
        <f>IFERROR(INDEX(_datos!$C$2:$C$401,MATCH(ROW()-13,_datos!$K$2:$K$401,0)),"")</f>
      </c>
      <c r="E157" s="22">
        <f>IFERROR(INDEX(_datos!$D$2:$D$401,MATCH(ROW()-13,_datos!$K$2:$K$401,0)),"")</f>
      </c>
      <c r="F157" s="21">
        <f>IFERROR(INDEX(_datos!$E$2:$E$401,MATCH(ROW()-13,_datos!$K$2:$K$401,0)),"")</f>
      </c>
      <c r="G157" s="23">
        <f>IFERROR(INDEX(_datos!$F$2:$F$401,MATCH(ROW()-13,_datos!$K$2:$K$401,0)),"")</f>
      </c>
      <c r="H157" s="21">
        <f>IFERROR(INDEX(_datos!$G$2:$G$401,MATCH(ROW()-13,_datos!$K$2:$K$401,0)),"")</f>
      </c>
      <c r="I157" s="24">
        <f>IFERROR(INDEX(_datos!$H$2:$H$401,MATCH(ROW()-13,_datos!$K$2:$K$401,0)),"")</f>
      </c>
      <c r="J157" s="22">
        <f>IFERROR(INDEX(_datos!$I$2:$I$401,MATCH(ROW()-13,_datos!$K$2:$K$401,0)),"")</f>
      </c>
      <c r="K157" s="44">
        <f>IFERROR(HYPERLINK(INDEX(_datos!$J$2:$J$401,MATCH(ROW()-13,_datos!$K$2:$K$401,0)),"abrir mapa"),"")</f>
      </c>
    </row>
    <row r="158" ht="18.75" customHeight="1" spans="2:11" x14ac:dyDescent="0.25">
      <c r="B158" s="20">
        <f>IFERROR(INDEX(_datos!$A$2:$A$401,MATCH(ROW()-13,_datos!$K$2:$K$401,0)),"")</f>
      </c>
      <c r="C158" s="22">
        <f>IFERROR(INDEX(_datos!$B$2:$B$401,MATCH(ROW()-13,_datos!$K$2:$K$401,0)),"")</f>
      </c>
      <c r="D158" s="43">
        <f>IFERROR(INDEX(_datos!$C$2:$C$401,MATCH(ROW()-13,_datos!$K$2:$K$401,0)),"")</f>
      </c>
      <c r="E158" s="22">
        <f>IFERROR(INDEX(_datos!$D$2:$D$401,MATCH(ROW()-13,_datos!$K$2:$K$401,0)),"")</f>
      </c>
      <c r="F158" s="21">
        <f>IFERROR(INDEX(_datos!$E$2:$E$401,MATCH(ROW()-13,_datos!$K$2:$K$401,0)),"")</f>
      </c>
      <c r="G158" s="23">
        <f>IFERROR(INDEX(_datos!$F$2:$F$401,MATCH(ROW()-13,_datos!$K$2:$K$401,0)),"")</f>
      </c>
      <c r="H158" s="21">
        <f>IFERROR(INDEX(_datos!$G$2:$G$401,MATCH(ROW()-13,_datos!$K$2:$K$401,0)),"")</f>
      </c>
      <c r="I158" s="24">
        <f>IFERROR(INDEX(_datos!$H$2:$H$401,MATCH(ROW()-13,_datos!$K$2:$K$401,0)),"")</f>
      </c>
      <c r="J158" s="22">
        <f>IFERROR(INDEX(_datos!$I$2:$I$401,MATCH(ROW()-13,_datos!$K$2:$K$401,0)),"")</f>
      </c>
      <c r="K158" s="44">
        <f>IFERROR(HYPERLINK(INDEX(_datos!$J$2:$J$401,MATCH(ROW()-13,_datos!$K$2:$K$401,0)),"abrir mapa"),"")</f>
      </c>
    </row>
    <row r="159" ht="18.75" customHeight="1" spans="2:11" x14ac:dyDescent="0.25">
      <c r="B159" s="20">
        <f>IFERROR(INDEX(_datos!$A$2:$A$401,MATCH(ROW()-13,_datos!$K$2:$K$401,0)),"")</f>
      </c>
      <c r="C159" s="22">
        <f>IFERROR(INDEX(_datos!$B$2:$B$401,MATCH(ROW()-13,_datos!$K$2:$K$401,0)),"")</f>
      </c>
      <c r="D159" s="43">
        <f>IFERROR(INDEX(_datos!$C$2:$C$401,MATCH(ROW()-13,_datos!$K$2:$K$401,0)),"")</f>
      </c>
      <c r="E159" s="22">
        <f>IFERROR(INDEX(_datos!$D$2:$D$401,MATCH(ROW()-13,_datos!$K$2:$K$401,0)),"")</f>
      </c>
      <c r="F159" s="21">
        <f>IFERROR(INDEX(_datos!$E$2:$E$401,MATCH(ROW()-13,_datos!$K$2:$K$401,0)),"")</f>
      </c>
      <c r="G159" s="23">
        <f>IFERROR(INDEX(_datos!$F$2:$F$401,MATCH(ROW()-13,_datos!$K$2:$K$401,0)),"")</f>
      </c>
      <c r="H159" s="21">
        <f>IFERROR(INDEX(_datos!$G$2:$G$401,MATCH(ROW()-13,_datos!$K$2:$K$401,0)),"")</f>
      </c>
      <c r="I159" s="24">
        <f>IFERROR(INDEX(_datos!$H$2:$H$401,MATCH(ROW()-13,_datos!$K$2:$K$401,0)),"")</f>
      </c>
      <c r="J159" s="22">
        <f>IFERROR(INDEX(_datos!$I$2:$I$401,MATCH(ROW()-13,_datos!$K$2:$K$401,0)),"")</f>
      </c>
      <c r="K159" s="44">
        <f>IFERROR(HYPERLINK(INDEX(_datos!$J$2:$J$401,MATCH(ROW()-13,_datos!$K$2:$K$401,0)),"abrir mapa"),"")</f>
      </c>
    </row>
    <row r="160" ht="18.75" customHeight="1" spans="2:11" x14ac:dyDescent="0.25">
      <c r="B160" s="20">
        <f>IFERROR(INDEX(_datos!$A$2:$A$401,MATCH(ROW()-13,_datos!$K$2:$K$401,0)),"")</f>
      </c>
      <c r="C160" s="22">
        <f>IFERROR(INDEX(_datos!$B$2:$B$401,MATCH(ROW()-13,_datos!$K$2:$K$401,0)),"")</f>
      </c>
      <c r="D160" s="43">
        <f>IFERROR(INDEX(_datos!$C$2:$C$401,MATCH(ROW()-13,_datos!$K$2:$K$401,0)),"")</f>
      </c>
      <c r="E160" s="22">
        <f>IFERROR(INDEX(_datos!$D$2:$D$401,MATCH(ROW()-13,_datos!$K$2:$K$401,0)),"")</f>
      </c>
      <c r="F160" s="21">
        <f>IFERROR(INDEX(_datos!$E$2:$E$401,MATCH(ROW()-13,_datos!$K$2:$K$401,0)),"")</f>
      </c>
      <c r="G160" s="23">
        <f>IFERROR(INDEX(_datos!$F$2:$F$401,MATCH(ROW()-13,_datos!$K$2:$K$401,0)),"")</f>
      </c>
      <c r="H160" s="21">
        <f>IFERROR(INDEX(_datos!$G$2:$G$401,MATCH(ROW()-13,_datos!$K$2:$K$401,0)),"")</f>
      </c>
      <c r="I160" s="24">
        <f>IFERROR(INDEX(_datos!$H$2:$H$401,MATCH(ROW()-13,_datos!$K$2:$K$401,0)),"")</f>
      </c>
      <c r="J160" s="22">
        <f>IFERROR(INDEX(_datos!$I$2:$I$401,MATCH(ROW()-13,_datos!$K$2:$K$401,0)),"")</f>
      </c>
      <c r="K160" s="44">
        <f>IFERROR(HYPERLINK(INDEX(_datos!$J$2:$J$401,MATCH(ROW()-13,_datos!$K$2:$K$401,0)),"abrir mapa"),"")</f>
      </c>
    </row>
    <row r="161" ht="18.75" customHeight="1" spans="2:11" x14ac:dyDescent="0.25">
      <c r="B161" s="20">
        <f>IFERROR(INDEX(_datos!$A$2:$A$401,MATCH(ROW()-13,_datos!$K$2:$K$401,0)),"")</f>
      </c>
      <c r="C161" s="22">
        <f>IFERROR(INDEX(_datos!$B$2:$B$401,MATCH(ROW()-13,_datos!$K$2:$K$401,0)),"")</f>
      </c>
      <c r="D161" s="43">
        <f>IFERROR(INDEX(_datos!$C$2:$C$401,MATCH(ROW()-13,_datos!$K$2:$K$401,0)),"")</f>
      </c>
      <c r="E161" s="22">
        <f>IFERROR(INDEX(_datos!$D$2:$D$401,MATCH(ROW()-13,_datos!$K$2:$K$401,0)),"")</f>
      </c>
      <c r="F161" s="21">
        <f>IFERROR(INDEX(_datos!$E$2:$E$401,MATCH(ROW()-13,_datos!$K$2:$K$401,0)),"")</f>
      </c>
      <c r="G161" s="23">
        <f>IFERROR(INDEX(_datos!$F$2:$F$401,MATCH(ROW()-13,_datos!$K$2:$K$401,0)),"")</f>
      </c>
      <c r="H161" s="21">
        <f>IFERROR(INDEX(_datos!$G$2:$G$401,MATCH(ROW()-13,_datos!$K$2:$K$401,0)),"")</f>
      </c>
      <c r="I161" s="24">
        <f>IFERROR(INDEX(_datos!$H$2:$H$401,MATCH(ROW()-13,_datos!$K$2:$K$401,0)),"")</f>
      </c>
      <c r="J161" s="22">
        <f>IFERROR(INDEX(_datos!$I$2:$I$401,MATCH(ROW()-13,_datos!$K$2:$K$401,0)),"")</f>
      </c>
      <c r="K161" s="44">
        <f>IFERROR(HYPERLINK(INDEX(_datos!$J$2:$J$401,MATCH(ROW()-13,_datos!$K$2:$K$401,0)),"abrir mapa"),"")</f>
      </c>
    </row>
    <row r="162" ht="18.75" customHeight="1" spans="2:11" x14ac:dyDescent="0.25">
      <c r="B162" s="20">
        <f>IFERROR(INDEX(_datos!$A$2:$A$401,MATCH(ROW()-13,_datos!$K$2:$K$401,0)),"")</f>
      </c>
      <c r="C162" s="22">
        <f>IFERROR(INDEX(_datos!$B$2:$B$401,MATCH(ROW()-13,_datos!$K$2:$K$401,0)),"")</f>
      </c>
      <c r="D162" s="43">
        <f>IFERROR(INDEX(_datos!$C$2:$C$401,MATCH(ROW()-13,_datos!$K$2:$K$401,0)),"")</f>
      </c>
      <c r="E162" s="22">
        <f>IFERROR(INDEX(_datos!$D$2:$D$401,MATCH(ROW()-13,_datos!$K$2:$K$401,0)),"")</f>
      </c>
      <c r="F162" s="21">
        <f>IFERROR(INDEX(_datos!$E$2:$E$401,MATCH(ROW()-13,_datos!$K$2:$K$401,0)),"")</f>
      </c>
      <c r="G162" s="23">
        <f>IFERROR(INDEX(_datos!$F$2:$F$401,MATCH(ROW()-13,_datos!$K$2:$K$401,0)),"")</f>
      </c>
      <c r="H162" s="21">
        <f>IFERROR(INDEX(_datos!$G$2:$G$401,MATCH(ROW()-13,_datos!$K$2:$K$401,0)),"")</f>
      </c>
      <c r="I162" s="24">
        <f>IFERROR(INDEX(_datos!$H$2:$H$401,MATCH(ROW()-13,_datos!$K$2:$K$401,0)),"")</f>
      </c>
      <c r="J162" s="22">
        <f>IFERROR(INDEX(_datos!$I$2:$I$401,MATCH(ROW()-13,_datos!$K$2:$K$401,0)),"")</f>
      </c>
      <c r="K162" s="44">
        <f>IFERROR(HYPERLINK(INDEX(_datos!$J$2:$J$401,MATCH(ROW()-13,_datos!$K$2:$K$401,0)),"abrir mapa"),"")</f>
      </c>
    </row>
    <row r="163" ht="18.75" customHeight="1" spans="2:11" x14ac:dyDescent="0.25">
      <c r="B163" s="20">
        <f>IFERROR(INDEX(_datos!$A$2:$A$401,MATCH(ROW()-13,_datos!$K$2:$K$401,0)),"")</f>
      </c>
      <c r="C163" s="22">
        <f>IFERROR(INDEX(_datos!$B$2:$B$401,MATCH(ROW()-13,_datos!$K$2:$K$401,0)),"")</f>
      </c>
      <c r="D163" s="43">
        <f>IFERROR(INDEX(_datos!$C$2:$C$401,MATCH(ROW()-13,_datos!$K$2:$K$401,0)),"")</f>
      </c>
      <c r="E163" s="22">
        <f>IFERROR(INDEX(_datos!$D$2:$D$401,MATCH(ROW()-13,_datos!$K$2:$K$401,0)),"")</f>
      </c>
      <c r="F163" s="21">
        <f>IFERROR(INDEX(_datos!$E$2:$E$401,MATCH(ROW()-13,_datos!$K$2:$K$401,0)),"")</f>
      </c>
      <c r="G163" s="23">
        <f>IFERROR(INDEX(_datos!$F$2:$F$401,MATCH(ROW()-13,_datos!$K$2:$K$401,0)),"")</f>
      </c>
      <c r="H163" s="21">
        <f>IFERROR(INDEX(_datos!$G$2:$G$401,MATCH(ROW()-13,_datos!$K$2:$K$401,0)),"")</f>
      </c>
      <c r="I163" s="24">
        <f>IFERROR(INDEX(_datos!$H$2:$H$401,MATCH(ROW()-13,_datos!$K$2:$K$401,0)),"")</f>
      </c>
      <c r="J163" s="22">
        <f>IFERROR(INDEX(_datos!$I$2:$I$401,MATCH(ROW()-13,_datos!$K$2:$K$401,0)),"")</f>
      </c>
      <c r="K163" s="44">
        <f>IFERROR(HYPERLINK(INDEX(_datos!$J$2:$J$401,MATCH(ROW()-13,_datos!$K$2:$K$401,0)),"abrir mapa"),"")</f>
      </c>
    </row>
    <row r="164" ht="18.75" customHeight="1" spans="2:11" x14ac:dyDescent="0.25">
      <c r="B164" s="20">
        <f>IFERROR(INDEX(_datos!$A$2:$A$401,MATCH(ROW()-13,_datos!$K$2:$K$401,0)),"")</f>
      </c>
      <c r="C164" s="22">
        <f>IFERROR(INDEX(_datos!$B$2:$B$401,MATCH(ROW()-13,_datos!$K$2:$K$401,0)),"")</f>
      </c>
      <c r="D164" s="43">
        <f>IFERROR(INDEX(_datos!$C$2:$C$401,MATCH(ROW()-13,_datos!$K$2:$K$401,0)),"")</f>
      </c>
      <c r="E164" s="22">
        <f>IFERROR(INDEX(_datos!$D$2:$D$401,MATCH(ROW()-13,_datos!$K$2:$K$401,0)),"")</f>
      </c>
      <c r="F164" s="21">
        <f>IFERROR(INDEX(_datos!$E$2:$E$401,MATCH(ROW()-13,_datos!$K$2:$K$401,0)),"")</f>
      </c>
      <c r="G164" s="23">
        <f>IFERROR(INDEX(_datos!$F$2:$F$401,MATCH(ROW()-13,_datos!$K$2:$K$401,0)),"")</f>
      </c>
      <c r="H164" s="21">
        <f>IFERROR(INDEX(_datos!$G$2:$G$401,MATCH(ROW()-13,_datos!$K$2:$K$401,0)),"")</f>
      </c>
      <c r="I164" s="24">
        <f>IFERROR(INDEX(_datos!$H$2:$H$401,MATCH(ROW()-13,_datos!$K$2:$K$401,0)),"")</f>
      </c>
      <c r="J164" s="22">
        <f>IFERROR(INDEX(_datos!$I$2:$I$401,MATCH(ROW()-13,_datos!$K$2:$K$401,0)),"")</f>
      </c>
      <c r="K164" s="44">
        <f>IFERROR(HYPERLINK(INDEX(_datos!$J$2:$J$401,MATCH(ROW()-13,_datos!$K$2:$K$401,0)),"abrir mapa"),"")</f>
      </c>
    </row>
    <row r="165" ht="18.75" customHeight="1" spans="2:11" x14ac:dyDescent="0.25">
      <c r="B165" s="20">
        <f>IFERROR(INDEX(_datos!$A$2:$A$401,MATCH(ROW()-13,_datos!$K$2:$K$401,0)),"")</f>
      </c>
      <c r="C165" s="22">
        <f>IFERROR(INDEX(_datos!$B$2:$B$401,MATCH(ROW()-13,_datos!$K$2:$K$401,0)),"")</f>
      </c>
      <c r="D165" s="43">
        <f>IFERROR(INDEX(_datos!$C$2:$C$401,MATCH(ROW()-13,_datos!$K$2:$K$401,0)),"")</f>
      </c>
      <c r="E165" s="22">
        <f>IFERROR(INDEX(_datos!$D$2:$D$401,MATCH(ROW()-13,_datos!$K$2:$K$401,0)),"")</f>
      </c>
      <c r="F165" s="21">
        <f>IFERROR(INDEX(_datos!$E$2:$E$401,MATCH(ROW()-13,_datos!$K$2:$K$401,0)),"")</f>
      </c>
      <c r="G165" s="23">
        <f>IFERROR(INDEX(_datos!$F$2:$F$401,MATCH(ROW()-13,_datos!$K$2:$K$401,0)),"")</f>
      </c>
      <c r="H165" s="21">
        <f>IFERROR(INDEX(_datos!$G$2:$G$401,MATCH(ROW()-13,_datos!$K$2:$K$401,0)),"")</f>
      </c>
      <c r="I165" s="24">
        <f>IFERROR(INDEX(_datos!$H$2:$H$401,MATCH(ROW()-13,_datos!$K$2:$K$401,0)),"")</f>
      </c>
      <c r="J165" s="22">
        <f>IFERROR(INDEX(_datos!$I$2:$I$401,MATCH(ROW()-13,_datos!$K$2:$K$401,0)),"")</f>
      </c>
      <c r="K165" s="44">
        <f>IFERROR(HYPERLINK(INDEX(_datos!$J$2:$J$401,MATCH(ROW()-13,_datos!$K$2:$K$401,0)),"abrir mapa"),"")</f>
      </c>
    </row>
    <row r="166" ht="18.75" customHeight="1" spans="2:11" x14ac:dyDescent="0.25">
      <c r="B166" s="20">
        <f>IFERROR(INDEX(_datos!$A$2:$A$401,MATCH(ROW()-13,_datos!$K$2:$K$401,0)),"")</f>
      </c>
      <c r="C166" s="22">
        <f>IFERROR(INDEX(_datos!$B$2:$B$401,MATCH(ROW()-13,_datos!$K$2:$K$401,0)),"")</f>
      </c>
      <c r="D166" s="43">
        <f>IFERROR(INDEX(_datos!$C$2:$C$401,MATCH(ROW()-13,_datos!$K$2:$K$401,0)),"")</f>
      </c>
      <c r="E166" s="22">
        <f>IFERROR(INDEX(_datos!$D$2:$D$401,MATCH(ROW()-13,_datos!$K$2:$K$401,0)),"")</f>
      </c>
      <c r="F166" s="21">
        <f>IFERROR(INDEX(_datos!$E$2:$E$401,MATCH(ROW()-13,_datos!$K$2:$K$401,0)),"")</f>
      </c>
      <c r="G166" s="23">
        <f>IFERROR(INDEX(_datos!$F$2:$F$401,MATCH(ROW()-13,_datos!$K$2:$K$401,0)),"")</f>
      </c>
      <c r="H166" s="21">
        <f>IFERROR(INDEX(_datos!$G$2:$G$401,MATCH(ROW()-13,_datos!$K$2:$K$401,0)),"")</f>
      </c>
      <c r="I166" s="24">
        <f>IFERROR(INDEX(_datos!$H$2:$H$401,MATCH(ROW()-13,_datos!$K$2:$K$401,0)),"")</f>
      </c>
      <c r="J166" s="22">
        <f>IFERROR(INDEX(_datos!$I$2:$I$401,MATCH(ROW()-13,_datos!$K$2:$K$401,0)),"")</f>
      </c>
      <c r="K166" s="44">
        <f>IFERROR(HYPERLINK(INDEX(_datos!$J$2:$J$401,MATCH(ROW()-13,_datos!$K$2:$K$401,0)),"abrir mapa"),"")</f>
      </c>
    </row>
    <row r="167" ht="18.75" customHeight="1" spans="2:11" x14ac:dyDescent="0.25">
      <c r="B167" s="20">
        <f>IFERROR(INDEX(_datos!$A$2:$A$401,MATCH(ROW()-13,_datos!$K$2:$K$401,0)),"")</f>
      </c>
      <c r="C167" s="22">
        <f>IFERROR(INDEX(_datos!$B$2:$B$401,MATCH(ROW()-13,_datos!$K$2:$K$401,0)),"")</f>
      </c>
      <c r="D167" s="43">
        <f>IFERROR(INDEX(_datos!$C$2:$C$401,MATCH(ROW()-13,_datos!$K$2:$K$401,0)),"")</f>
      </c>
      <c r="E167" s="22">
        <f>IFERROR(INDEX(_datos!$D$2:$D$401,MATCH(ROW()-13,_datos!$K$2:$K$401,0)),"")</f>
      </c>
      <c r="F167" s="21">
        <f>IFERROR(INDEX(_datos!$E$2:$E$401,MATCH(ROW()-13,_datos!$K$2:$K$401,0)),"")</f>
      </c>
      <c r="G167" s="23">
        <f>IFERROR(INDEX(_datos!$F$2:$F$401,MATCH(ROW()-13,_datos!$K$2:$K$401,0)),"")</f>
      </c>
      <c r="H167" s="21">
        <f>IFERROR(INDEX(_datos!$G$2:$G$401,MATCH(ROW()-13,_datos!$K$2:$K$401,0)),"")</f>
      </c>
      <c r="I167" s="24">
        <f>IFERROR(INDEX(_datos!$H$2:$H$401,MATCH(ROW()-13,_datos!$K$2:$K$401,0)),"")</f>
      </c>
      <c r="J167" s="22">
        <f>IFERROR(INDEX(_datos!$I$2:$I$401,MATCH(ROW()-13,_datos!$K$2:$K$401,0)),"")</f>
      </c>
      <c r="K167" s="44">
        <f>IFERROR(HYPERLINK(INDEX(_datos!$J$2:$J$401,MATCH(ROW()-13,_datos!$K$2:$K$401,0)),"abrir mapa"),"")</f>
      </c>
    </row>
    <row r="168" ht="18.75" customHeight="1" spans="2:11" x14ac:dyDescent="0.25">
      <c r="B168" s="20">
        <f>IFERROR(INDEX(_datos!$A$2:$A$401,MATCH(ROW()-13,_datos!$K$2:$K$401,0)),"")</f>
      </c>
      <c r="C168" s="22">
        <f>IFERROR(INDEX(_datos!$B$2:$B$401,MATCH(ROW()-13,_datos!$K$2:$K$401,0)),"")</f>
      </c>
      <c r="D168" s="43">
        <f>IFERROR(INDEX(_datos!$C$2:$C$401,MATCH(ROW()-13,_datos!$K$2:$K$401,0)),"")</f>
      </c>
      <c r="E168" s="22">
        <f>IFERROR(INDEX(_datos!$D$2:$D$401,MATCH(ROW()-13,_datos!$K$2:$K$401,0)),"")</f>
      </c>
      <c r="F168" s="21">
        <f>IFERROR(INDEX(_datos!$E$2:$E$401,MATCH(ROW()-13,_datos!$K$2:$K$401,0)),"")</f>
      </c>
      <c r="G168" s="23">
        <f>IFERROR(INDEX(_datos!$F$2:$F$401,MATCH(ROW()-13,_datos!$K$2:$K$401,0)),"")</f>
      </c>
      <c r="H168" s="21">
        <f>IFERROR(INDEX(_datos!$G$2:$G$401,MATCH(ROW()-13,_datos!$K$2:$K$401,0)),"")</f>
      </c>
      <c r="I168" s="24">
        <f>IFERROR(INDEX(_datos!$H$2:$H$401,MATCH(ROW()-13,_datos!$K$2:$K$401,0)),"")</f>
      </c>
      <c r="J168" s="22">
        <f>IFERROR(INDEX(_datos!$I$2:$I$401,MATCH(ROW()-13,_datos!$K$2:$K$401,0)),"")</f>
      </c>
      <c r="K168" s="44">
        <f>IFERROR(HYPERLINK(INDEX(_datos!$J$2:$J$401,MATCH(ROW()-13,_datos!$K$2:$K$401,0)),"abrir mapa"),"")</f>
      </c>
    </row>
    <row r="169" ht="18.75" customHeight="1" spans="2:11" x14ac:dyDescent="0.25">
      <c r="B169" s="20">
        <f>IFERROR(INDEX(_datos!$A$2:$A$401,MATCH(ROW()-13,_datos!$K$2:$K$401,0)),"")</f>
      </c>
      <c r="C169" s="22">
        <f>IFERROR(INDEX(_datos!$B$2:$B$401,MATCH(ROW()-13,_datos!$K$2:$K$401,0)),"")</f>
      </c>
      <c r="D169" s="43">
        <f>IFERROR(INDEX(_datos!$C$2:$C$401,MATCH(ROW()-13,_datos!$K$2:$K$401,0)),"")</f>
      </c>
      <c r="E169" s="22">
        <f>IFERROR(INDEX(_datos!$D$2:$D$401,MATCH(ROW()-13,_datos!$K$2:$K$401,0)),"")</f>
      </c>
      <c r="F169" s="21">
        <f>IFERROR(INDEX(_datos!$E$2:$E$401,MATCH(ROW()-13,_datos!$K$2:$K$401,0)),"")</f>
      </c>
      <c r="G169" s="23">
        <f>IFERROR(INDEX(_datos!$F$2:$F$401,MATCH(ROW()-13,_datos!$K$2:$K$401,0)),"")</f>
      </c>
      <c r="H169" s="21">
        <f>IFERROR(INDEX(_datos!$G$2:$G$401,MATCH(ROW()-13,_datos!$K$2:$K$401,0)),"")</f>
      </c>
      <c r="I169" s="24">
        <f>IFERROR(INDEX(_datos!$H$2:$H$401,MATCH(ROW()-13,_datos!$K$2:$K$401,0)),"")</f>
      </c>
      <c r="J169" s="22">
        <f>IFERROR(INDEX(_datos!$I$2:$I$401,MATCH(ROW()-13,_datos!$K$2:$K$401,0)),"")</f>
      </c>
      <c r="K169" s="44">
        <f>IFERROR(HYPERLINK(INDEX(_datos!$J$2:$J$401,MATCH(ROW()-13,_datos!$K$2:$K$401,0)),"abrir mapa"),"")</f>
      </c>
    </row>
    <row r="170" ht="18.75" customHeight="1" spans="2:11" x14ac:dyDescent="0.25">
      <c r="B170" s="20">
        <f>IFERROR(INDEX(_datos!$A$2:$A$401,MATCH(ROW()-13,_datos!$K$2:$K$401,0)),"")</f>
      </c>
      <c r="C170" s="22">
        <f>IFERROR(INDEX(_datos!$B$2:$B$401,MATCH(ROW()-13,_datos!$K$2:$K$401,0)),"")</f>
      </c>
      <c r="D170" s="43">
        <f>IFERROR(INDEX(_datos!$C$2:$C$401,MATCH(ROW()-13,_datos!$K$2:$K$401,0)),"")</f>
      </c>
      <c r="E170" s="22">
        <f>IFERROR(INDEX(_datos!$D$2:$D$401,MATCH(ROW()-13,_datos!$K$2:$K$401,0)),"")</f>
      </c>
      <c r="F170" s="21">
        <f>IFERROR(INDEX(_datos!$E$2:$E$401,MATCH(ROW()-13,_datos!$K$2:$K$401,0)),"")</f>
      </c>
      <c r="G170" s="23">
        <f>IFERROR(INDEX(_datos!$F$2:$F$401,MATCH(ROW()-13,_datos!$K$2:$K$401,0)),"")</f>
      </c>
      <c r="H170" s="21">
        <f>IFERROR(INDEX(_datos!$G$2:$G$401,MATCH(ROW()-13,_datos!$K$2:$K$401,0)),"")</f>
      </c>
      <c r="I170" s="24">
        <f>IFERROR(INDEX(_datos!$H$2:$H$401,MATCH(ROW()-13,_datos!$K$2:$K$401,0)),"")</f>
      </c>
      <c r="J170" s="22">
        <f>IFERROR(INDEX(_datos!$I$2:$I$401,MATCH(ROW()-13,_datos!$K$2:$K$401,0)),"")</f>
      </c>
      <c r="K170" s="44">
        <f>IFERROR(HYPERLINK(INDEX(_datos!$J$2:$J$401,MATCH(ROW()-13,_datos!$K$2:$K$401,0)),"abrir mapa"),"")</f>
      </c>
    </row>
    <row r="171" ht="18.75" customHeight="1" spans="2:11" x14ac:dyDescent="0.25">
      <c r="B171" s="20">
        <f>IFERROR(INDEX(_datos!$A$2:$A$401,MATCH(ROW()-13,_datos!$K$2:$K$401,0)),"")</f>
      </c>
      <c r="C171" s="22">
        <f>IFERROR(INDEX(_datos!$B$2:$B$401,MATCH(ROW()-13,_datos!$K$2:$K$401,0)),"")</f>
      </c>
      <c r="D171" s="43">
        <f>IFERROR(INDEX(_datos!$C$2:$C$401,MATCH(ROW()-13,_datos!$K$2:$K$401,0)),"")</f>
      </c>
      <c r="E171" s="22">
        <f>IFERROR(INDEX(_datos!$D$2:$D$401,MATCH(ROW()-13,_datos!$K$2:$K$401,0)),"")</f>
      </c>
      <c r="F171" s="21">
        <f>IFERROR(INDEX(_datos!$E$2:$E$401,MATCH(ROW()-13,_datos!$K$2:$K$401,0)),"")</f>
      </c>
      <c r="G171" s="23">
        <f>IFERROR(INDEX(_datos!$F$2:$F$401,MATCH(ROW()-13,_datos!$K$2:$K$401,0)),"")</f>
      </c>
      <c r="H171" s="21">
        <f>IFERROR(INDEX(_datos!$G$2:$G$401,MATCH(ROW()-13,_datos!$K$2:$K$401,0)),"")</f>
      </c>
      <c r="I171" s="24">
        <f>IFERROR(INDEX(_datos!$H$2:$H$401,MATCH(ROW()-13,_datos!$K$2:$K$401,0)),"")</f>
      </c>
      <c r="J171" s="22">
        <f>IFERROR(INDEX(_datos!$I$2:$I$401,MATCH(ROW()-13,_datos!$K$2:$K$401,0)),"")</f>
      </c>
      <c r="K171" s="44">
        <f>IFERROR(HYPERLINK(INDEX(_datos!$J$2:$J$401,MATCH(ROW()-13,_datos!$K$2:$K$401,0)),"abrir mapa"),"")</f>
      </c>
    </row>
    <row r="172" ht="18.75" customHeight="1" spans="2:11" x14ac:dyDescent="0.25">
      <c r="B172" s="20">
        <f>IFERROR(INDEX(_datos!$A$2:$A$401,MATCH(ROW()-13,_datos!$K$2:$K$401,0)),"")</f>
      </c>
      <c r="C172" s="22">
        <f>IFERROR(INDEX(_datos!$B$2:$B$401,MATCH(ROW()-13,_datos!$K$2:$K$401,0)),"")</f>
      </c>
      <c r="D172" s="43">
        <f>IFERROR(INDEX(_datos!$C$2:$C$401,MATCH(ROW()-13,_datos!$K$2:$K$401,0)),"")</f>
      </c>
      <c r="E172" s="22">
        <f>IFERROR(INDEX(_datos!$D$2:$D$401,MATCH(ROW()-13,_datos!$K$2:$K$401,0)),"")</f>
      </c>
      <c r="F172" s="21">
        <f>IFERROR(INDEX(_datos!$E$2:$E$401,MATCH(ROW()-13,_datos!$K$2:$K$401,0)),"")</f>
      </c>
      <c r="G172" s="23">
        <f>IFERROR(INDEX(_datos!$F$2:$F$401,MATCH(ROW()-13,_datos!$K$2:$K$401,0)),"")</f>
      </c>
      <c r="H172" s="21">
        <f>IFERROR(INDEX(_datos!$G$2:$G$401,MATCH(ROW()-13,_datos!$K$2:$K$401,0)),"")</f>
      </c>
      <c r="I172" s="24">
        <f>IFERROR(INDEX(_datos!$H$2:$H$401,MATCH(ROW()-13,_datos!$K$2:$K$401,0)),"")</f>
      </c>
      <c r="J172" s="22">
        <f>IFERROR(INDEX(_datos!$I$2:$I$401,MATCH(ROW()-13,_datos!$K$2:$K$401,0)),"")</f>
      </c>
      <c r="K172" s="44">
        <f>IFERROR(HYPERLINK(INDEX(_datos!$J$2:$J$401,MATCH(ROW()-13,_datos!$K$2:$K$401,0)),"abrir mapa"),"")</f>
      </c>
    </row>
    <row r="173" ht="18.75" customHeight="1" spans="2:11" x14ac:dyDescent="0.25">
      <c r="B173" s="20">
        <f>IFERROR(INDEX(_datos!$A$2:$A$401,MATCH(ROW()-13,_datos!$K$2:$K$401,0)),"")</f>
      </c>
      <c r="C173" s="22">
        <f>IFERROR(INDEX(_datos!$B$2:$B$401,MATCH(ROW()-13,_datos!$K$2:$K$401,0)),"")</f>
      </c>
      <c r="D173" s="43">
        <f>IFERROR(INDEX(_datos!$C$2:$C$401,MATCH(ROW()-13,_datos!$K$2:$K$401,0)),"")</f>
      </c>
      <c r="E173" s="22">
        <f>IFERROR(INDEX(_datos!$D$2:$D$401,MATCH(ROW()-13,_datos!$K$2:$K$401,0)),"")</f>
      </c>
      <c r="F173" s="21">
        <f>IFERROR(INDEX(_datos!$E$2:$E$401,MATCH(ROW()-13,_datos!$K$2:$K$401,0)),"")</f>
      </c>
      <c r="G173" s="23">
        <f>IFERROR(INDEX(_datos!$F$2:$F$401,MATCH(ROW()-13,_datos!$K$2:$K$401,0)),"")</f>
      </c>
      <c r="H173" s="21">
        <f>IFERROR(INDEX(_datos!$G$2:$G$401,MATCH(ROW()-13,_datos!$K$2:$K$401,0)),"")</f>
      </c>
      <c r="I173" s="24">
        <f>IFERROR(INDEX(_datos!$H$2:$H$401,MATCH(ROW()-13,_datos!$K$2:$K$401,0)),"")</f>
      </c>
      <c r="J173" s="22">
        <f>IFERROR(INDEX(_datos!$I$2:$I$401,MATCH(ROW()-13,_datos!$K$2:$K$401,0)),"")</f>
      </c>
      <c r="K173" s="44">
        <f>IFERROR(HYPERLINK(INDEX(_datos!$J$2:$J$401,MATCH(ROW()-13,_datos!$K$2:$K$401,0)),"abrir mapa"),"")</f>
      </c>
    </row>
    <row r="174" ht="18.75" customHeight="1" spans="2:11" x14ac:dyDescent="0.25">
      <c r="B174" s="20">
        <f>IFERROR(INDEX(_datos!$A$2:$A$401,MATCH(ROW()-13,_datos!$K$2:$K$401,0)),"")</f>
      </c>
      <c r="C174" s="22">
        <f>IFERROR(INDEX(_datos!$B$2:$B$401,MATCH(ROW()-13,_datos!$K$2:$K$401,0)),"")</f>
      </c>
      <c r="D174" s="43">
        <f>IFERROR(INDEX(_datos!$C$2:$C$401,MATCH(ROW()-13,_datos!$K$2:$K$401,0)),"")</f>
      </c>
      <c r="E174" s="22">
        <f>IFERROR(INDEX(_datos!$D$2:$D$401,MATCH(ROW()-13,_datos!$K$2:$K$401,0)),"")</f>
      </c>
      <c r="F174" s="21">
        <f>IFERROR(INDEX(_datos!$E$2:$E$401,MATCH(ROW()-13,_datos!$K$2:$K$401,0)),"")</f>
      </c>
      <c r="G174" s="23">
        <f>IFERROR(INDEX(_datos!$F$2:$F$401,MATCH(ROW()-13,_datos!$K$2:$K$401,0)),"")</f>
      </c>
      <c r="H174" s="21">
        <f>IFERROR(INDEX(_datos!$G$2:$G$401,MATCH(ROW()-13,_datos!$K$2:$K$401,0)),"")</f>
      </c>
      <c r="I174" s="24">
        <f>IFERROR(INDEX(_datos!$H$2:$H$401,MATCH(ROW()-13,_datos!$K$2:$K$401,0)),"")</f>
      </c>
      <c r="J174" s="22">
        <f>IFERROR(INDEX(_datos!$I$2:$I$401,MATCH(ROW()-13,_datos!$K$2:$K$401,0)),"")</f>
      </c>
      <c r="K174" s="44">
        <f>IFERROR(HYPERLINK(INDEX(_datos!$J$2:$J$401,MATCH(ROW()-13,_datos!$K$2:$K$401,0)),"abrir mapa"),"")</f>
      </c>
    </row>
    <row r="175" ht="18.75" customHeight="1" spans="2:11" x14ac:dyDescent="0.25">
      <c r="B175" s="20">
        <f>IFERROR(INDEX(_datos!$A$2:$A$401,MATCH(ROW()-13,_datos!$K$2:$K$401,0)),"")</f>
      </c>
      <c r="C175" s="22">
        <f>IFERROR(INDEX(_datos!$B$2:$B$401,MATCH(ROW()-13,_datos!$K$2:$K$401,0)),"")</f>
      </c>
      <c r="D175" s="43">
        <f>IFERROR(INDEX(_datos!$C$2:$C$401,MATCH(ROW()-13,_datos!$K$2:$K$401,0)),"")</f>
      </c>
      <c r="E175" s="22">
        <f>IFERROR(INDEX(_datos!$D$2:$D$401,MATCH(ROW()-13,_datos!$K$2:$K$401,0)),"")</f>
      </c>
      <c r="F175" s="21">
        <f>IFERROR(INDEX(_datos!$E$2:$E$401,MATCH(ROW()-13,_datos!$K$2:$K$401,0)),"")</f>
      </c>
      <c r="G175" s="23">
        <f>IFERROR(INDEX(_datos!$F$2:$F$401,MATCH(ROW()-13,_datos!$K$2:$K$401,0)),"")</f>
      </c>
      <c r="H175" s="21">
        <f>IFERROR(INDEX(_datos!$G$2:$G$401,MATCH(ROW()-13,_datos!$K$2:$K$401,0)),"")</f>
      </c>
      <c r="I175" s="24">
        <f>IFERROR(INDEX(_datos!$H$2:$H$401,MATCH(ROW()-13,_datos!$K$2:$K$401,0)),"")</f>
      </c>
      <c r="J175" s="22">
        <f>IFERROR(INDEX(_datos!$I$2:$I$401,MATCH(ROW()-13,_datos!$K$2:$K$401,0)),"")</f>
      </c>
      <c r="K175" s="44">
        <f>IFERROR(HYPERLINK(INDEX(_datos!$J$2:$J$401,MATCH(ROW()-13,_datos!$K$2:$K$401,0)),"abrir mapa"),"")</f>
      </c>
    </row>
    <row r="176" ht="18.75" customHeight="1" spans="2:11" x14ac:dyDescent="0.25">
      <c r="B176" s="20">
        <f>IFERROR(INDEX(_datos!$A$2:$A$401,MATCH(ROW()-13,_datos!$K$2:$K$401,0)),"")</f>
      </c>
      <c r="C176" s="22">
        <f>IFERROR(INDEX(_datos!$B$2:$B$401,MATCH(ROW()-13,_datos!$K$2:$K$401,0)),"")</f>
      </c>
      <c r="D176" s="43">
        <f>IFERROR(INDEX(_datos!$C$2:$C$401,MATCH(ROW()-13,_datos!$K$2:$K$401,0)),"")</f>
      </c>
      <c r="E176" s="22">
        <f>IFERROR(INDEX(_datos!$D$2:$D$401,MATCH(ROW()-13,_datos!$K$2:$K$401,0)),"")</f>
      </c>
      <c r="F176" s="21">
        <f>IFERROR(INDEX(_datos!$E$2:$E$401,MATCH(ROW()-13,_datos!$K$2:$K$401,0)),"")</f>
      </c>
      <c r="G176" s="23">
        <f>IFERROR(INDEX(_datos!$F$2:$F$401,MATCH(ROW()-13,_datos!$K$2:$K$401,0)),"")</f>
      </c>
      <c r="H176" s="21">
        <f>IFERROR(INDEX(_datos!$G$2:$G$401,MATCH(ROW()-13,_datos!$K$2:$K$401,0)),"")</f>
      </c>
      <c r="I176" s="24">
        <f>IFERROR(INDEX(_datos!$H$2:$H$401,MATCH(ROW()-13,_datos!$K$2:$K$401,0)),"")</f>
      </c>
      <c r="J176" s="22">
        <f>IFERROR(INDEX(_datos!$I$2:$I$401,MATCH(ROW()-13,_datos!$K$2:$K$401,0)),"")</f>
      </c>
      <c r="K176" s="44">
        <f>IFERROR(HYPERLINK(INDEX(_datos!$J$2:$J$401,MATCH(ROW()-13,_datos!$K$2:$K$401,0)),"abrir mapa"),"")</f>
      </c>
    </row>
    <row r="177" ht="18.75" customHeight="1" spans="2:11" x14ac:dyDescent="0.25">
      <c r="B177" s="20">
        <f>IFERROR(INDEX(_datos!$A$2:$A$401,MATCH(ROW()-13,_datos!$K$2:$K$401,0)),"")</f>
      </c>
      <c r="C177" s="22">
        <f>IFERROR(INDEX(_datos!$B$2:$B$401,MATCH(ROW()-13,_datos!$K$2:$K$401,0)),"")</f>
      </c>
      <c r="D177" s="43">
        <f>IFERROR(INDEX(_datos!$C$2:$C$401,MATCH(ROW()-13,_datos!$K$2:$K$401,0)),"")</f>
      </c>
      <c r="E177" s="22">
        <f>IFERROR(INDEX(_datos!$D$2:$D$401,MATCH(ROW()-13,_datos!$K$2:$K$401,0)),"")</f>
      </c>
      <c r="F177" s="21">
        <f>IFERROR(INDEX(_datos!$E$2:$E$401,MATCH(ROW()-13,_datos!$K$2:$K$401,0)),"")</f>
      </c>
      <c r="G177" s="23">
        <f>IFERROR(INDEX(_datos!$F$2:$F$401,MATCH(ROW()-13,_datos!$K$2:$K$401,0)),"")</f>
      </c>
      <c r="H177" s="21">
        <f>IFERROR(INDEX(_datos!$G$2:$G$401,MATCH(ROW()-13,_datos!$K$2:$K$401,0)),"")</f>
      </c>
      <c r="I177" s="24">
        <f>IFERROR(INDEX(_datos!$H$2:$H$401,MATCH(ROW()-13,_datos!$K$2:$K$401,0)),"")</f>
      </c>
      <c r="J177" s="22">
        <f>IFERROR(INDEX(_datos!$I$2:$I$401,MATCH(ROW()-13,_datos!$K$2:$K$401,0)),"")</f>
      </c>
      <c r="K177" s="44">
        <f>IFERROR(HYPERLINK(INDEX(_datos!$J$2:$J$401,MATCH(ROW()-13,_datos!$K$2:$K$401,0)),"abrir mapa"),"")</f>
      </c>
    </row>
    <row r="178" ht="18.75" customHeight="1" spans="2:11" x14ac:dyDescent="0.25">
      <c r="B178" s="20">
        <f>IFERROR(INDEX(_datos!$A$2:$A$401,MATCH(ROW()-13,_datos!$K$2:$K$401,0)),"")</f>
      </c>
      <c r="C178" s="22">
        <f>IFERROR(INDEX(_datos!$B$2:$B$401,MATCH(ROW()-13,_datos!$K$2:$K$401,0)),"")</f>
      </c>
      <c r="D178" s="43">
        <f>IFERROR(INDEX(_datos!$C$2:$C$401,MATCH(ROW()-13,_datos!$K$2:$K$401,0)),"")</f>
      </c>
      <c r="E178" s="22">
        <f>IFERROR(INDEX(_datos!$D$2:$D$401,MATCH(ROW()-13,_datos!$K$2:$K$401,0)),"")</f>
      </c>
      <c r="F178" s="21">
        <f>IFERROR(INDEX(_datos!$E$2:$E$401,MATCH(ROW()-13,_datos!$K$2:$K$401,0)),"")</f>
      </c>
      <c r="G178" s="23">
        <f>IFERROR(INDEX(_datos!$F$2:$F$401,MATCH(ROW()-13,_datos!$K$2:$K$401,0)),"")</f>
      </c>
      <c r="H178" s="21">
        <f>IFERROR(INDEX(_datos!$G$2:$G$401,MATCH(ROW()-13,_datos!$K$2:$K$401,0)),"")</f>
      </c>
      <c r="I178" s="24">
        <f>IFERROR(INDEX(_datos!$H$2:$H$401,MATCH(ROW()-13,_datos!$K$2:$K$401,0)),"")</f>
      </c>
      <c r="J178" s="22">
        <f>IFERROR(INDEX(_datos!$I$2:$I$401,MATCH(ROW()-13,_datos!$K$2:$K$401,0)),"")</f>
      </c>
      <c r="K178" s="44">
        <f>IFERROR(HYPERLINK(INDEX(_datos!$J$2:$J$401,MATCH(ROW()-13,_datos!$K$2:$K$401,0)),"abrir mapa"),"")</f>
      </c>
    </row>
    <row r="179" ht="18.75" customHeight="1" spans="2:11" x14ac:dyDescent="0.25">
      <c r="B179" s="20">
        <f>IFERROR(INDEX(_datos!$A$2:$A$401,MATCH(ROW()-13,_datos!$K$2:$K$401,0)),"")</f>
      </c>
      <c r="C179" s="22">
        <f>IFERROR(INDEX(_datos!$B$2:$B$401,MATCH(ROW()-13,_datos!$K$2:$K$401,0)),"")</f>
      </c>
      <c r="D179" s="43">
        <f>IFERROR(INDEX(_datos!$C$2:$C$401,MATCH(ROW()-13,_datos!$K$2:$K$401,0)),"")</f>
      </c>
      <c r="E179" s="22">
        <f>IFERROR(INDEX(_datos!$D$2:$D$401,MATCH(ROW()-13,_datos!$K$2:$K$401,0)),"")</f>
      </c>
      <c r="F179" s="21">
        <f>IFERROR(INDEX(_datos!$E$2:$E$401,MATCH(ROW()-13,_datos!$K$2:$K$401,0)),"")</f>
      </c>
      <c r="G179" s="23">
        <f>IFERROR(INDEX(_datos!$F$2:$F$401,MATCH(ROW()-13,_datos!$K$2:$K$401,0)),"")</f>
      </c>
      <c r="H179" s="21">
        <f>IFERROR(INDEX(_datos!$G$2:$G$401,MATCH(ROW()-13,_datos!$K$2:$K$401,0)),"")</f>
      </c>
      <c r="I179" s="24">
        <f>IFERROR(INDEX(_datos!$H$2:$H$401,MATCH(ROW()-13,_datos!$K$2:$K$401,0)),"")</f>
      </c>
      <c r="J179" s="22">
        <f>IFERROR(INDEX(_datos!$I$2:$I$401,MATCH(ROW()-13,_datos!$K$2:$K$401,0)),"")</f>
      </c>
      <c r="K179" s="44">
        <f>IFERROR(HYPERLINK(INDEX(_datos!$J$2:$J$401,MATCH(ROW()-13,_datos!$K$2:$K$401,0)),"abrir mapa"),"")</f>
      </c>
    </row>
    <row r="180" ht="18.75" customHeight="1" spans="2:11" x14ac:dyDescent="0.25">
      <c r="B180" s="20">
        <f>IFERROR(INDEX(_datos!$A$2:$A$401,MATCH(ROW()-13,_datos!$K$2:$K$401,0)),"")</f>
      </c>
      <c r="C180" s="22">
        <f>IFERROR(INDEX(_datos!$B$2:$B$401,MATCH(ROW()-13,_datos!$K$2:$K$401,0)),"")</f>
      </c>
      <c r="D180" s="43">
        <f>IFERROR(INDEX(_datos!$C$2:$C$401,MATCH(ROW()-13,_datos!$K$2:$K$401,0)),"")</f>
      </c>
      <c r="E180" s="22">
        <f>IFERROR(INDEX(_datos!$D$2:$D$401,MATCH(ROW()-13,_datos!$K$2:$K$401,0)),"")</f>
      </c>
      <c r="F180" s="21">
        <f>IFERROR(INDEX(_datos!$E$2:$E$401,MATCH(ROW()-13,_datos!$K$2:$K$401,0)),"")</f>
      </c>
      <c r="G180" s="23">
        <f>IFERROR(INDEX(_datos!$F$2:$F$401,MATCH(ROW()-13,_datos!$K$2:$K$401,0)),"")</f>
      </c>
      <c r="H180" s="21">
        <f>IFERROR(INDEX(_datos!$G$2:$G$401,MATCH(ROW()-13,_datos!$K$2:$K$401,0)),"")</f>
      </c>
      <c r="I180" s="24">
        <f>IFERROR(INDEX(_datos!$H$2:$H$401,MATCH(ROW()-13,_datos!$K$2:$K$401,0)),"")</f>
      </c>
      <c r="J180" s="22">
        <f>IFERROR(INDEX(_datos!$I$2:$I$401,MATCH(ROW()-13,_datos!$K$2:$K$401,0)),"")</f>
      </c>
      <c r="K180" s="44">
        <f>IFERROR(HYPERLINK(INDEX(_datos!$J$2:$J$401,MATCH(ROW()-13,_datos!$K$2:$K$401,0)),"abrir mapa"),"")</f>
      </c>
    </row>
    <row r="181" ht="18.75" customHeight="1" spans="2:11" x14ac:dyDescent="0.25">
      <c r="B181" s="20">
        <f>IFERROR(INDEX(_datos!$A$2:$A$401,MATCH(ROW()-13,_datos!$K$2:$K$401,0)),"")</f>
      </c>
      <c r="C181" s="22">
        <f>IFERROR(INDEX(_datos!$B$2:$B$401,MATCH(ROW()-13,_datos!$K$2:$K$401,0)),"")</f>
      </c>
      <c r="D181" s="43">
        <f>IFERROR(INDEX(_datos!$C$2:$C$401,MATCH(ROW()-13,_datos!$K$2:$K$401,0)),"")</f>
      </c>
      <c r="E181" s="22">
        <f>IFERROR(INDEX(_datos!$D$2:$D$401,MATCH(ROW()-13,_datos!$K$2:$K$401,0)),"")</f>
      </c>
      <c r="F181" s="21">
        <f>IFERROR(INDEX(_datos!$E$2:$E$401,MATCH(ROW()-13,_datos!$K$2:$K$401,0)),"")</f>
      </c>
      <c r="G181" s="23">
        <f>IFERROR(INDEX(_datos!$F$2:$F$401,MATCH(ROW()-13,_datos!$K$2:$K$401,0)),"")</f>
      </c>
      <c r="H181" s="21">
        <f>IFERROR(INDEX(_datos!$G$2:$G$401,MATCH(ROW()-13,_datos!$K$2:$K$401,0)),"")</f>
      </c>
      <c r="I181" s="24">
        <f>IFERROR(INDEX(_datos!$H$2:$H$401,MATCH(ROW()-13,_datos!$K$2:$K$401,0)),"")</f>
      </c>
      <c r="J181" s="22">
        <f>IFERROR(INDEX(_datos!$I$2:$I$401,MATCH(ROW()-13,_datos!$K$2:$K$401,0)),"")</f>
      </c>
      <c r="K181" s="44">
        <f>IFERROR(HYPERLINK(INDEX(_datos!$J$2:$J$401,MATCH(ROW()-13,_datos!$K$2:$K$401,0)),"abrir mapa"),"")</f>
      </c>
    </row>
    <row r="182" ht="18.75" customHeight="1" spans="2:11" x14ac:dyDescent="0.25">
      <c r="B182" s="20">
        <f>IFERROR(INDEX(_datos!$A$2:$A$401,MATCH(ROW()-13,_datos!$K$2:$K$401,0)),"")</f>
      </c>
      <c r="C182" s="22">
        <f>IFERROR(INDEX(_datos!$B$2:$B$401,MATCH(ROW()-13,_datos!$K$2:$K$401,0)),"")</f>
      </c>
      <c r="D182" s="43">
        <f>IFERROR(INDEX(_datos!$C$2:$C$401,MATCH(ROW()-13,_datos!$K$2:$K$401,0)),"")</f>
      </c>
      <c r="E182" s="22">
        <f>IFERROR(INDEX(_datos!$D$2:$D$401,MATCH(ROW()-13,_datos!$K$2:$K$401,0)),"")</f>
      </c>
      <c r="F182" s="21">
        <f>IFERROR(INDEX(_datos!$E$2:$E$401,MATCH(ROW()-13,_datos!$K$2:$K$401,0)),"")</f>
      </c>
      <c r="G182" s="23">
        <f>IFERROR(INDEX(_datos!$F$2:$F$401,MATCH(ROW()-13,_datos!$K$2:$K$401,0)),"")</f>
      </c>
      <c r="H182" s="21">
        <f>IFERROR(INDEX(_datos!$G$2:$G$401,MATCH(ROW()-13,_datos!$K$2:$K$401,0)),"")</f>
      </c>
      <c r="I182" s="24">
        <f>IFERROR(INDEX(_datos!$H$2:$H$401,MATCH(ROW()-13,_datos!$K$2:$K$401,0)),"")</f>
      </c>
      <c r="J182" s="22">
        <f>IFERROR(INDEX(_datos!$I$2:$I$401,MATCH(ROW()-13,_datos!$K$2:$K$401,0)),"")</f>
      </c>
      <c r="K182" s="44">
        <f>IFERROR(HYPERLINK(INDEX(_datos!$J$2:$J$401,MATCH(ROW()-13,_datos!$K$2:$K$401,0)),"abrir mapa"),"")</f>
      </c>
    </row>
    <row r="183" ht="18.75" customHeight="1" spans="2:11" x14ac:dyDescent="0.25">
      <c r="B183" s="20">
        <f>IFERROR(INDEX(_datos!$A$2:$A$401,MATCH(ROW()-13,_datos!$K$2:$K$401,0)),"")</f>
      </c>
      <c r="C183" s="22">
        <f>IFERROR(INDEX(_datos!$B$2:$B$401,MATCH(ROW()-13,_datos!$K$2:$K$401,0)),"")</f>
      </c>
      <c r="D183" s="43">
        <f>IFERROR(INDEX(_datos!$C$2:$C$401,MATCH(ROW()-13,_datos!$K$2:$K$401,0)),"")</f>
      </c>
      <c r="E183" s="22">
        <f>IFERROR(INDEX(_datos!$D$2:$D$401,MATCH(ROW()-13,_datos!$K$2:$K$401,0)),"")</f>
      </c>
      <c r="F183" s="21">
        <f>IFERROR(INDEX(_datos!$E$2:$E$401,MATCH(ROW()-13,_datos!$K$2:$K$401,0)),"")</f>
      </c>
      <c r="G183" s="23">
        <f>IFERROR(INDEX(_datos!$F$2:$F$401,MATCH(ROW()-13,_datos!$K$2:$K$401,0)),"")</f>
      </c>
      <c r="H183" s="21">
        <f>IFERROR(INDEX(_datos!$G$2:$G$401,MATCH(ROW()-13,_datos!$K$2:$K$401,0)),"")</f>
      </c>
      <c r="I183" s="24">
        <f>IFERROR(INDEX(_datos!$H$2:$H$401,MATCH(ROW()-13,_datos!$K$2:$K$401,0)),"")</f>
      </c>
      <c r="J183" s="22">
        <f>IFERROR(INDEX(_datos!$I$2:$I$401,MATCH(ROW()-13,_datos!$K$2:$K$401,0)),"")</f>
      </c>
      <c r="K183" s="44">
        <f>IFERROR(HYPERLINK(INDEX(_datos!$J$2:$J$401,MATCH(ROW()-13,_datos!$K$2:$K$401,0)),"abrir mapa"),"")</f>
      </c>
    </row>
    <row r="184" ht="18.75" customHeight="1" spans="2:11" x14ac:dyDescent="0.25">
      <c r="B184" s="20">
        <f>IFERROR(INDEX(_datos!$A$2:$A$401,MATCH(ROW()-13,_datos!$K$2:$K$401,0)),"")</f>
      </c>
      <c r="C184" s="22">
        <f>IFERROR(INDEX(_datos!$B$2:$B$401,MATCH(ROW()-13,_datos!$K$2:$K$401,0)),"")</f>
      </c>
      <c r="D184" s="43">
        <f>IFERROR(INDEX(_datos!$C$2:$C$401,MATCH(ROW()-13,_datos!$K$2:$K$401,0)),"")</f>
      </c>
      <c r="E184" s="22">
        <f>IFERROR(INDEX(_datos!$D$2:$D$401,MATCH(ROW()-13,_datos!$K$2:$K$401,0)),"")</f>
      </c>
      <c r="F184" s="21">
        <f>IFERROR(INDEX(_datos!$E$2:$E$401,MATCH(ROW()-13,_datos!$K$2:$K$401,0)),"")</f>
      </c>
      <c r="G184" s="23">
        <f>IFERROR(INDEX(_datos!$F$2:$F$401,MATCH(ROW()-13,_datos!$K$2:$K$401,0)),"")</f>
      </c>
      <c r="H184" s="21">
        <f>IFERROR(INDEX(_datos!$G$2:$G$401,MATCH(ROW()-13,_datos!$K$2:$K$401,0)),"")</f>
      </c>
      <c r="I184" s="24">
        <f>IFERROR(INDEX(_datos!$H$2:$H$401,MATCH(ROW()-13,_datos!$K$2:$K$401,0)),"")</f>
      </c>
      <c r="J184" s="22">
        <f>IFERROR(INDEX(_datos!$I$2:$I$401,MATCH(ROW()-13,_datos!$K$2:$K$401,0)),"")</f>
      </c>
      <c r="K184" s="44">
        <f>IFERROR(HYPERLINK(INDEX(_datos!$J$2:$J$401,MATCH(ROW()-13,_datos!$K$2:$K$401,0)),"abrir mapa"),"")</f>
      </c>
    </row>
    <row r="185" ht="18.75" customHeight="1" spans="2:11" x14ac:dyDescent="0.25">
      <c r="B185" s="20">
        <f>IFERROR(INDEX(_datos!$A$2:$A$401,MATCH(ROW()-13,_datos!$K$2:$K$401,0)),"")</f>
      </c>
      <c r="C185" s="22">
        <f>IFERROR(INDEX(_datos!$B$2:$B$401,MATCH(ROW()-13,_datos!$K$2:$K$401,0)),"")</f>
      </c>
      <c r="D185" s="43">
        <f>IFERROR(INDEX(_datos!$C$2:$C$401,MATCH(ROW()-13,_datos!$K$2:$K$401,0)),"")</f>
      </c>
      <c r="E185" s="22">
        <f>IFERROR(INDEX(_datos!$D$2:$D$401,MATCH(ROW()-13,_datos!$K$2:$K$401,0)),"")</f>
      </c>
      <c r="F185" s="21">
        <f>IFERROR(INDEX(_datos!$E$2:$E$401,MATCH(ROW()-13,_datos!$K$2:$K$401,0)),"")</f>
      </c>
      <c r="G185" s="23">
        <f>IFERROR(INDEX(_datos!$F$2:$F$401,MATCH(ROW()-13,_datos!$K$2:$K$401,0)),"")</f>
      </c>
      <c r="H185" s="21">
        <f>IFERROR(INDEX(_datos!$G$2:$G$401,MATCH(ROW()-13,_datos!$K$2:$K$401,0)),"")</f>
      </c>
      <c r="I185" s="24">
        <f>IFERROR(INDEX(_datos!$H$2:$H$401,MATCH(ROW()-13,_datos!$K$2:$K$401,0)),"")</f>
      </c>
      <c r="J185" s="22">
        <f>IFERROR(INDEX(_datos!$I$2:$I$401,MATCH(ROW()-13,_datos!$K$2:$K$401,0)),"")</f>
      </c>
      <c r="K185" s="44">
        <f>IFERROR(HYPERLINK(INDEX(_datos!$J$2:$J$401,MATCH(ROW()-13,_datos!$K$2:$K$401,0)),"abrir mapa"),"")</f>
      </c>
    </row>
    <row r="186" ht="18.75" customHeight="1" spans="2:11" x14ac:dyDescent="0.25">
      <c r="B186" s="20">
        <f>IFERROR(INDEX(_datos!$A$2:$A$401,MATCH(ROW()-13,_datos!$K$2:$K$401,0)),"")</f>
      </c>
      <c r="C186" s="22">
        <f>IFERROR(INDEX(_datos!$B$2:$B$401,MATCH(ROW()-13,_datos!$K$2:$K$401,0)),"")</f>
      </c>
      <c r="D186" s="43">
        <f>IFERROR(INDEX(_datos!$C$2:$C$401,MATCH(ROW()-13,_datos!$K$2:$K$401,0)),"")</f>
      </c>
      <c r="E186" s="22">
        <f>IFERROR(INDEX(_datos!$D$2:$D$401,MATCH(ROW()-13,_datos!$K$2:$K$401,0)),"")</f>
      </c>
      <c r="F186" s="21">
        <f>IFERROR(INDEX(_datos!$E$2:$E$401,MATCH(ROW()-13,_datos!$K$2:$K$401,0)),"")</f>
      </c>
      <c r="G186" s="23">
        <f>IFERROR(INDEX(_datos!$F$2:$F$401,MATCH(ROW()-13,_datos!$K$2:$K$401,0)),"")</f>
      </c>
      <c r="H186" s="21">
        <f>IFERROR(INDEX(_datos!$G$2:$G$401,MATCH(ROW()-13,_datos!$K$2:$K$401,0)),"")</f>
      </c>
      <c r="I186" s="24">
        <f>IFERROR(INDEX(_datos!$H$2:$H$401,MATCH(ROW()-13,_datos!$K$2:$K$401,0)),"")</f>
      </c>
      <c r="J186" s="22">
        <f>IFERROR(INDEX(_datos!$I$2:$I$401,MATCH(ROW()-13,_datos!$K$2:$K$401,0)),"")</f>
      </c>
      <c r="K186" s="44">
        <f>IFERROR(HYPERLINK(INDEX(_datos!$J$2:$J$401,MATCH(ROW()-13,_datos!$K$2:$K$401,0)),"abrir mapa"),"")</f>
      </c>
    </row>
    <row r="187" ht="18.75" customHeight="1" spans="2:11" x14ac:dyDescent="0.25">
      <c r="B187" s="20">
        <f>IFERROR(INDEX(_datos!$A$2:$A$401,MATCH(ROW()-13,_datos!$K$2:$K$401,0)),"")</f>
      </c>
      <c r="C187" s="22">
        <f>IFERROR(INDEX(_datos!$B$2:$B$401,MATCH(ROW()-13,_datos!$K$2:$K$401,0)),"")</f>
      </c>
      <c r="D187" s="43">
        <f>IFERROR(INDEX(_datos!$C$2:$C$401,MATCH(ROW()-13,_datos!$K$2:$K$401,0)),"")</f>
      </c>
      <c r="E187" s="22">
        <f>IFERROR(INDEX(_datos!$D$2:$D$401,MATCH(ROW()-13,_datos!$K$2:$K$401,0)),"")</f>
      </c>
      <c r="F187" s="21">
        <f>IFERROR(INDEX(_datos!$E$2:$E$401,MATCH(ROW()-13,_datos!$K$2:$K$401,0)),"")</f>
      </c>
      <c r="G187" s="23">
        <f>IFERROR(INDEX(_datos!$F$2:$F$401,MATCH(ROW()-13,_datos!$K$2:$K$401,0)),"")</f>
      </c>
      <c r="H187" s="21">
        <f>IFERROR(INDEX(_datos!$G$2:$G$401,MATCH(ROW()-13,_datos!$K$2:$K$401,0)),"")</f>
      </c>
      <c r="I187" s="24">
        <f>IFERROR(INDEX(_datos!$H$2:$H$401,MATCH(ROW()-13,_datos!$K$2:$K$401,0)),"")</f>
      </c>
      <c r="J187" s="22">
        <f>IFERROR(INDEX(_datos!$I$2:$I$401,MATCH(ROW()-13,_datos!$K$2:$K$401,0)),"")</f>
      </c>
      <c r="K187" s="44">
        <f>IFERROR(HYPERLINK(INDEX(_datos!$J$2:$J$401,MATCH(ROW()-13,_datos!$K$2:$K$401,0)),"abrir mapa"),"")</f>
      </c>
    </row>
    <row r="188" ht="18.75" customHeight="1" spans="2:11" x14ac:dyDescent="0.25">
      <c r="B188" s="20">
        <f>IFERROR(INDEX(_datos!$A$2:$A$401,MATCH(ROW()-13,_datos!$K$2:$K$401,0)),"")</f>
      </c>
      <c r="C188" s="22">
        <f>IFERROR(INDEX(_datos!$B$2:$B$401,MATCH(ROW()-13,_datos!$K$2:$K$401,0)),"")</f>
      </c>
      <c r="D188" s="43">
        <f>IFERROR(INDEX(_datos!$C$2:$C$401,MATCH(ROW()-13,_datos!$K$2:$K$401,0)),"")</f>
      </c>
      <c r="E188" s="22">
        <f>IFERROR(INDEX(_datos!$D$2:$D$401,MATCH(ROW()-13,_datos!$K$2:$K$401,0)),"")</f>
      </c>
      <c r="F188" s="21">
        <f>IFERROR(INDEX(_datos!$E$2:$E$401,MATCH(ROW()-13,_datos!$K$2:$K$401,0)),"")</f>
      </c>
      <c r="G188" s="23">
        <f>IFERROR(INDEX(_datos!$F$2:$F$401,MATCH(ROW()-13,_datos!$K$2:$K$401,0)),"")</f>
      </c>
      <c r="H188" s="21">
        <f>IFERROR(INDEX(_datos!$G$2:$G$401,MATCH(ROW()-13,_datos!$K$2:$K$401,0)),"")</f>
      </c>
      <c r="I188" s="24">
        <f>IFERROR(INDEX(_datos!$H$2:$H$401,MATCH(ROW()-13,_datos!$K$2:$K$401,0)),"")</f>
      </c>
      <c r="J188" s="22">
        <f>IFERROR(INDEX(_datos!$I$2:$I$401,MATCH(ROW()-13,_datos!$K$2:$K$401,0)),"")</f>
      </c>
      <c r="K188" s="44">
        <f>IFERROR(HYPERLINK(INDEX(_datos!$J$2:$J$401,MATCH(ROW()-13,_datos!$K$2:$K$401,0)),"abrir mapa"),"")</f>
      </c>
    </row>
    <row r="189" ht="18.75" customHeight="1" spans="2:11" x14ac:dyDescent="0.25">
      <c r="B189" s="20">
        <f>IFERROR(INDEX(_datos!$A$2:$A$401,MATCH(ROW()-13,_datos!$K$2:$K$401,0)),"")</f>
      </c>
      <c r="C189" s="22">
        <f>IFERROR(INDEX(_datos!$B$2:$B$401,MATCH(ROW()-13,_datos!$K$2:$K$401,0)),"")</f>
      </c>
      <c r="D189" s="43">
        <f>IFERROR(INDEX(_datos!$C$2:$C$401,MATCH(ROW()-13,_datos!$K$2:$K$401,0)),"")</f>
      </c>
      <c r="E189" s="22">
        <f>IFERROR(INDEX(_datos!$D$2:$D$401,MATCH(ROW()-13,_datos!$K$2:$K$401,0)),"")</f>
      </c>
      <c r="F189" s="21">
        <f>IFERROR(INDEX(_datos!$E$2:$E$401,MATCH(ROW()-13,_datos!$K$2:$K$401,0)),"")</f>
      </c>
      <c r="G189" s="23">
        <f>IFERROR(INDEX(_datos!$F$2:$F$401,MATCH(ROW()-13,_datos!$K$2:$K$401,0)),"")</f>
      </c>
      <c r="H189" s="21">
        <f>IFERROR(INDEX(_datos!$G$2:$G$401,MATCH(ROW()-13,_datos!$K$2:$K$401,0)),"")</f>
      </c>
      <c r="I189" s="24">
        <f>IFERROR(INDEX(_datos!$H$2:$H$401,MATCH(ROW()-13,_datos!$K$2:$K$401,0)),"")</f>
      </c>
      <c r="J189" s="22">
        <f>IFERROR(INDEX(_datos!$I$2:$I$401,MATCH(ROW()-13,_datos!$K$2:$K$401,0)),"")</f>
      </c>
      <c r="K189" s="44">
        <f>IFERROR(HYPERLINK(INDEX(_datos!$J$2:$J$401,MATCH(ROW()-13,_datos!$K$2:$K$401,0)),"abrir mapa"),"")</f>
      </c>
    </row>
    <row r="190" ht="18.75" customHeight="1" spans="2:11" x14ac:dyDescent="0.25">
      <c r="B190" s="20">
        <f>IFERROR(INDEX(_datos!$A$2:$A$401,MATCH(ROW()-13,_datos!$K$2:$K$401,0)),"")</f>
      </c>
      <c r="C190" s="22">
        <f>IFERROR(INDEX(_datos!$B$2:$B$401,MATCH(ROW()-13,_datos!$K$2:$K$401,0)),"")</f>
      </c>
      <c r="D190" s="43">
        <f>IFERROR(INDEX(_datos!$C$2:$C$401,MATCH(ROW()-13,_datos!$K$2:$K$401,0)),"")</f>
      </c>
      <c r="E190" s="22">
        <f>IFERROR(INDEX(_datos!$D$2:$D$401,MATCH(ROW()-13,_datos!$K$2:$K$401,0)),"")</f>
      </c>
      <c r="F190" s="21">
        <f>IFERROR(INDEX(_datos!$E$2:$E$401,MATCH(ROW()-13,_datos!$K$2:$K$401,0)),"")</f>
      </c>
      <c r="G190" s="23">
        <f>IFERROR(INDEX(_datos!$F$2:$F$401,MATCH(ROW()-13,_datos!$K$2:$K$401,0)),"")</f>
      </c>
      <c r="H190" s="21">
        <f>IFERROR(INDEX(_datos!$G$2:$G$401,MATCH(ROW()-13,_datos!$K$2:$K$401,0)),"")</f>
      </c>
      <c r="I190" s="24">
        <f>IFERROR(INDEX(_datos!$H$2:$H$401,MATCH(ROW()-13,_datos!$K$2:$K$401,0)),"")</f>
      </c>
      <c r="J190" s="22">
        <f>IFERROR(INDEX(_datos!$I$2:$I$401,MATCH(ROW()-13,_datos!$K$2:$K$401,0)),"")</f>
      </c>
      <c r="K190" s="44">
        <f>IFERROR(HYPERLINK(INDEX(_datos!$J$2:$J$401,MATCH(ROW()-13,_datos!$K$2:$K$401,0)),"abrir mapa"),"")</f>
      </c>
    </row>
    <row r="191" ht="18.75" customHeight="1" spans="2:11" x14ac:dyDescent="0.25">
      <c r="B191" s="20">
        <f>IFERROR(INDEX(_datos!$A$2:$A$401,MATCH(ROW()-13,_datos!$K$2:$K$401,0)),"")</f>
      </c>
      <c r="C191" s="22">
        <f>IFERROR(INDEX(_datos!$B$2:$B$401,MATCH(ROW()-13,_datos!$K$2:$K$401,0)),"")</f>
      </c>
      <c r="D191" s="43">
        <f>IFERROR(INDEX(_datos!$C$2:$C$401,MATCH(ROW()-13,_datos!$K$2:$K$401,0)),"")</f>
      </c>
      <c r="E191" s="22">
        <f>IFERROR(INDEX(_datos!$D$2:$D$401,MATCH(ROW()-13,_datos!$K$2:$K$401,0)),"")</f>
      </c>
      <c r="F191" s="21">
        <f>IFERROR(INDEX(_datos!$E$2:$E$401,MATCH(ROW()-13,_datos!$K$2:$K$401,0)),"")</f>
      </c>
      <c r="G191" s="23">
        <f>IFERROR(INDEX(_datos!$F$2:$F$401,MATCH(ROW()-13,_datos!$K$2:$K$401,0)),"")</f>
      </c>
      <c r="H191" s="21">
        <f>IFERROR(INDEX(_datos!$G$2:$G$401,MATCH(ROW()-13,_datos!$K$2:$K$401,0)),"")</f>
      </c>
      <c r="I191" s="24">
        <f>IFERROR(INDEX(_datos!$H$2:$H$401,MATCH(ROW()-13,_datos!$K$2:$K$401,0)),"")</f>
      </c>
      <c r="J191" s="22">
        <f>IFERROR(INDEX(_datos!$I$2:$I$401,MATCH(ROW()-13,_datos!$K$2:$K$401,0)),"")</f>
      </c>
      <c r="K191" s="44">
        <f>IFERROR(HYPERLINK(INDEX(_datos!$J$2:$J$401,MATCH(ROW()-13,_datos!$K$2:$K$401,0)),"abrir mapa"),"")</f>
      </c>
    </row>
    <row r="192" ht="18.75" customHeight="1" spans="2:11" x14ac:dyDescent="0.25">
      <c r="B192" s="20">
        <f>IFERROR(INDEX(_datos!$A$2:$A$401,MATCH(ROW()-13,_datos!$K$2:$K$401,0)),"")</f>
      </c>
      <c r="C192" s="22">
        <f>IFERROR(INDEX(_datos!$B$2:$B$401,MATCH(ROW()-13,_datos!$K$2:$K$401,0)),"")</f>
      </c>
      <c r="D192" s="43">
        <f>IFERROR(INDEX(_datos!$C$2:$C$401,MATCH(ROW()-13,_datos!$K$2:$K$401,0)),"")</f>
      </c>
      <c r="E192" s="22">
        <f>IFERROR(INDEX(_datos!$D$2:$D$401,MATCH(ROW()-13,_datos!$K$2:$K$401,0)),"")</f>
      </c>
      <c r="F192" s="21">
        <f>IFERROR(INDEX(_datos!$E$2:$E$401,MATCH(ROW()-13,_datos!$K$2:$K$401,0)),"")</f>
      </c>
      <c r="G192" s="23">
        <f>IFERROR(INDEX(_datos!$F$2:$F$401,MATCH(ROW()-13,_datos!$K$2:$K$401,0)),"")</f>
      </c>
      <c r="H192" s="21">
        <f>IFERROR(INDEX(_datos!$G$2:$G$401,MATCH(ROW()-13,_datos!$K$2:$K$401,0)),"")</f>
      </c>
      <c r="I192" s="24">
        <f>IFERROR(INDEX(_datos!$H$2:$H$401,MATCH(ROW()-13,_datos!$K$2:$K$401,0)),"")</f>
      </c>
      <c r="J192" s="22">
        <f>IFERROR(INDEX(_datos!$I$2:$I$401,MATCH(ROW()-13,_datos!$K$2:$K$401,0)),"")</f>
      </c>
      <c r="K192" s="44">
        <f>IFERROR(HYPERLINK(INDEX(_datos!$J$2:$J$401,MATCH(ROW()-13,_datos!$K$2:$K$401,0)),"abrir mapa"),"")</f>
      </c>
    </row>
    <row r="193" ht="18.75" customHeight="1" spans="2:11" x14ac:dyDescent="0.25">
      <c r="B193" s="20">
        <f>IFERROR(INDEX(_datos!$A$2:$A$401,MATCH(ROW()-13,_datos!$K$2:$K$401,0)),"")</f>
      </c>
      <c r="C193" s="22">
        <f>IFERROR(INDEX(_datos!$B$2:$B$401,MATCH(ROW()-13,_datos!$K$2:$K$401,0)),"")</f>
      </c>
      <c r="D193" s="43">
        <f>IFERROR(INDEX(_datos!$C$2:$C$401,MATCH(ROW()-13,_datos!$K$2:$K$401,0)),"")</f>
      </c>
      <c r="E193" s="22">
        <f>IFERROR(INDEX(_datos!$D$2:$D$401,MATCH(ROW()-13,_datos!$K$2:$K$401,0)),"")</f>
      </c>
      <c r="F193" s="21">
        <f>IFERROR(INDEX(_datos!$E$2:$E$401,MATCH(ROW()-13,_datos!$K$2:$K$401,0)),"")</f>
      </c>
      <c r="G193" s="23">
        <f>IFERROR(INDEX(_datos!$F$2:$F$401,MATCH(ROW()-13,_datos!$K$2:$K$401,0)),"")</f>
      </c>
      <c r="H193" s="21">
        <f>IFERROR(INDEX(_datos!$G$2:$G$401,MATCH(ROW()-13,_datos!$K$2:$K$401,0)),"")</f>
      </c>
      <c r="I193" s="24">
        <f>IFERROR(INDEX(_datos!$H$2:$H$401,MATCH(ROW()-13,_datos!$K$2:$K$401,0)),"")</f>
      </c>
      <c r="J193" s="22">
        <f>IFERROR(INDEX(_datos!$I$2:$I$401,MATCH(ROW()-13,_datos!$K$2:$K$401,0)),"")</f>
      </c>
      <c r="K193" s="44">
        <f>IFERROR(HYPERLINK(INDEX(_datos!$J$2:$J$401,MATCH(ROW()-13,_datos!$K$2:$K$401,0)),"abrir mapa"),"")</f>
      </c>
    </row>
    <row r="194" ht="18.75" customHeight="1" spans="2:11" x14ac:dyDescent="0.25">
      <c r="B194" s="20">
        <f>IFERROR(INDEX(_datos!$A$2:$A$401,MATCH(ROW()-13,_datos!$K$2:$K$401,0)),"")</f>
      </c>
      <c r="C194" s="22">
        <f>IFERROR(INDEX(_datos!$B$2:$B$401,MATCH(ROW()-13,_datos!$K$2:$K$401,0)),"")</f>
      </c>
      <c r="D194" s="43">
        <f>IFERROR(INDEX(_datos!$C$2:$C$401,MATCH(ROW()-13,_datos!$K$2:$K$401,0)),"")</f>
      </c>
      <c r="E194" s="22">
        <f>IFERROR(INDEX(_datos!$D$2:$D$401,MATCH(ROW()-13,_datos!$K$2:$K$401,0)),"")</f>
      </c>
      <c r="F194" s="21">
        <f>IFERROR(INDEX(_datos!$E$2:$E$401,MATCH(ROW()-13,_datos!$K$2:$K$401,0)),"")</f>
      </c>
      <c r="G194" s="23">
        <f>IFERROR(INDEX(_datos!$F$2:$F$401,MATCH(ROW()-13,_datos!$K$2:$K$401,0)),"")</f>
      </c>
      <c r="H194" s="21">
        <f>IFERROR(INDEX(_datos!$G$2:$G$401,MATCH(ROW()-13,_datos!$K$2:$K$401,0)),"")</f>
      </c>
      <c r="I194" s="24">
        <f>IFERROR(INDEX(_datos!$H$2:$H$401,MATCH(ROW()-13,_datos!$K$2:$K$401,0)),"")</f>
      </c>
      <c r="J194" s="22">
        <f>IFERROR(INDEX(_datos!$I$2:$I$401,MATCH(ROW()-13,_datos!$K$2:$K$401,0)),"")</f>
      </c>
      <c r="K194" s="44">
        <f>IFERROR(HYPERLINK(INDEX(_datos!$J$2:$J$401,MATCH(ROW()-13,_datos!$K$2:$K$401,0)),"abrir mapa"),"")</f>
      </c>
    </row>
    <row r="195" ht="18.75" customHeight="1" spans="2:11" x14ac:dyDescent="0.25">
      <c r="B195" s="20">
        <f>IFERROR(INDEX(_datos!$A$2:$A$401,MATCH(ROW()-13,_datos!$K$2:$K$401,0)),"")</f>
      </c>
      <c r="C195" s="22">
        <f>IFERROR(INDEX(_datos!$B$2:$B$401,MATCH(ROW()-13,_datos!$K$2:$K$401,0)),"")</f>
      </c>
      <c r="D195" s="43">
        <f>IFERROR(INDEX(_datos!$C$2:$C$401,MATCH(ROW()-13,_datos!$K$2:$K$401,0)),"")</f>
      </c>
      <c r="E195" s="22">
        <f>IFERROR(INDEX(_datos!$D$2:$D$401,MATCH(ROW()-13,_datos!$K$2:$K$401,0)),"")</f>
      </c>
      <c r="F195" s="21">
        <f>IFERROR(INDEX(_datos!$E$2:$E$401,MATCH(ROW()-13,_datos!$K$2:$K$401,0)),"")</f>
      </c>
      <c r="G195" s="23">
        <f>IFERROR(INDEX(_datos!$F$2:$F$401,MATCH(ROW()-13,_datos!$K$2:$K$401,0)),"")</f>
      </c>
      <c r="H195" s="21">
        <f>IFERROR(INDEX(_datos!$G$2:$G$401,MATCH(ROW()-13,_datos!$K$2:$K$401,0)),"")</f>
      </c>
      <c r="I195" s="24">
        <f>IFERROR(INDEX(_datos!$H$2:$H$401,MATCH(ROW()-13,_datos!$K$2:$K$401,0)),"")</f>
      </c>
      <c r="J195" s="22">
        <f>IFERROR(INDEX(_datos!$I$2:$I$401,MATCH(ROW()-13,_datos!$K$2:$K$401,0)),"")</f>
      </c>
      <c r="K195" s="44">
        <f>IFERROR(HYPERLINK(INDEX(_datos!$J$2:$J$401,MATCH(ROW()-13,_datos!$K$2:$K$401,0)),"abrir mapa"),"")</f>
      </c>
    </row>
    <row r="196" ht="18.75" customHeight="1" spans="2:11" x14ac:dyDescent="0.25">
      <c r="B196" s="20">
        <f>IFERROR(INDEX(_datos!$A$2:$A$401,MATCH(ROW()-13,_datos!$K$2:$K$401,0)),"")</f>
      </c>
      <c r="C196" s="22">
        <f>IFERROR(INDEX(_datos!$B$2:$B$401,MATCH(ROW()-13,_datos!$K$2:$K$401,0)),"")</f>
      </c>
      <c r="D196" s="43">
        <f>IFERROR(INDEX(_datos!$C$2:$C$401,MATCH(ROW()-13,_datos!$K$2:$K$401,0)),"")</f>
      </c>
      <c r="E196" s="22">
        <f>IFERROR(INDEX(_datos!$D$2:$D$401,MATCH(ROW()-13,_datos!$K$2:$K$401,0)),"")</f>
      </c>
      <c r="F196" s="21">
        <f>IFERROR(INDEX(_datos!$E$2:$E$401,MATCH(ROW()-13,_datos!$K$2:$K$401,0)),"")</f>
      </c>
      <c r="G196" s="23">
        <f>IFERROR(INDEX(_datos!$F$2:$F$401,MATCH(ROW()-13,_datos!$K$2:$K$401,0)),"")</f>
      </c>
      <c r="H196" s="21">
        <f>IFERROR(INDEX(_datos!$G$2:$G$401,MATCH(ROW()-13,_datos!$K$2:$K$401,0)),"")</f>
      </c>
      <c r="I196" s="24">
        <f>IFERROR(INDEX(_datos!$H$2:$H$401,MATCH(ROW()-13,_datos!$K$2:$K$401,0)),"")</f>
      </c>
      <c r="J196" s="22">
        <f>IFERROR(INDEX(_datos!$I$2:$I$401,MATCH(ROW()-13,_datos!$K$2:$K$401,0)),"")</f>
      </c>
      <c r="K196" s="44">
        <f>IFERROR(HYPERLINK(INDEX(_datos!$J$2:$J$401,MATCH(ROW()-13,_datos!$K$2:$K$401,0)),"abrir mapa"),"")</f>
      </c>
    </row>
    <row r="197" ht="18.75" customHeight="1" spans="2:11" x14ac:dyDescent="0.25">
      <c r="B197" s="20">
        <f>IFERROR(INDEX(_datos!$A$2:$A$401,MATCH(ROW()-13,_datos!$K$2:$K$401,0)),"")</f>
      </c>
      <c r="C197" s="22">
        <f>IFERROR(INDEX(_datos!$B$2:$B$401,MATCH(ROW()-13,_datos!$K$2:$K$401,0)),"")</f>
      </c>
      <c r="D197" s="43">
        <f>IFERROR(INDEX(_datos!$C$2:$C$401,MATCH(ROW()-13,_datos!$K$2:$K$401,0)),"")</f>
      </c>
      <c r="E197" s="22">
        <f>IFERROR(INDEX(_datos!$D$2:$D$401,MATCH(ROW()-13,_datos!$K$2:$K$401,0)),"")</f>
      </c>
      <c r="F197" s="21">
        <f>IFERROR(INDEX(_datos!$E$2:$E$401,MATCH(ROW()-13,_datos!$K$2:$K$401,0)),"")</f>
      </c>
      <c r="G197" s="23">
        <f>IFERROR(INDEX(_datos!$F$2:$F$401,MATCH(ROW()-13,_datos!$K$2:$K$401,0)),"")</f>
      </c>
      <c r="H197" s="21">
        <f>IFERROR(INDEX(_datos!$G$2:$G$401,MATCH(ROW()-13,_datos!$K$2:$K$401,0)),"")</f>
      </c>
      <c r="I197" s="24">
        <f>IFERROR(INDEX(_datos!$H$2:$H$401,MATCH(ROW()-13,_datos!$K$2:$K$401,0)),"")</f>
      </c>
      <c r="J197" s="22">
        <f>IFERROR(INDEX(_datos!$I$2:$I$401,MATCH(ROW()-13,_datos!$K$2:$K$401,0)),"")</f>
      </c>
      <c r="K197" s="44">
        <f>IFERROR(HYPERLINK(INDEX(_datos!$J$2:$J$401,MATCH(ROW()-13,_datos!$K$2:$K$401,0)),"abrir mapa"),"")</f>
      </c>
    </row>
    <row r="198" ht="18.75" customHeight="1" spans="2:11" x14ac:dyDescent="0.25">
      <c r="B198" s="20">
        <f>IFERROR(INDEX(_datos!$A$2:$A$401,MATCH(ROW()-13,_datos!$K$2:$K$401,0)),"")</f>
      </c>
      <c r="C198" s="22">
        <f>IFERROR(INDEX(_datos!$B$2:$B$401,MATCH(ROW()-13,_datos!$K$2:$K$401,0)),"")</f>
      </c>
      <c r="D198" s="43">
        <f>IFERROR(INDEX(_datos!$C$2:$C$401,MATCH(ROW()-13,_datos!$K$2:$K$401,0)),"")</f>
      </c>
      <c r="E198" s="22">
        <f>IFERROR(INDEX(_datos!$D$2:$D$401,MATCH(ROW()-13,_datos!$K$2:$K$401,0)),"")</f>
      </c>
      <c r="F198" s="21">
        <f>IFERROR(INDEX(_datos!$E$2:$E$401,MATCH(ROW()-13,_datos!$K$2:$K$401,0)),"")</f>
      </c>
      <c r="G198" s="23">
        <f>IFERROR(INDEX(_datos!$F$2:$F$401,MATCH(ROW()-13,_datos!$K$2:$K$401,0)),"")</f>
      </c>
      <c r="H198" s="21">
        <f>IFERROR(INDEX(_datos!$G$2:$G$401,MATCH(ROW()-13,_datos!$K$2:$K$401,0)),"")</f>
      </c>
      <c r="I198" s="24">
        <f>IFERROR(INDEX(_datos!$H$2:$H$401,MATCH(ROW()-13,_datos!$K$2:$K$401,0)),"")</f>
      </c>
      <c r="J198" s="22">
        <f>IFERROR(INDEX(_datos!$I$2:$I$401,MATCH(ROW()-13,_datos!$K$2:$K$401,0)),"")</f>
      </c>
      <c r="K198" s="44">
        <f>IFERROR(HYPERLINK(INDEX(_datos!$J$2:$J$401,MATCH(ROW()-13,_datos!$K$2:$K$401,0)),"abrir mapa"),"")</f>
      </c>
    </row>
    <row r="199" ht="18.75" customHeight="1" spans="2:11" x14ac:dyDescent="0.25">
      <c r="B199" s="20">
        <f>IFERROR(INDEX(_datos!$A$2:$A$401,MATCH(ROW()-13,_datos!$K$2:$K$401,0)),"")</f>
      </c>
      <c r="C199" s="22">
        <f>IFERROR(INDEX(_datos!$B$2:$B$401,MATCH(ROW()-13,_datos!$K$2:$K$401,0)),"")</f>
      </c>
      <c r="D199" s="43">
        <f>IFERROR(INDEX(_datos!$C$2:$C$401,MATCH(ROW()-13,_datos!$K$2:$K$401,0)),"")</f>
      </c>
      <c r="E199" s="22">
        <f>IFERROR(INDEX(_datos!$D$2:$D$401,MATCH(ROW()-13,_datos!$K$2:$K$401,0)),"")</f>
      </c>
      <c r="F199" s="21">
        <f>IFERROR(INDEX(_datos!$E$2:$E$401,MATCH(ROW()-13,_datos!$K$2:$K$401,0)),"")</f>
      </c>
      <c r="G199" s="23">
        <f>IFERROR(INDEX(_datos!$F$2:$F$401,MATCH(ROW()-13,_datos!$K$2:$K$401,0)),"")</f>
      </c>
      <c r="H199" s="21">
        <f>IFERROR(INDEX(_datos!$G$2:$G$401,MATCH(ROW()-13,_datos!$K$2:$K$401,0)),"")</f>
      </c>
      <c r="I199" s="24">
        <f>IFERROR(INDEX(_datos!$H$2:$H$401,MATCH(ROW()-13,_datos!$K$2:$K$401,0)),"")</f>
      </c>
      <c r="J199" s="22">
        <f>IFERROR(INDEX(_datos!$I$2:$I$401,MATCH(ROW()-13,_datos!$K$2:$K$401,0)),"")</f>
      </c>
      <c r="K199" s="44">
        <f>IFERROR(HYPERLINK(INDEX(_datos!$J$2:$J$401,MATCH(ROW()-13,_datos!$K$2:$K$401,0)),"abrir mapa"),"")</f>
      </c>
    </row>
    <row r="200" ht="18.75" customHeight="1" spans="2:11" x14ac:dyDescent="0.25">
      <c r="B200" s="20">
        <f>IFERROR(INDEX(_datos!$A$2:$A$401,MATCH(ROW()-13,_datos!$K$2:$K$401,0)),"")</f>
      </c>
      <c r="C200" s="22">
        <f>IFERROR(INDEX(_datos!$B$2:$B$401,MATCH(ROW()-13,_datos!$K$2:$K$401,0)),"")</f>
      </c>
      <c r="D200" s="43">
        <f>IFERROR(INDEX(_datos!$C$2:$C$401,MATCH(ROW()-13,_datos!$K$2:$K$401,0)),"")</f>
      </c>
      <c r="E200" s="22">
        <f>IFERROR(INDEX(_datos!$D$2:$D$401,MATCH(ROW()-13,_datos!$K$2:$K$401,0)),"")</f>
      </c>
      <c r="F200" s="21">
        <f>IFERROR(INDEX(_datos!$E$2:$E$401,MATCH(ROW()-13,_datos!$K$2:$K$401,0)),"")</f>
      </c>
      <c r="G200" s="23">
        <f>IFERROR(INDEX(_datos!$F$2:$F$401,MATCH(ROW()-13,_datos!$K$2:$K$401,0)),"")</f>
      </c>
      <c r="H200" s="21">
        <f>IFERROR(INDEX(_datos!$G$2:$G$401,MATCH(ROW()-13,_datos!$K$2:$K$401,0)),"")</f>
      </c>
      <c r="I200" s="24">
        <f>IFERROR(INDEX(_datos!$H$2:$H$401,MATCH(ROW()-13,_datos!$K$2:$K$401,0)),"")</f>
      </c>
      <c r="J200" s="22">
        <f>IFERROR(INDEX(_datos!$I$2:$I$401,MATCH(ROW()-13,_datos!$K$2:$K$401,0)),"")</f>
      </c>
      <c r="K200" s="44">
        <f>IFERROR(HYPERLINK(INDEX(_datos!$J$2:$J$401,MATCH(ROW()-13,_datos!$K$2:$K$401,0)),"abrir mapa"),"")</f>
      </c>
    </row>
    <row r="201" ht="18.75" customHeight="1" spans="2:11" x14ac:dyDescent="0.25">
      <c r="B201" s="20">
        <f>IFERROR(INDEX(_datos!$A$2:$A$401,MATCH(ROW()-13,_datos!$K$2:$K$401,0)),"")</f>
      </c>
      <c r="C201" s="22">
        <f>IFERROR(INDEX(_datos!$B$2:$B$401,MATCH(ROW()-13,_datos!$K$2:$K$401,0)),"")</f>
      </c>
      <c r="D201" s="43">
        <f>IFERROR(INDEX(_datos!$C$2:$C$401,MATCH(ROW()-13,_datos!$K$2:$K$401,0)),"")</f>
      </c>
      <c r="E201" s="22">
        <f>IFERROR(INDEX(_datos!$D$2:$D$401,MATCH(ROW()-13,_datos!$K$2:$K$401,0)),"")</f>
      </c>
      <c r="F201" s="21">
        <f>IFERROR(INDEX(_datos!$E$2:$E$401,MATCH(ROW()-13,_datos!$K$2:$K$401,0)),"")</f>
      </c>
      <c r="G201" s="23">
        <f>IFERROR(INDEX(_datos!$F$2:$F$401,MATCH(ROW()-13,_datos!$K$2:$K$401,0)),"")</f>
      </c>
      <c r="H201" s="21">
        <f>IFERROR(INDEX(_datos!$G$2:$G$401,MATCH(ROW()-13,_datos!$K$2:$K$401,0)),"")</f>
      </c>
      <c r="I201" s="24">
        <f>IFERROR(INDEX(_datos!$H$2:$H$401,MATCH(ROW()-13,_datos!$K$2:$K$401,0)),"")</f>
      </c>
      <c r="J201" s="22">
        <f>IFERROR(INDEX(_datos!$I$2:$I$401,MATCH(ROW()-13,_datos!$K$2:$K$401,0)),"")</f>
      </c>
      <c r="K201" s="44">
        <f>IFERROR(HYPERLINK(INDEX(_datos!$J$2:$J$401,MATCH(ROW()-13,_datos!$K$2:$K$401,0)),"abrir mapa"),"")</f>
      </c>
    </row>
    <row r="202" ht="18.75" customHeight="1" spans="2:11" x14ac:dyDescent="0.25">
      <c r="B202" s="20">
        <f>IFERROR(INDEX(_datos!$A$2:$A$401,MATCH(ROW()-13,_datos!$K$2:$K$401,0)),"")</f>
      </c>
      <c r="C202" s="22">
        <f>IFERROR(INDEX(_datos!$B$2:$B$401,MATCH(ROW()-13,_datos!$K$2:$K$401,0)),"")</f>
      </c>
      <c r="D202" s="43">
        <f>IFERROR(INDEX(_datos!$C$2:$C$401,MATCH(ROW()-13,_datos!$K$2:$K$401,0)),"")</f>
      </c>
      <c r="E202" s="22">
        <f>IFERROR(INDEX(_datos!$D$2:$D$401,MATCH(ROW()-13,_datos!$K$2:$K$401,0)),"")</f>
      </c>
      <c r="F202" s="21">
        <f>IFERROR(INDEX(_datos!$E$2:$E$401,MATCH(ROW()-13,_datos!$K$2:$K$401,0)),"")</f>
      </c>
      <c r="G202" s="23">
        <f>IFERROR(INDEX(_datos!$F$2:$F$401,MATCH(ROW()-13,_datos!$K$2:$K$401,0)),"")</f>
      </c>
      <c r="H202" s="21">
        <f>IFERROR(INDEX(_datos!$G$2:$G$401,MATCH(ROW()-13,_datos!$K$2:$K$401,0)),"")</f>
      </c>
      <c r="I202" s="24">
        <f>IFERROR(INDEX(_datos!$H$2:$H$401,MATCH(ROW()-13,_datos!$K$2:$K$401,0)),"")</f>
      </c>
      <c r="J202" s="22">
        <f>IFERROR(INDEX(_datos!$I$2:$I$401,MATCH(ROW()-13,_datos!$K$2:$K$401,0)),"")</f>
      </c>
      <c r="K202" s="44">
        <f>IFERROR(HYPERLINK(INDEX(_datos!$J$2:$J$401,MATCH(ROW()-13,_datos!$K$2:$K$401,0)),"abrir mapa"),"")</f>
      </c>
    </row>
    <row r="203" ht="18.75" customHeight="1" spans="2:11" x14ac:dyDescent="0.25">
      <c r="B203" s="20">
        <f>IFERROR(INDEX(_datos!$A$2:$A$401,MATCH(ROW()-13,_datos!$K$2:$K$401,0)),"")</f>
      </c>
      <c r="C203" s="22">
        <f>IFERROR(INDEX(_datos!$B$2:$B$401,MATCH(ROW()-13,_datos!$K$2:$K$401,0)),"")</f>
      </c>
      <c r="D203" s="43">
        <f>IFERROR(INDEX(_datos!$C$2:$C$401,MATCH(ROW()-13,_datos!$K$2:$K$401,0)),"")</f>
      </c>
      <c r="E203" s="22">
        <f>IFERROR(INDEX(_datos!$D$2:$D$401,MATCH(ROW()-13,_datos!$K$2:$K$401,0)),"")</f>
      </c>
      <c r="F203" s="21">
        <f>IFERROR(INDEX(_datos!$E$2:$E$401,MATCH(ROW()-13,_datos!$K$2:$K$401,0)),"")</f>
      </c>
      <c r="G203" s="23">
        <f>IFERROR(INDEX(_datos!$F$2:$F$401,MATCH(ROW()-13,_datos!$K$2:$K$401,0)),"")</f>
      </c>
      <c r="H203" s="21">
        <f>IFERROR(INDEX(_datos!$G$2:$G$401,MATCH(ROW()-13,_datos!$K$2:$K$401,0)),"")</f>
      </c>
      <c r="I203" s="24">
        <f>IFERROR(INDEX(_datos!$H$2:$H$401,MATCH(ROW()-13,_datos!$K$2:$K$401,0)),"")</f>
      </c>
      <c r="J203" s="22">
        <f>IFERROR(INDEX(_datos!$I$2:$I$401,MATCH(ROW()-13,_datos!$K$2:$K$401,0)),"")</f>
      </c>
      <c r="K203" s="44">
        <f>IFERROR(HYPERLINK(INDEX(_datos!$J$2:$J$401,MATCH(ROW()-13,_datos!$K$2:$K$401,0)),"abrir mapa"),"")</f>
      </c>
    </row>
    <row r="204" ht="18.75" customHeight="1" spans="2:11" x14ac:dyDescent="0.25">
      <c r="B204" s="20">
        <f>IFERROR(INDEX(_datos!$A$2:$A$401,MATCH(ROW()-13,_datos!$K$2:$K$401,0)),"")</f>
      </c>
      <c r="C204" s="22">
        <f>IFERROR(INDEX(_datos!$B$2:$B$401,MATCH(ROW()-13,_datos!$K$2:$K$401,0)),"")</f>
      </c>
      <c r="D204" s="43">
        <f>IFERROR(INDEX(_datos!$C$2:$C$401,MATCH(ROW()-13,_datos!$K$2:$K$401,0)),"")</f>
      </c>
      <c r="E204" s="22">
        <f>IFERROR(INDEX(_datos!$D$2:$D$401,MATCH(ROW()-13,_datos!$K$2:$K$401,0)),"")</f>
      </c>
      <c r="F204" s="21">
        <f>IFERROR(INDEX(_datos!$E$2:$E$401,MATCH(ROW()-13,_datos!$K$2:$K$401,0)),"")</f>
      </c>
      <c r="G204" s="23">
        <f>IFERROR(INDEX(_datos!$F$2:$F$401,MATCH(ROW()-13,_datos!$K$2:$K$401,0)),"")</f>
      </c>
      <c r="H204" s="21">
        <f>IFERROR(INDEX(_datos!$G$2:$G$401,MATCH(ROW()-13,_datos!$K$2:$K$401,0)),"")</f>
      </c>
      <c r="I204" s="24">
        <f>IFERROR(INDEX(_datos!$H$2:$H$401,MATCH(ROW()-13,_datos!$K$2:$K$401,0)),"")</f>
      </c>
      <c r="J204" s="22">
        <f>IFERROR(INDEX(_datos!$I$2:$I$401,MATCH(ROW()-13,_datos!$K$2:$K$401,0)),"")</f>
      </c>
      <c r="K204" s="44">
        <f>IFERROR(HYPERLINK(INDEX(_datos!$J$2:$J$401,MATCH(ROW()-13,_datos!$K$2:$K$401,0)),"abrir mapa"),"")</f>
      </c>
    </row>
    <row r="205" ht="18.75" customHeight="1" spans="2:11" x14ac:dyDescent="0.25">
      <c r="B205" s="20">
        <f>IFERROR(INDEX(_datos!$A$2:$A$401,MATCH(ROW()-13,_datos!$K$2:$K$401,0)),"")</f>
      </c>
      <c r="C205" s="22">
        <f>IFERROR(INDEX(_datos!$B$2:$B$401,MATCH(ROW()-13,_datos!$K$2:$K$401,0)),"")</f>
      </c>
      <c r="D205" s="43">
        <f>IFERROR(INDEX(_datos!$C$2:$C$401,MATCH(ROW()-13,_datos!$K$2:$K$401,0)),"")</f>
      </c>
      <c r="E205" s="22">
        <f>IFERROR(INDEX(_datos!$D$2:$D$401,MATCH(ROW()-13,_datos!$K$2:$K$401,0)),"")</f>
      </c>
      <c r="F205" s="21">
        <f>IFERROR(INDEX(_datos!$E$2:$E$401,MATCH(ROW()-13,_datos!$K$2:$K$401,0)),"")</f>
      </c>
      <c r="G205" s="23">
        <f>IFERROR(INDEX(_datos!$F$2:$F$401,MATCH(ROW()-13,_datos!$K$2:$K$401,0)),"")</f>
      </c>
      <c r="H205" s="21">
        <f>IFERROR(INDEX(_datos!$G$2:$G$401,MATCH(ROW()-13,_datos!$K$2:$K$401,0)),"")</f>
      </c>
      <c r="I205" s="24">
        <f>IFERROR(INDEX(_datos!$H$2:$H$401,MATCH(ROW()-13,_datos!$K$2:$K$401,0)),"")</f>
      </c>
      <c r="J205" s="22">
        <f>IFERROR(INDEX(_datos!$I$2:$I$401,MATCH(ROW()-13,_datos!$K$2:$K$401,0)),"")</f>
      </c>
      <c r="K205" s="44">
        <f>IFERROR(HYPERLINK(INDEX(_datos!$J$2:$J$401,MATCH(ROW()-13,_datos!$K$2:$K$401,0)),"abrir mapa"),"")</f>
      </c>
    </row>
    <row r="206" ht="18.75" customHeight="1" spans="2:11" x14ac:dyDescent="0.25">
      <c r="B206" s="20">
        <f>IFERROR(INDEX(_datos!$A$2:$A$401,MATCH(ROW()-13,_datos!$K$2:$K$401,0)),"")</f>
      </c>
      <c r="C206" s="22">
        <f>IFERROR(INDEX(_datos!$B$2:$B$401,MATCH(ROW()-13,_datos!$K$2:$K$401,0)),"")</f>
      </c>
      <c r="D206" s="43">
        <f>IFERROR(INDEX(_datos!$C$2:$C$401,MATCH(ROW()-13,_datos!$K$2:$K$401,0)),"")</f>
      </c>
      <c r="E206" s="22">
        <f>IFERROR(INDEX(_datos!$D$2:$D$401,MATCH(ROW()-13,_datos!$K$2:$K$401,0)),"")</f>
      </c>
      <c r="F206" s="21">
        <f>IFERROR(INDEX(_datos!$E$2:$E$401,MATCH(ROW()-13,_datos!$K$2:$K$401,0)),"")</f>
      </c>
      <c r="G206" s="23">
        <f>IFERROR(INDEX(_datos!$F$2:$F$401,MATCH(ROW()-13,_datos!$K$2:$K$401,0)),"")</f>
      </c>
      <c r="H206" s="21">
        <f>IFERROR(INDEX(_datos!$G$2:$G$401,MATCH(ROW()-13,_datos!$K$2:$K$401,0)),"")</f>
      </c>
      <c r="I206" s="24">
        <f>IFERROR(INDEX(_datos!$H$2:$H$401,MATCH(ROW()-13,_datos!$K$2:$K$401,0)),"")</f>
      </c>
      <c r="J206" s="22">
        <f>IFERROR(INDEX(_datos!$I$2:$I$401,MATCH(ROW()-13,_datos!$K$2:$K$401,0)),"")</f>
      </c>
      <c r="K206" s="44">
        <f>IFERROR(HYPERLINK(INDEX(_datos!$J$2:$J$401,MATCH(ROW()-13,_datos!$K$2:$K$401,0)),"abrir mapa"),"")</f>
      </c>
    </row>
    <row r="207" ht="18.75" customHeight="1" spans="2:11" x14ac:dyDescent="0.25">
      <c r="B207" s="20">
        <f>IFERROR(INDEX(_datos!$A$2:$A$401,MATCH(ROW()-13,_datos!$K$2:$K$401,0)),"")</f>
      </c>
      <c r="C207" s="22">
        <f>IFERROR(INDEX(_datos!$B$2:$B$401,MATCH(ROW()-13,_datos!$K$2:$K$401,0)),"")</f>
      </c>
      <c r="D207" s="43">
        <f>IFERROR(INDEX(_datos!$C$2:$C$401,MATCH(ROW()-13,_datos!$K$2:$K$401,0)),"")</f>
      </c>
      <c r="E207" s="22">
        <f>IFERROR(INDEX(_datos!$D$2:$D$401,MATCH(ROW()-13,_datos!$K$2:$K$401,0)),"")</f>
      </c>
      <c r="F207" s="21">
        <f>IFERROR(INDEX(_datos!$E$2:$E$401,MATCH(ROW()-13,_datos!$K$2:$K$401,0)),"")</f>
      </c>
      <c r="G207" s="23">
        <f>IFERROR(INDEX(_datos!$F$2:$F$401,MATCH(ROW()-13,_datos!$K$2:$K$401,0)),"")</f>
      </c>
      <c r="H207" s="21">
        <f>IFERROR(INDEX(_datos!$G$2:$G$401,MATCH(ROW()-13,_datos!$K$2:$K$401,0)),"")</f>
      </c>
      <c r="I207" s="24">
        <f>IFERROR(INDEX(_datos!$H$2:$H$401,MATCH(ROW()-13,_datos!$K$2:$K$401,0)),"")</f>
      </c>
      <c r="J207" s="22">
        <f>IFERROR(INDEX(_datos!$I$2:$I$401,MATCH(ROW()-13,_datos!$K$2:$K$401,0)),"")</f>
      </c>
      <c r="K207" s="44">
        <f>IFERROR(HYPERLINK(INDEX(_datos!$J$2:$J$401,MATCH(ROW()-13,_datos!$K$2:$K$401,0)),"abrir mapa"),"")</f>
      </c>
    </row>
    <row r="208" ht="18.75" customHeight="1" spans="2:11" x14ac:dyDescent="0.25">
      <c r="B208" s="20">
        <f>IFERROR(INDEX(_datos!$A$2:$A$401,MATCH(ROW()-13,_datos!$K$2:$K$401,0)),"")</f>
      </c>
      <c r="C208" s="22">
        <f>IFERROR(INDEX(_datos!$B$2:$B$401,MATCH(ROW()-13,_datos!$K$2:$K$401,0)),"")</f>
      </c>
      <c r="D208" s="43">
        <f>IFERROR(INDEX(_datos!$C$2:$C$401,MATCH(ROW()-13,_datos!$K$2:$K$401,0)),"")</f>
      </c>
      <c r="E208" s="22">
        <f>IFERROR(INDEX(_datos!$D$2:$D$401,MATCH(ROW()-13,_datos!$K$2:$K$401,0)),"")</f>
      </c>
      <c r="F208" s="21">
        <f>IFERROR(INDEX(_datos!$E$2:$E$401,MATCH(ROW()-13,_datos!$K$2:$K$401,0)),"")</f>
      </c>
      <c r="G208" s="23">
        <f>IFERROR(INDEX(_datos!$F$2:$F$401,MATCH(ROW()-13,_datos!$K$2:$K$401,0)),"")</f>
      </c>
      <c r="H208" s="21">
        <f>IFERROR(INDEX(_datos!$G$2:$G$401,MATCH(ROW()-13,_datos!$K$2:$K$401,0)),"")</f>
      </c>
      <c r="I208" s="24">
        <f>IFERROR(INDEX(_datos!$H$2:$H$401,MATCH(ROW()-13,_datos!$K$2:$K$401,0)),"")</f>
      </c>
      <c r="J208" s="22">
        <f>IFERROR(INDEX(_datos!$I$2:$I$401,MATCH(ROW()-13,_datos!$K$2:$K$401,0)),"")</f>
      </c>
      <c r="K208" s="44">
        <f>IFERROR(HYPERLINK(INDEX(_datos!$J$2:$J$401,MATCH(ROW()-13,_datos!$K$2:$K$401,0)),"abrir mapa"),"")</f>
      </c>
    </row>
    <row r="209" ht="18.75" customHeight="1" spans="2:11" x14ac:dyDescent="0.25">
      <c r="B209" s="20">
        <f>IFERROR(INDEX(_datos!$A$2:$A$401,MATCH(ROW()-13,_datos!$K$2:$K$401,0)),"")</f>
      </c>
      <c r="C209" s="22">
        <f>IFERROR(INDEX(_datos!$B$2:$B$401,MATCH(ROW()-13,_datos!$K$2:$K$401,0)),"")</f>
      </c>
      <c r="D209" s="43">
        <f>IFERROR(INDEX(_datos!$C$2:$C$401,MATCH(ROW()-13,_datos!$K$2:$K$401,0)),"")</f>
      </c>
      <c r="E209" s="22">
        <f>IFERROR(INDEX(_datos!$D$2:$D$401,MATCH(ROW()-13,_datos!$K$2:$K$401,0)),"")</f>
      </c>
      <c r="F209" s="21">
        <f>IFERROR(INDEX(_datos!$E$2:$E$401,MATCH(ROW()-13,_datos!$K$2:$K$401,0)),"")</f>
      </c>
      <c r="G209" s="23">
        <f>IFERROR(INDEX(_datos!$F$2:$F$401,MATCH(ROW()-13,_datos!$K$2:$K$401,0)),"")</f>
      </c>
      <c r="H209" s="21">
        <f>IFERROR(INDEX(_datos!$G$2:$G$401,MATCH(ROW()-13,_datos!$K$2:$K$401,0)),"")</f>
      </c>
      <c r="I209" s="24">
        <f>IFERROR(INDEX(_datos!$H$2:$H$401,MATCH(ROW()-13,_datos!$K$2:$K$401,0)),"")</f>
      </c>
      <c r="J209" s="22">
        <f>IFERROR(INDEX(_datos!$I$2:$I$401,MATCH(ROW()-13,_datos!$K$2:$K$401,0)),"")</f>
      </c>
      <c r="K209" s="44">
        <f>IFERROR(HYPERLINK(INDEX(_datos!$J$2:$J$401,MATCH(ROW()-13,_datos!$K$2:$K$401,0)),"abrir mapa"),"")</f>
      </c>
    </row>
    <row r="210" ht="18.75" customHeight="1" spans="2:11" x14ac:dyDescent="0.25">
      <c r="B210" s="20">
        <f>IFERROR(INDEX(_datos!$A$2:$A$401,MATCH(ROW()-13,_datos!$K$2:$K$401,0)),"")</f>
      </c>
      <c r="C210" s="22">
        <f>IFERROR(INDEX(_datos!$B$2:$B$401,MATCH(ROW()-13,_datos!$K$2:$K$401,0)),"")</f>
      </c>
      <c r="D210" s="43">
        <f>IFERROR(INDEX(_datos!$C$2:$C$401,MATCH(ROW()-13,_datos!$K$2:$K$401,0)),"")</f>
      </c>
      <c r="E210" s="22">
        <f>IFERROR(INDEX(_datos!$D$2:$D$401,MATCH(ROW()-13,_datos!$K$2:$K$401,0)),"")</f>
      </c>
      <c r="F210" s="21">
        <f>IFERROR(INDEX(_datos!$E$2:$E$401,MATCH(ROW()-13,_datos!$K$2:$K$401,0)),"")</f>
      </c>
      <c r="G210" s="23">
        <f>IFERROR(INDEX(_datos!$F$2:$F$401,MATCH(ROW()-13,_datos!$K$2:$K$401,0)),"")</f>
      </c>
      <c r="H210" s="21">
        <f>IFERROR(INDEX(_datos!$G$2:$G$401,MATCH(ROW()-13,_datos!$K$2:$K$401,0)),"")</f>
      </c>
      <c r="I210" s="24">
        <f>IFERROR(INDEX(_datos!$H$2:$H$401,MATCH(ROW()-13,_datos!$K$2:$K$401,0)),"")</f>
      </c>
      <c r="J210" s="22">
        <f>IFERROR(INDEX(_datos!$I$2:$I$401,MATCH(ROW()-13,_datos!$K$2:$K$401,0)),"")</f>
      </c>
      <c r="K210" s="44">
        <f>IFERROR(HYPERLINK(INDEX(_datos!$J$2:$J$401,MATCH(ROW()-13,_datos!$K$2:$K$401,0)),"abrir mapa"),"")</f>
      </c>
    </row>
    <row r="211" ht="18.75" customHeight="1" spans="2:11" x14ac:dyDescent="0.25">
      <c r="B211" s="20">
        <f>IFERROR(INDEX(_datos!$A$2:$A$401,MATCH(ROW()-13,_datos!$K$2:$K$401,0)),"")</f>
      </c>
      <c r="C211" s="22">
        <f>IFERROR(INDEX(_datos!$B$2:$B$401,MATCH(ROW()-13,_datos!$K$2:$K$401,0)),"")</f>
      </c>
      <c r="D211" s="43">
        <f>IFERROR(INDEX(_datos!$C$2:$C$401,MATCH(ROW()-13,_datos!$K$2:$K$401,0)),"")</f>
      </c>
      <c r="E211" s="22">
        <f>IFERROR(INDEX(_datos!$D$2:$D$401,MATCH(ROW()-13,_datos!$K$2:$K$401,0)),"")</f>
      </c>
      <c r="F211" s="21">
        <f>IFERROR(INDEX(_datos!$E$2:$E$401,MATCH(ROW()-13,_datos!$K$2:$K$401,0)),"")</f>
      </c>
      <c r="G211" s="23">
        <f>IFERROR(INDEX(_datos!$F$2:$F$401,MATCH(ROW()-13,_datos!$K$2:$K$401,0)),"")</f>
      </c>
      <c r="H211" s="21">
        <f>IFERROR(INDEX(_datos!$G$2:$G$401,MATCH(ROW()-13,_datos!$K$2:$K$401,0)),"")</f>
      </c>
      <c r="I211" s="24">
        <f>IFERROR(INDEX(_datos!$H$2:$H$401,MATCH(ROW()-13,_datos!$K$2:$K$401,0)),"")</f>
      </c>
      <c r="J211" s="22">
        <f>IFERROR(INDEX(_datos!$I$2:$I$401,MATCH(ROW()-13,_datos!$K$2:$K$401,0)),"")</f>
      </c>
      <c r="K211" s="44">
        <f>IFERROR(HYPERLINK(INDEX(_datos!$J$2:$J$401,MATCH(ROW()-13,_datos!$K$2:$K$401,0)),"abrir mapa"),"")</f>
      </c>
    </row>
    <row r="212" ht="18.75" customHeight="1" spans="2:11" x14ac:dyDescent="0.25">
      <c r="B212" s="20">
        <f>IFERROR(INDEX(_datos!$A$2:$A$401,MATCH(ROW()-13,_datos!$K$2:$K$401,0)),"")</f>
      </c>
      <c r="C212" s="22">
        <f>IFERROR(INDEX(_datos!$B$2:$B$401,MATCH(ROW()-13,_datos!$K$2:$K$401,0)),"")</f>
      </c>
      <c r="D212" s="43">
        <f>IFERROR(INDEX(_datos!$C$2:$C$401,MATCH(ROW()-13,_datos!$K$2:$K$401,0)),"")</f>
      </c>
      <c r="E212" s="22">
        <f>IFERROR(INDEX(_datos!$D$2:$D$401,MATCH(ROW()-13,_datos!$K$2:$K$401,0)),"")</f>
      </c>
      <c r="F212" s="21">
        <f>IFERROR(INDEX(_datos!$E$2:$E$401,MATCH(ROW()-13,_datos!$K$2:$K$401,0)),"")</f>
      </c>
      <c r="G212" s="23">
        <f>IFERROR(INDEX(_datos!$F$2:$F$401,MATCH(ROW()-13,_datos!$K$2:$K$401,0)),"")</f>
      </c>
      <c r="H212" s="21">
        <f>IFERROR(INDEX(_datos!$G$2:$G$401,MATCH(ROW()-13,_datos!$K$2:$K$401,0)),"")</f>
      </c>
      <c r="I212" s="24">
        <f>IFERROR(INDEX(_datos!$H$2:$H$401,MATCH(ROW()-13,_datos!$K$2:$K$401,0)),"")</f>
      </c>
      <c r="J212" s="22">
        <f>IFERROR(INDEX(_datos!$I$2:$I$401,MATCH(ROW()-13,_datos!$K$2:$K$401,0)),"")</f>
      </c>
      <c r="K212" s="44">
        <f>IFERROR(HYPERLINK(INDEX(_datos!$J$2:$J$401,MATCH(ROW()-13,_datos!$K$2:$K$401,0)),"abrir mapa"),"")</f>
      </c>
    </row>
    <row r="213" ht="18.75" customHeight="1" spans="2:11" x14ac:dyDescent="0.25">
      <c r="B213" s="20">
        <f>IFERROR(INDEX(_datos!$A$2:$A$401,MATCH(ROW()-13,_datos!$K$2:$K$401,0)),"")</f>
      </c>
      <c r="C213" s="22">
        <f>IFERROR(INDEX(_datos!$B$2:$B$401,MATCH(ROW()-13,_datos!$K$2:$K$401,0)),"")</f>
      </c>
      <c r="D213" s="43">
        <f>IFERROR(INDEX(_datos!$C$2:$C$401,MATCH(ROW()-13,_datos!$K$2:$K$401,0)),"")</f>
      </c>
      <c r="E213" s="22">
        <f>IFERROR(INDEX(_datos!$D$2:$D$401,MATCH(ROW()-13,_datos!$K$2:$K$401,0)),"")</f>
      </c>
      <c r="F213" s="21">
        <f>IFERROR(INDEX(_datos!$E$2:$E$401,MATCH(ROW()-13,_datos!$K$2:$K$401,0)),"")</f>
      </c>
      <c r="G213" s="23">
        <f>IFERROR(INDEX(_datos!$F$2:$F$401,MATCH(ROW()-13,_datos!$K$2:$K$401,0)),"")</f>
      </c>
      <c r="H213" s="21">
        <f>IFERROR(INDEX(_datos!$G$2:$G$401,MATCH(ROW()-13,_datos!$K$2:$K$401,0)),"")</f>
      </c>
      <c r="I213" s="24">
        <f>IFERROR(INDEX(_datos!$H$2:$H$401,MATCH(ROW()-13,_datos!$K$2:$K$401,0)),"")</f>
      </c>
      <c r="J213" s="22">
        <f>IFERROR(INDEX(_datos!$I$2:$I$401,MATCH(ROW()-13,_datos!$K$2:$K$401,0)),"")</f>
      </c>
      <c r="K213" s="44">
        <f>IFERROR(HYPERLINK(INDEX(_datos!$J$2:$J$401,MATCH(ROW()-13,_datos!$K$2:$K$401,0)),"abrir mapa"),"")</f>
      </c>
    </row>
    <row r="214" ht="18.75" customHeight="1" spans="2:11" x14ac:dyDescent="0.25">
      <c r="B214" s="20">
        <f>IFERROR(INDEX(_datos!$A$2:$A$401,MATCH(ROW()-13,_datos!$K$2:$K$401,0)),"")</f>
      </c>
      <c r="C214" s="22">
        <f>IFERROR(INDEX(_datos!$B$2:$B$401,MATCH(ROW()-13,_datos!$K$2:$K$401,0)),"")</f>
      </c>
      <c r="D214" s="43">
        <f>IFERROR(INDEX(_datos!$C$2:$C$401,MATCH(ROW()-13,_datos!$K$2:$K$401,0)),"")</f>
      </c>
      <c r="E214" s="22">
        <f>IFERROR(INDEX(_datos!$D$2:$D$401,MATCH(ROW()-13,_datos!$K$2:$K$401,0)),"")</f>
      </c>
      <c r="F214" s="21">
        <f>IFERROR(INDEX(_datos!$E$2:$E$401,MATCH(ROW()-13,_datos!$K$2:$K$401,0)),"")</f>
      </c>
      <c r="G214" s="23">
        <f>IFERROR(INDEX(_datos!$F$2:$F$401,MATCH(ROW()-13,_datos!$K$2:$K$401,0)),"")</f>
      </c>
      <c r="H214" s="21">
        <f>IFERROR(INDEX(_datos!$G$2:$G$401,MATCH(ROW()-13,_datos!$K$2:$K$401,0)),"")</f>
      </c>
      <c r="I214" s="24">
        <f>IFERROR(INDEX(_datos!$H$2:$H$401,MATCH(ROW()-13,_datos!$K$2:$K$401,0)),"")</f>
      </c>
      <c r="J214" s="22">
        <f>IFERROR(INDEX(_datos!$I$2:$I$401,MATCH(ROW()-13,_datos!$K$2:$K$401,0)),"")</f>
      </c>
      <c r="K214" s="44">
        <f>IFERROR(HYPERLINK(INDEX(_datos!$J$2:$J$401,MATCH(ROW()-13,_datos!$K$2:$K$401,0)),"abrir mapa"),"")</f>
      </c>
    </row>
    <row r="215" ht="18.75" customHeight="1" spans="2:11" x14ac:dyDescent="0.25">
      <c r="B215" s="20">
        <f>IFERROR(INDEX(_datos!$A$2:$A$401,MATCH(ROW()-13,_datos!$K$2:$K$401,0)),"")</f>
      </c>
      <c r="C215" s="22">
        <f>IFERROR(INDEX(_datos!$B$2:$B$401,MATCH(ROW()-13,_datos!$K$2:$K$401,0)),"")</f>
      </c>
      <c r="D215" s="43">
        <f>IFERROR(INDEX(_datos!$C$2:$C$401,MATCH(ROW()-13,_datos!$K$2:$K$401,0)),"")</f>
      </c>
      <c r="E215" s="22">
        <f>IFERROR(INDEX(_datos!$D$2:$D$401,MATCH(ROW()-13,_datos!$K$2:$K$401,0)),"")</f>
      </c>
      <c r="F215" s="21">
        <f>IFERROR(INDEX(_datos!$E$2:$E$401,MATCH(ROW()-13,_datos!$K$2:$K$401,0)),"")</f>
      </c>
      <c r="G215" s="23">
        <f>IFERROR(INDEX(_datos!$F$2:$F$401,MATCH(ROW()-13,_datos!$K$2:$K$401,0)),"")</f>
      </c>
      <c r="H215" s="21">
        <f>IFERROR(INDEX(_datos!$G$2:$G$401,MATCH(ROW()-13,_datos!$K$2:$K$401,0)),"")</f>
      </c>
      <c r="I215" s="24">
        <f>IFERROR(INDEX(_datos!$H$2:$H$401,MATCH(ROW()-13,_datos!$K$2:$K$401,0)),"")</f>
      </c>
      <c r="J215" s="22">
        <f>IFERROR(INDEX(_datos!$I$2:$I$401,MATCH(ROW()-13,_datos!$K$2:$K$401,0)),"")</f>
      </c>
      <c r="K215" s="44">
        <f>IFERROR(HYPERLINK(INDEX(_datos!$J$2:$J$401,MATCH(ROW()-13,_datos!$K$2:$K$401,0)),"abrir mapa"),"")</f>
      </c>
    </row>
    <row r="216" ht="18.75" customHeight="1" spans="2:11" x14ac:dyDescent="0.25">
      <c r="B216" s="20">
        <f>IFERROR(INDEX(_datos!$A$2:$A$401,MATCH(ROW()-13,_datos!$K$2:$K$401,0)),"")</f>
      </c>
      <c r="C216" s="22">
        <f>IFERROR(INDEX(_datos!$B$2:$B$401,MATCH(ROW()-13,_datos!$K$2:$K$401,0)),"")</f>
      </c>
      <c r="D216" s="43">
        <f>IFERROR(INDEX(_datos!$C$2:$C$401,MATCH(ROW()-13,_datos!$K$2:$K$401,0)),"")</f>
      </c>
      <c r="E216" s="22">
        <f>IFERROR(INDEX(_datos!$D$2:$D$401,MATCH(ROW()-13,_datos!$K$2:$K$401,0)),"")</f>
      </c>
      <c r="F216" s="21">
        <f>IFERROR(INDEX(_datos!$E$2:$E$401,MATCH(ROW()-13,_datos!$K$2:$K$401,0)),"")</f>
      </c>
      <c r="G216" s="23">
        <f>IFERROR(INDEX(_datos!$F$2:$F$401,MATCH(ROW()-13,_datos!$K$2:$K$401,0)),"")</f>
      </c>
      <c r="H216" s="21">
        <f>IFERROR(INDEX(_datos!$G$2:$G$401,MATCH(ROW()-13,_datos!$K$2:$K$401,0)),"")</f>
      </c>
      <c r="I216" s="24">
        <f>IFERROR(INDEX(_datos!$H$2:$H$401,MATCH(ROW()-13,_datos!$K$2:$K$401,0)),"")</f>
      </c>
      <c r="J216" s="22">
        <f>IFERROR(INDEX(_datos!$I$2:$I$401,MATCH(ROW()-13,_datos!$K$2:$K$401,0)),"")</f>
      </c>
      <c r="K216" s="44">
        <f>IFERROR(HYPERLINK(INDEX(_datos!$J$2:$J$401,MATCH(ROW()-13,_datos!$K$2:$K$401,0)),"abrir mapa"),"")</f>
      </c>
    </row>
    <row r="217" ht="18.75" customHeight="1" spans="2:11" x14ac:dyDescent="0.25">
      <c r="B217" s="20">
        <f>IFERROR(INDEX(_datos!$A$2:$A$401,MATCH(ROW()-13,_datos!$K$2:$K$401,0)),"")</f>
      </c>
      <c r="C217" s="22">
        <f>IFERROR(INDEX(_datos!$B$2:$B$401,MATCH(ROW()-13,_datos!$K$2:$K$401,0)),"")</f>
      </c>
      <c r="D217" s="43">
        <f>IFERROR(INDEX(_datos!$C$2:$C$401,MATCH(ROW()-13,_datos!$K$2:$K$401,0)),"")</f>
      </c>
      <c r="E217" s="22">
        <f>IFERROR(INDEX(_datos!$D$2:$D$401,MATCH(ROW()-13,_datos!$K$2:$K$401,0)),"")</f>
      </c>
      <c r="F217" s="21">
        <f>IFERROR(INDEX(_datos!$E$2:$E$401,MATCH(ROW()-13,_datos!$K$2:$K$401,0)),"")</f>
      </c>
      <c r="G217" s="23">
        <f>IFERROR(INDEX(_datos!$F$2:$F$401,MATCH(ROW()-13,_datos!$K$2:$K$401,0)),"")</f>
      </c>
      <c r="H217" s="21">
        <f>IFERROR(INDEX(_datos!$G$2:$G$401,MATCH(ROW()-13,_datos!$K$2:$K$401,0)),"")</f>
      </c>
      <c r="I217" s="24">
        <f>IFERROR(INDEX(_datos!$H$2:$H$401,MATCH(ROW()-13,_datos!$K$2:$K$401,0)),"")</f>
      </c>
      <c r="J217" s="22">
        <f>IFERROR(INDEX(_datos!$I$2:$I$401,MATCH(ROW()-13,_datos!$K$2:$K$401,0)),"")</f>
      </c>
      <c r="K217" s="44">
        <f>IFERROR(HYPERLINK(INDEX(_datos!$J$2:$J$401,MATCH(ROW()-13,_datos!$K$2:$K$401,0)),"abrir mapa"),"")</f>
      </c>
    </row>
    <row r="218" ht="18.75" customHeight="1" spans="2:11" x14ac:dyDescent="0.25">
      <c r="B218" s="20">
        <f>IFERROR(INDEX(_datos!$A$2:$A$401,MATCH(ROW()-13,_datos!$K$2:$K$401,0)),"")</f>
      </c>
      <c r="C218" s="22">
        <f>IFERROR(INDEX(_datos!$B$2:$B$401,MATCH(ROW()-13,_datos!$K$2:$K$401,0)),"")</f>
      </c>
      <c r="D218" s="43">
        <f>IFERROR(INDEX(_datos!$C$2:$C$401,MATCH(ROW()-13,_datos!$K$2:$K$401,0)),"")</f>
      </c>
      <c r="E218" s="22">
        <f>IFERROR(INDEX(_datos!$D$2:$D$401,MATCH(ROW()-13,_datos!$K$2:$K$401,0)),"")</f>
      </c>
      <c r="F218" s="21">
        <f>IFERROR(INDEX(_datos!$E$2:$E$401,MATCH(ROW()-13,_datos!$K$2:$K$401,0)),"")</f>
      </c>
      <c r="G218" s="23">
        <f>IFERROR(INDEX(_datos!$F$2:$F$401,MATCH(ROW()-13,_datos!$K$2:$K$401,0)),"")</f>
      </c>
      <c r="H218" s="21">
        <f>IFERROR(INDEX(_datos!$G$2:$G$401,MATCH(ROW()-13,_datos!$K$2:$K$401,0)),"")</f>
      </c>
      <c r="I218" s="24">
        <f>IFERROR(INDEX(_datos!$H$2:$H$401,MATCH(ROW()-13,_datos!$K$2:$K$401,0)),"")</f>
      </c>
      <c r="J218" s="22">
        <f>IFERROR(INDEX(_datos!$I$2:$I$401,MATCH(ROW()-13,_datos!$K$2:$K$401,0)),"")</f>
      </c>
      <c r="K218" s="44">
        <f>IFERROR(HYPERLINK(INDEX(_datos!$J$2:$J$401,MATCH(ROW()-13,_datos!$K$2:$K$401,0)),"abrir mapa"),"")</f>
      </c>
    </row>
    <row r="219" ht="18.75" customHeight="1" spans="2:11" x14ac:dyDescent="0.25">
      <c r="B219" s="20">
        <f>IFERROR(INDEX(_datos!$A$2:$A$401,MATCH(ROW()-13,_datos!$K$2:$K$401,0)),"")</f>
      </c>
      <c r="C219" s="22">
        <f>IFERROR(INDEX(_datos!$B$2:$B$401,MATCH(ROW()-13,_datos!$K$2:$K$401,0)),"")</f>
      </c>
      <c r="D219" s="43">
        <f>IFERROR(INDEX(_datos!$C$2:$C$401,MATCH(ROW()-13,_datos!$K$2:$K$401,0)),"")</f>
      </c>
      <c r="E219" s="22">
        <f>IFERROR(INDEX(_datos!$D$2:$D$401,MATCH(ROW()-13,_datos!$K$2:$K$401,0)),"")</f>
      </c>
      <c r="F219" s="21">
        <f>IFERROR(INDEX(_datos!$E$2:$E$401,MATCH(ROW()-13,_datos!$K$2:$K$401,0)),"")</f>
      </c>
      <c r="G219" s="23">
        <f>IFERROR(INDEX(_datos!$F$2:$F$401,MATCH(ROW()-13,_datos!$K$2:$K$401,0)),"")</f>
      </c>
      <c r="H219" s="21">
        <f>IFERROR(INDEX(_datos!$G$2:$G$401,MATCH(ROW()-13,_datos!$K$2:$K$401,0)),"")</f>
      </c>
      <c r="I219" s="24">
        <f>IFERROR(INDEX(_datos!$H$2:$H$401,MATCH(ROW()-13,_datos!$K$2:$K$401,0)),"")</f>
      </c>
      <c r="J219" s="22">
        <f>IFERROR(INDEX(_datos!$I$2:$I$401,MATCH(ROW()-13,_datos!$K$2:$K$401,0)),"")</f>
      </c>
      <c r="K219" s="44">
        <f>IFERROR(HYPERLINK(INDEX(_datos!$J$2:$J$401,MATCH(ROW()-13,_datos!$K$2:$K$401,0)),"abrir mapa"),"")</f>
      </c>
    </row>
    <row r="220" ht="18.75" customHeight="1" spans="2:11" x14ac:dyDescent="0.25">
      <c r="B220" s="20">
        <f>IFERROR(INDEX(_datos!$A$2:$A$401,MATCH(ROW()-13,_datos!$K$2:$K$401,0)),"")</f>
      </c>
      <c r="C220" s="22">
        <f>IFERROR(INDEX(_datos!$B$2:$B$401,MATCH(ROW()-13,_datos!$K$2:$K$401,0)),"")</f>
      </c>
      <c r="D220" s="43">
        <f>IFERROR(INDEX(_datos!$C$2:$C$401,MATCH(ROW()-13,_datos!$K$2:$K$401,0)),"")</f>
      </c>
      <c r="E220" s="22">
        <f>IFERROR(INDEX(_datos!$D$2:$D$401,MATCH(ROW()-13,_datos!$K$2:$K$401,0)),"")</f>
      </c>
      <c r="F220" s="21">
        <f>IFERROR(INDEX(_datos!$E$2:$E$401,MATCH(ROW()-13,_datos!$K$2:$K$401,0)),"")</f>
      </c>
      <c r="G220" s="23">
        <f>IFERROR(INDEX(_datos!$F$2:$F$401,MATCH(ROW()-13,_datos!$K$2:$K$401,0)),"")</f>
      </c>
      <c r="H220" s="21">
        <f>IFERROR(INDEX(_datos!$G$2:$G$401,MATCH(ROW()-13,_datos!$K$2:$K$401,0)),"")</f>
      </c>
      <c r="I220" s="24">
        <f>IFERROR(INDEX(_datos!$H$2:$H$401,MATCH(ROW()-13,_datos!$K$2:$K$401,0)),"")</f>
      </c>
      <c r="J220" s="22">
        <f>IFERROR(INDEX(_datos!$I$2:$I$401,MATCH(ROW()-13,_datos!$K$2:$K$401,0)),"")</f>
      </c>
      <c r="K220" s="44">
        <f>IFERROR(HYPERLINK(INDEX(_datos!$J$2:$J$401,MATCH(ROW()-13,_datos!$K$2:$K$401,0)),"abrir mapa"),"")</f>
      </c>
    </row>
    <row r="221" ht="18.75" customHeight="1" spans="2:11" x14ac:dyDescent="0.25">
      <c r="B221" s="20">
        <f>IFERROR(INDEX(_datos!$A$2:$A$401,MATCH(ROW()-13,_datos!$K$2:$K$401,0)),"")</f>
      </c>
      <c r="C221" s="22">
        <f>IFERROR(INDEX(_datos!$B$2:$B$401,MATCH(ROW()-13,_datos!$K$2:$K$401,0)),"")</f>
      </c>
      <c r="D221" s="43">
        <f>IFERROR(INDEX(_datos!$C$2:$C$401,MATCH(ROW()-13,_datos!$K$2:$K$401,0)),"")</f>
      </c>
      <c r="E221" s="22">
        <f>IFERROR(INDEX(_datos!$D$2:$D$401,MATCH(ROW()-13,_datos!$K$2:$K$401,0)),"")</f>
      </c>
      <c r="F221" s="21">
        <f>IFERROR(INDEX(_datos!$E$2:$E$401,MATCH(ROW()-13,_datos!$K$2:$K$401,0)),"")</f>
      </c>
      <c r="G221" s="23">
        <f>IFERROR(INDEX(_datos!$F$2:$F$401,MATCH(ROW()-13,_datos!$K$2:$K$401,0)),"")</f>
      </c>
      <c r="H221" s="21">
        <f>IFERROR(INDEX(_datos!$G$2:$G$401,MATCH(ROW()-13,_datos!$K$2:$K$401,0)),"")</f>
      </c>
      <c r="I221" s="24">
        <f>IFERROR(INDEX(_datos!$H$2:$H$401,MATCH(ROW()-13,_datos!$K$2:$K$401,0)),"")</f>
      </c>
      <c r="J221" s="22">
        <f>IFERROR(INDEX(_datos!$I$2:$I$401,MATCH(ROW()-13,_datos!$K$2:$K$401,0)),"")</f>
      </c>
      <c r="K221" s="44">
        <f>IFERROR(HYPERLINK(INDEX(_datos!$J$2:$J$401,MATCH(ROW()-13,_datos!$K$2:$K$401,0)),"abrir mapa"),"")</f>
      </c>
    </row>
    <row r="222" ht="18.75" customHeight="1" spans="2:11" x14ac:dyDescent="0.25">
      <c r="B222" s="20">
        <f>IFERROR(INDEX(_datos!$A$2:$A$401,MATCH(ROW()-13,_datos!$K$2:$K$401,0)),"")</f>
      </c>
      <c r="C222" s="22">
        <f>IFERROR(INDEX(_datos!$B$2:$B$401,MATCH(ROW()-13,_datos!$K$2:$K$401,0)),"")</f>
      </c>
      <c r="D222" s="43">
        <f>IFERROR(INDEX(_datos!$C$2:$C$401,MATCH(ROW()-13,_datos!$K$2:$K$401,0)),"")</f>
      </c>
      <c r="E222" s="22">
        <f>IFERROR(INDEX(_datos!$D$2:$D$401,MATCH(ROW()-13,_datos!$K$2:$K$401,0)),"")</f>
      </c>
      <c r="F222" s="21">
        <f>IFERROR(INDEX(_datos!$E$2:$E$401,MATCH(ROW()-13,_datos!$K$2:$K$401,0)),"")</f>
      </c>
      <c r="G222" s="23">
        <f>IFERROR(INDEX(_datos!$F$2:$F$401,MATCH(ROW()-13,_datos!$K$2:$K$401,0)),"")</f>
      </c>
      <c r="H222" s="21">
        <f>IFERROR(INDEX(_datos!$G$2:$G$401,MATCH(ROW()-13,_datos!$K$2:$K$401,0)),"")</f>
      </c>
      <c r="I222" s="24">
        <f>IFERROR(INDEX(_datos!$H$2:$H$401,MATCH(ROW()-13,_datos!$K$2:$K$401,0)),"")</f>
      </c>
      <c r="J222" s="22">
        <f>IFERROR(INDEX(_datos!$I$2:$I$401,MATCH(ROW()-13,_datos!$K$2:$K$401,0)),"")</f>
      </c>
      <c r="K222" s="44">
        <f>IFERROR(HYPERLINK(INDEX(_datos!$J$2:$J$401,MATCH(ROW()-13,_datos!$K$2:$K$401,0)),"abrir mapa"),"")</f>
      </c>
    </row>
    <row r="223" ht="18.75" customHeight="1" spans="2:11" x14ac:dyDescent="0.25">
      <c r="B223" s="20">
        <f>IFERROR(INDEX(_datos!$A$2:$A$401,MATCH(ROW()-13,_datos!$K$2:$K$401,0)),"")</f>
      </c>
      <c r="C223" s="22">
        <f>IFERROR(INDEX(_datos!$B$2:$B$401,MATCH(ROW()-13,_datos!$K$2:$K$401,0)),"")</f>
      </c>
      <c r="D223" s="43">
        <f>IFERROR(INDEX(_datos!$C$2:$C$401,MATCH(ROW()-13,_datos!$K$2:$K$401,0)),"")</f>
      </c>
      <c r="E223" s="22">
        <f>IFERROR(INDEX(_datos!$D$2:$D$401,MATCH(ROW()-13,_datos!$K$2:$K$401,0)),"")</f>
      </c>
      <c r="F223" s="21">
        <f>IFERROR(INDEX(_datos!$E$2:$E$401,MATCH(ROW()-13,_datos!$K$2:$K$401,0)),"")</f>
      </c>
      <c r="G223" s="23">
        <f>IFERROR(INDEX(_datos!$F$2:$F$401,MATCH(ROW()-13,_datos!$K$2:$K$401,0)),"")</f>
      </c>
      <c r="H223" s="21">
        <f>IFERROR(INDEX(_datos!$G$2:$G$401,MATCH(ROW()-13,_datos!$K$2:$K$401,0)),"")</f>
      </c>
      <c r="I223" s="24">
        <f>IFERROR(INDEX(_datos!$H$2:$H$401,MATCH(ROW()-13,_datos!$K$2:$K$401,0)),"")</f>
      </c>
      <c r="J223" s="22">
        <f>IFERROR(INDEX(_datos!$I$2:$I$401,MATCH(ROW()-13,_datos!$K$2:$K$401,0)),"")</f>
      </c>
      <c r="K223" s="44">
        <f>IFERROR(HYPERLINK(INDEX(_datos!$J$2:$J$401,MATCH(ROW()-13,_datos!$K$2:$K$401,0)),"abrir mapa"),"")</f>
      </c>
    </row>
    <row r="224" ht="18.75" customHeight="1" spans="2:11" x14ac:dyDescent="0.25">
      <c r="B224" s="20">
        <f>IFERROR(INDEX(_datos!$A$2:$A$401,MATCH(ROW()-13,_datos!$K$2:$K$401,0)),"")</f>
      </c>
      <c r="C224" s="22">
        <f>IFERROR(INDEX(_datos!$B$2:$B$401,MATCH(ROW()-13,_datos!$K$2:$K$401,0)),"")</f>
      </c>
      <c r="D224" s="43">
        <f>IFERROR(INDEX(_datos!$C$2:$C$401,MATCH(ROW()-13,_datos!$K$2:$K$401,0)),"")</f>
      </c>
      <c r="E224" s="22">
        <f>IFERROR(INDEX(_datos!$D$2:$D$401,MATCH(ROW()-13,_datos!$K$2:$K$401,0)),"")</f>
      </c>
      <c r="F224" s="21">
        <f>IFERROR(INDEX(_datos!$E$2:$E$401,MATCH(ROW()-13,_datos!$K$2:$K$401,0)),"")</f>
      </c>
      <c r="G224" s="23">
        <f>IFERROR(INDEX(_datos!$F$2:$F$401,MATCH(ROW()-13,_datos!$K$2:$K$401,0)),"")</f>
      </c>
      <c r="H224" s="21">
        <f>IFERROR(INDEX(_datos!$G$2:$G$401,MATCH(ROW()-13,_datos!$K$2:$K$401,0)),"")</f>
      </c>
      <c r="I224" s="24">
        <f>IFERROR(INDEX(_datos!$H$2:$H$401,MATCH(ROW()-13,_datos!$K$2:$K$401,0)),"")</f>
      </c>
      <c r="J224" s="22">
        <f>IFERROR(INDEX(_datos!$I$2:$I$401,MATCH(ROW()-13,_datos!$K$2:$K$401,0)),"")</f>
      </c>
      <c r="K224" s="44">
        <f>IFERROR(HYPERLINK(INDEX(_datos!$J$2:$J$401,MATCH(ROW()-13,_datos!$K$2:$K$401,0)),"abrir mapa"),"")</f>
      </c>
    </row>
    <row r="225" ht="18.75" customHeight="1" spans="2:11" x14ac:dyDescent="0.25">
      <c r="B225" s="20">
        <f>IFERROR(INDEX(_datos!$A$2:$A$401,MATCH(ROW()-13,_datos!$K$2:$K$401,0)),"")</f>
      </c>
      <c r="C225" s="22">
        <f>IFERROR(INDEX(_datos!$B$2:$B$401,MATCH(ROW()-13,_datos!$K$2:$K$401,0)),"")</f>
      </c>
      <c r="D225" s="43">
        <f>IFERROR(INDEX(_datos!$C$2:$C$401,MATCH(ROW()-13,_datos!$K$2:$K$401,0)),"")</f>
      </c>
      <c r="E225" s="22">
        <f>IFERROR(INDEX(_datos!$D$2:$D$401,MATCH(ROW()-13,_datos!$K$2:$K$401,0)),"")</f>
      </c>
      <c r="F225" s="21">
        <f>IFERROR(INDEX(_datos!$E$2:$E$401,MATCH(ROW()-13,_datos!$K$2:$K$401,0)),"")</f>
      </c>
      <c r="G225" s="23">
        <f>IFERROR(INDEX(_datos!$F$2:$F$401,MATCH(ROW()-13,_datos!$K$2:$K$401,0)),"")</f>
      </c>
      <c r="H225" s="21">
        <f>IFERROR(INDEX(_datos!$G$2:$G$401,MATCH(ROW()-13,_datos!$K$2:$K$401,0)),"")</f>
      </c>
      <c r="I225" s="24">
        <f>IFERROR(INDEX(_datos!$H$2:$H$401,MATCH(ROW()-13,_datos!$K$2:$K$401,0)),"")</f>
      </c>
      <c r="J225" s="22">
        <f>IFERROR(INDEX(_datos!$I$2:$I$401,MATCH(ROW()-13,_datos!$K$2:$K$401,0)),"")</f>
      </c>
      <c r="K225" s="44">
        <f>IFERROR(HYPERLINK(INDEX(_datos!$J$2:$J$401,MATCH(ROW()-13,_datos!$K$2:$K$401,0)),"abrir mapa"),"")</f>
      </c>
    </row>
    <row r="226" ht="18.75" customHeight="1" spans="2:11" x14ac:dyDescent="0.25">
      <c r="B226" s="20">
        <f>IFERROR(INDEX(_datos!$A$2:$A$401,MATCH(ROW()-13,_datos!$K$2:$K$401,0)),"")</f>
      </c>
      <c r="C226" s="22">
        <f>IFERROR(INDEX(_datos!$B$2:$B$401,MATCH(ROW()-13,_datos!$K$2:$K$401,0)),"")</f>
      </c>
      <c r="D226" s="43">
        <f>IFERROR(INDEX(_datos!$C$2:$C$401,MATCH(ROW()-13,_datos!$K$2:$K$401,0)),"")</f>
      </c>
      <c r="E226" s="22">
        <f>IFERROR(INDEX(_datos!$D$2:$D$401,MATCH(ROW()-13,_datos!$K$2:$K$401,0)),"")</f>
      </c>
      <c r="F226" s="21">
        <f>IFERROR(INDEX(_datos!$E$2:$E$401,MATCH(ROW()-13,_datos!$K$2:$K$401,0)),"")</f>
      </c>
      <c r="G226" s="23">
        <f>IFERROR(INDEX(_datos!$F$2:$F$401,MATCH(ROW()-13,_datos!$K$2:$K$401,0)),"")</f>
      </c>
      <c r="H226" s="21">
        <f>IFERROR(INDEX(_datos!$G$2:$G$401,MATCH(ROW()-13,_datos!$K$2:$K$401,0)),"")</f>
      </c>
      <c r="I226" s="24">
        <f>IFERROR(INDEX(_datos!$H$2:$H$401,MATCH(ROW()-13,_datos!$K$2:$K$401,0)),"")</f>
      </c>
      <c r="J226" s="22">
        <f>IFERROR(INDEX(_datos!$I$2:$I$401,MATCH(ROW()-13,_datos!$K$2:$K$401,0)),"")</f>
      </c>
      <c r="K226" s="44">
        <f>IFERROR(HYPERLINK(INDEX(_datos!$J$2:$J$401,MATCH(ROW()-13,_datos!$K$2:$K$401,0)),"abrir mapa"),"")</f>
      </c>
    </row>
    <row r="227" ht="18.75" customHeight="1" spans="2:11" x14ac:dyDescent="0.25">
      <c r="B227" s="20">
        <f>IFERROR(INDEX(_datos!$A$2:$A$401,MATCH(ROW()-13,_datos!$K$2:$K$401,0)),"")</f>
      </c>
      <c r="C227" s="22">
        <f>IFERROR(INDEX(_datos!$B$2:$B$401,MATCH(ROW()-13,_datos!$K$2:$K$401,0)),"")</f>
      </c>
      <c r="D227" s="43">
        <f>IFERROR(INDEX(_datos!$C$2:$C$401,MATCH(ROW()-13,_datos!$K$2:$K$401,0)),"")</f>
      </c>
      <c r="E227" s="22">
        <f>IFERROR(INDEX(_datos!$D$2:$D$401,MATCH(ROW()-13,_datos!$K$2:$K$401,0)),"")</f>
      </c>
      <c r="F227" s="21">
        <f>IFERROR(INDEX(_datos!$E$2:$E$401,MATCH(ROW()-13,_datos!$K$2:$K$401,0)),"")</f>
      </c>
      <c r="G227" s="23">
        <f>IFERROR(INDEX(_datos!$F$2:$F$401,MATCH(ROW()-13,_datos!$K$2:$K$401,0)),"")</f>
      </c>
      <c r="H227" s="21">
        <f>IFERROR(INDEX(_datos!$G$2:$G$401,MATCH(ROW()-13,_datos!$K$2:$K$401,0)),"")</f>
      </c>
      <c r="I227" s="24">
        <f>IFERROR(INDEX(_datos!$H$2:$H$401,MATCH(ROW()-13,_datos!$K$2:$K$401,0)),"")</f>
      </c>
      <c r="J227" s="22">
        <f>IFERROR(INDEX(_datos!$I$2:$I$401,MATCH(ROW()-13,_datos!$K$2:$K$401,0)),"")</f>
      </c>
      <c r="K227" s="44">
        <f>IFERROR(HYPERLINK(INDEX(_datos!$J$2:$J$401,MATCH(ROW()-13,_datos!$K$2:$K$401,0)),"abrir mapa"),"")</f>
      </c>
    </row>
    <row r="228" ht="18.75" customHeight="1" spans="2:11" x14ac:dyDescent="0.25">
      <c r="B228" s="20">
        <f>IFERROR(INDEX(_datos!$A$2:$A$401,MATCH(ROW()-13,_datos!$K$2:$K$401,0)),"")</f>
      </c>
      <c r="C228" s="22">
        <f>IFERROR(INDEX(_datos!$B$2:$B$401,MATCH(ROW()-13,_datos!$K$2:$K$401,0)),"")</f>
      </c>
      <c r="D228" s="43">
        <f>IFERROR(INDEX(_datos!$C$2:$C$401,MATCH(ROW()-13,_datos!$K$2:$K$401,0)),"")</f>
      </c>
      <c r="E228" s="22">
        <f>IFERROR(INDEX(_datos!$D$2:$D$401,MATCH(ROW()-13,_datos!$K$2:$K$401,0)),"")</f>
      </c>
      <c r="F228" s="21">
        <f>IFERROR(INDEX(_datos!$E$2:$E$401,MATCH(ROW()-13,_datos!$K$2:$K$401,0)),"")</f>
      </c>
      <c r="G228" s="23">
        <f>IFERROR(INDEX(_datos!$F$2:$F$401,MATCH(ROW()-13,_datos!$K$2:$K$401,0)),"")</f>
      </c>
      <c r="H228" s="21">
        <f>IFERROR(INDEX(_datos!$G$2:$G$401,MATCH(ROW()-13,_datos!$K$2:$K$401,0)),"")</f>
      </c>
      <c r="I228" s="24">
        <f>IFERROR(INDEX(_datos!$H$2:$H$401,MATCH(ROW()-13,_datos!$K$2:$K$401,0)),"")</f>
      </c>
      <c r="J228" s="22">
        <f>IFERROR(INDEX(_datos!$I$2:$I$401,MATCH(ROW()-13,_datos!$K$2:$K$401,0)),"")</f>
      </c>
      <c r="K228" s="44">
        <f>IFERROR(HYPERLINK(INDEX(_datos!$J$2:$J$401,MATCH(ROW()-13,_datos!$K$2:$K$401,0)),"abrir mapa"),"")</f>
      </c>
    </row>
    <row r="229" ht="18.75" customHeight="1" spans="2:11" x14ac:dyDescent="0.25">
      <c r="B229" s="20">
        <f>IFERROR(INDEX(_datos!$A$2:$A$401,MATCH(ROW()-13,_datos!$K$2:$K$401,0)),"")</f>
      </c>
      <c r="C229" s="22">
        <f>IFERROR(INDEX(_datos!$B$2:$B$401,MATCH(ROW()-13,_datos!$K$2:$K$401,0)),"")</f>
      </c>
      <c r="D229" s="43">
        <f>IFERROR(INDEX(_datos!$C$2:$C$401,MATCH(ROW()-13,_datos!$K$2:$K$401,0)),"")</f>
      </c>
      <c r="E229" s="22">
        <f>IFERROR(INDEX(_datos!$D$2:$D$401,MATCH(ROW()-13,_datos!$K$2:$K$401,0)),"")</f>
      </c>
      <c r="F229" s="21">
        <f>IFERROR(INDEX(_datos!$E$2:$E$401,MATCH(ROW()-13,_datos!$K$2:$K$401,0)),"")</f>
      </c>
      <c r="G229" s="23">
        <f>IFERROR(INDEX(_datos!$F$2:$F$401,MATCH(ROW()-13,_datos!$K$2:$K$401,0)),"")</f>
      </c>
      <c r="H229" s="21">
        <f>IFERROR(INDEX(_datos!$G$2:$G$401,MATCH(ROW()-13,_datos!$K$2:$K$401,0)),"")</f>
      </c>
      <c r="I229" s="24">
        <f>IFERROR(INDEX(_datos!$H$2:$H$401,MATCH(ROW()-13,_datos!$K$2:$K$401,0)),"")</f>
      </c>
      <c r="J229" s="22">
        <f>IFERROR(INDEX(_datos!$I$2:$I$401,MATCH(ROW()-13,_datos!$K$2:$K$401,0)),"")</f>
      </c>
      <c r="K229" s="44">
        <f>IFERROR(HYPERLINK(INDEX(_datos!$J$2:$J$401,MATCH(ROW()-13,_datos!$K$2:$K$401,0)),"abrir mapa"),"")</f>
      </c>
    </row>
    <row r="230" ht="18.75" customHeight="1" spans="2:11" x14ac:dyDescent="0.25">
      <c r="B230" s="20">
        <f>IFERROR(INDEX(_datos!$A$2:$A$401,MATCH(ROW()-13,_datos!$K$2:$K$401,0)),"")</f>
      </c>
      <c r="C230" s="22">
        <f>IFERROR(INDEX(_datos!$B$2:$B$401,MATCH(ROW()-13,_datos!$K$2:$K$401,0)),"")</f>
      </c>
      <c r="D230" s="43">
        <f>IFERROR(INDEX(_datos!$C$2:$C$401,MATCH(ROW()-13,_datos!$K$2:$K$401,0)),"")</f>
      </c>
      <c r="E230" s="22">
        <f>IFERROR(INDEX(_datos!$D$2:$D$401,MATCH(ROW()-13,_datos!$K$2:$K$401,0)),"")</f>
      </c>
      <c r="F230" s="21">
        <f>IFERROR(INDEX(_datos!$E$2:$E$401,MATCH(ROW()-13,_datos!$K$2:$K$401,0)),"")</f>
      </c>
      <c r="G230" s="23">
        <f>IFERROR(INDEX(_datos!$F$2:$F$401,MATCH(ROW()-13,_datos!$K$2:$K$401,0)),"")</f>
      </c>
      <c r="H230" s="21">
        <f>IFERROR(INDEX(_datos!$G$2:$G$401,MATCH(ROW()-13,_datos!$K$2:$K$401,0)),"")</f>
      </c>
      <c r="I230" s="24">
        <f>IFERROR(INDEX(_datos!$H$2:$H$401,MATCH(ROW()-13,_datos!$K$2:$K$401,0)),"")</f>
      </c>
      <c r="J230" s="22">
        <f>IFERROR(INDEX(_datos!$I$2:$I$401,MATCH(ROW()-13,_datos!$K$2:$K$401,0)),"")</f>
      </c>
      <c r="K230" s="44">
        <f>IFERROR(HYPERLINK(INDEX(_datos!$J$2:$J$401,MATCH(ROW()-13,_datos!$K$2:$K$401,0)),"abrir mapa"),"")</f>
      </c>
    </row>
    <row r="231" ht="18.75" customHeight="1" spans="2:11" x14ac:dyDescent="0.25">
      <c r="B231" s="20">
        <f>IFERROR(INDEX(_datos!$A$2:$A$401,MATCH(ROW()-13,_datos!$K$2:$K$401,0)),"")</f>
      </c>
      <c r="C231" s="22">
        <f>IFERROR(INDEX(_datos!$B$2:$B$401,MATCH(ROW()-13,_datos!$K$2:$K$401,0)),"")</f>
      </c>
      <c r="D231" s="43">
        <f>IFERROR(INDEX(_datos!$C$2:$C$401,MATCH(ROW()-13,_datos!$K$2:$K$401,0)),"")</f>
      </c>
      <c r="E231" s="22">
        <f>IFERROR(INDEX(_datos!$D$2:$D$401,MATCH(ROW()-13,_datos!$K$2:$K$401,0)),"")</f>
      </c>
      <c r="F231" s="21">
        <f>IFERROR(INDEX(_datos!$E$2:$E$401,MATCH(ROW()-13,_datos!$K$2:$K$401,0)),"")</f>
      </c>
      <c r="G231" s="23">
        <f>IFERROR(INDEX(_datos!$F$2:$F$401,MATCH(ROW()-13,_datos!$K$2:$K$401,0)),"")</f>
      </c>
      <c r="H231" s="21">
        <f>IFERROR(INDEX(_datos!$G$2:$G$401,MATCH(ROW()-13,_datos!$K$2:$K$401,0)),"")</f>
      </c>
      <c r="I231" s="24">
        <f>IFERROR(INDEX(_datos!$H$2:$H$401,MATCH(ROW()-13,_datos!$K$2:$K$401,0)),"")</f>
      </c>
      <c r="J231" s="22">
        <f>IFERROR(INDEX(_datos!$I$2:$I$401,MATCH(ROW()-13,_datos!$K$2:$K$401,0)),"")</f>
      </c>
      <c r="K231" s="44">
        <f>IFERROR(HYPERLINK(INDEX(_datos!$J$2:$J$401,MATCH(ROW()-13,_datos!$K$2:$K$401,0)),"abrir mapa"),"")</f>
      </c>
    </row>
    <row r="232" ht="18.75" customHeight="1" spans="2:11" x14ac:dyDescent="0.25">
      <c r="B232" s="20">
        <f>IFERROR(INDEX(_datos!$A$2:$A$401,MATCH(ROW()-13,_datos!$K$2:$K$401,0)),"")</f>
      </c>
      <c r="C232" s="22">
        <f>IFERROR(INDEX(_datos!$B$2:$B$401,MATCH(ROW()-13,_datos!$K$2:$K$401,0)),"")</f>
      </c>
      <c r="D232" s="43">
        <f>IFERROR(INDEX(_datos!$C$2:$C$401,MATCH(ROW()-13,_datos!$K$2:$K$401,0)),"")</f>
      </c>
      <c r="E232" s="22">
        <f>IFERROR(INDEX(_datos!$D$2:$D$401,MATCH(ROW()-13,_datos!$K$2:$K$401,0)),"")</f>
      </c>
      <c r="F232" s="21">
        <f>IFERROR(INDEX(_datos!$E$2:$E$401,MATCH(ROW()-13,_datos!$K$2:$K$401,0)),"")</f>
      </c>
      <c r="G232" s="23">
        <f>IFERROR(INDEX(_datos!$F$2:$F$401,MATCH(ROW()-13,_datos!$K$2:$K$401,0)),"")</f>
      </c>
      <c r="H232" s="21">
        <f>IFERROR(INDEX(_datos!$G$2:$G$401,MATCH(ROW()-13,_datos!$K$2:$K$401,0)),"")</f>
      </c>
      <c r="I232" s="24">
        <f>IFERROR(INDEX(_datos!$H$2:$H$401,MATCH(ROW()-13,_datos!$K$2:$K$401,0)),"")</f>
      </c>
      <c r="J232" s="22">
        <f>IFERROR(INDEX(_datos!$I$2:$I$401,MATCH(ROW()-13,_datos!$K$2:$K$401,0)),"")</f>
      </c>
      <c r="K232" s="44">
        <f>IFERROR(HYPERLINK(INDEX(_datos!$J$2:$J$401,MATCH(ROW()-13,_datos!$K$2:$K$401,0)),"abrir mapa"),"")</f>
      </c>
    </row>
    <row r="233" ht="18.75" customHeight="1" spans="2:11" x14ac:dyDescent="0.25">
      <c r="B233" s="20">
        <f>IFERROR(INDEX(_datos!$A$2:$A$401,MATCH(ROW()-13,_datos!$K$2:$K$401,0)),"")</f>
      </c>
      <c r="C233" s="22">
        <f>IFERROR(INDEX(_datos!$B$2:$B$401,MATCH(ROW()-13,_datos!$K$2:$K$401,0)),"")</f>
      </c>
      <c r="D233" s="43">
        <f>IFERROR(INDEX(_datos!$C$2:$C$401,MATCH(ROW()-13,_datos!$K$2:$K$401,0)),"")</f>
      </c>
      <c r="E233" s="22">
        <f>IFERROR(INDEX(_datos!$D$2:$D$401,MATCH(ROW()-13,_datos!$K$2:$K$401,0)),"")</f>
      </c>
      <c r="F233" s="21">
        <f>IFERROR(INDEX(_datos!$E$2:$E$401,MATCH(ROW()-13,_datos!$K$2:$K$401,0)),"")</f>
      </c>
      <c r="G233" s="23">
        <f>IFERROR(INDEX(_datos!$F$2:$F$401,MATCH(ROW()-13,_datos!$K$2:$K$401,0)),"")</f>
      </c>
      <c r="H233" s="21">
        <f>IFERROR(INDEX(_datos!$G$2:$G$401,MATCH(ROW()-13,_datos!$K$2:$K$401,0)),"")</f>
      </c>
      <c r="I233" s="24">
        <f>IFERROR(INDEX(_datos!$H$2:$H$401,MATCH(ROW()-13,_datos!$K$2:$K$401,0)),"")</f>
      </c>
      <c r="J233" s="22">
        <f>IFERROR(INDEX(_datos!$I$2:$I$401,MATCH(ROW()-13,_datos!$K$2:$K$401,0)),"")</f>
      </c>
      <c r="K233" s="44">
        <f>IFERROR(HYPERLINK(INDEX(_datos!$J$2:$J$401,MATCH(ROW()-13,_datos!$K$2:$K$401,0)),"abrir mapa"),"")</f>
      </c>
    </row>
    <row r="234" ht="18.75" customHeight="1" spans="2:11" x14ac:dyDescent="0.25">
      <c r="B234" s="20">
        <f>IFERROR(INDEX(_datos!$A$2:$A$401,MATCH(ROW()-13,_datos!$K$2:$K$401,0)),"")</f>
      </c>
      <c r="C234" s="22">
        <f>IFERROR(INDEX(_datos!$B$2:$B$401,MATCH(ROW()-13,_datos!$K$2:$K$401,0)),"")</f>
      </c>
      <c r="D234" s="43">
        <f>IFERROR(INDEX(_datos!$C$2:$C$401,MATCH(ROW()-13,_datos!$K$2:$K$401,0)),"")</f>
      </c>
      <c r="E234" s="22">
        <f>IFERROR(INDEX(_datos!$D$2:$D$401,MATCH(ROW()-13,_datos!$K$2:$K$401,0)),"")</f>
      </c>
      <c r="F234" s="21">
        <f>IFERROR(INDEX(_datos!$E$2:$E$401,MATCH(ROW()-13,_datos!$K$2:$K$401,0)),"")</f>
      </c>
      <c r="G234" s="23">
        <f>IFERROR(INDEX(_datos!$F$2:$F$401,MATCH(ROW()-13,_datos!$K$2:$K$401,0)),"")</f>
      </c>
      <c r="H234" s="21">
        <f>IFERROR(INDEX(_datos!$G$2:$G$401,MATCH(ROW()-13,_datos!$K$2:$K$401,0)),"")</f>
      </c>
      <c r="I234" s="24">
        <f>IFERROR(INDEX(_datos!$H$2:$H$401,MATCH(ROW()-13,_datos!$K$2:$K$401,0)),"")</f>
      </c>
      <c r="J234" s="22">
        <f>IFERROR(INDEX(_datos!$I$2:$I$401,MATCH(ROW()-13,_datos!$K$2:$K$401,0)),"")</f>
      </c>
      <c r="K234" s="44">
        <f>IFERROR(HYPERLINK(INDEX(_datos!$J$2:$J$401,MATCH(ROW()-13,_datos!$K$2:$K$401,0)),"abrir mapa"),"")</f>
      </c>
    </row>
    <row r="235" ht="18.75" customHeight="1" spans="2:11" x14ac:dyDescent="0.25">
      <c r="B235" s="20">
        <f>IFERROR(INDEX(_datos!$A$2:$A$401,MATCH(ROW()-13,_datos!$K$2:$K$401,0)),"")</f>
      </c>
      <c r="C235" s="22">
        <f>IFERROR(INDEX(_datos!$B$2:$B$401,MATCH(ROW()-13,_datos!$K$2:$K$401,0)),"")</f>
      </c>
      <c r="D235" s="43">
        <f>IFERROR(INDEX(_datos!$C$2:$C$401,MATCH(ROW()-13,_datos!$K$2:$K$401,0)),"")</f>
      </c>
      <c r="E235" s="22">
        <f>IFERROR(INDEX(_datos!$D$2:$D$401,MATCH(ROW()-13,_datos!$K$2:$K$401,0)),"")</f>
      </c>
      <c r="F235" s="21">
        <f>IFERROR(INDEX(_datos!$E$2:$E$401,MATCH(ROW()-13,_datos!$K$2:$K$401,0)),"")</f>
      </c>
      <c r="G235" s="23">
        <f>IFERROR(INDEX(_datos!$F$2:$F$401,MATCH(ROW()-13,_datos!$K$2:$K$401,0)),"")</f>
      </c>
      <c r="H235" s="21">
        <f>IFERROR(INDEX(_datos!$G$2:$G$401,MATCH(ROW()-13,_datos!$K$2:$K$401,0)),"")</f>
      </c>
      <c r="I235" s="24">
        <f>IFERROR(INDEX(_datos!$H$2:$H$401,MATCH(ROW()-13,_datos!$K$2:$K$401,0)),"")</f>
      </c>
      <c r="J235" s="22">
        <f>IFERROR(INDEX(_datos!$I$2:$I$401,MATCH(ROW()-13,_datos!$K$2:$K$401,0)),"")</f>
      </c>
      <c r="K235" s="44">
        <f>IFERROR(HYPERLINK(INDEX(_datos!$J$2:$J$401,MATCH(ROW()-13,_datos!$K$2:$K$401,0)),"abrir mapa"),"")</f>
      </c>
    </row>
    <row r="236" ht="18.75" customHeight="1" spans="2:11" x14ac:dyDescent="0.25">
      <c r="B236" s="20">
        <f>IFERROR(INDEX(_datos!$A$2:$A$401,MATCH(ROW()-13,_datos!$K$2:$K$401,0)),"")</f>
      </c>
      <c r="C236" s="22">
        <f>IFERROR(INDEX(_datos!$B$2:$B$401,MATCH(ROW()-13,_datos!$K$2:$K$401,0)),"")</f>
      </c>
      <c r="D236" s="43">
        <f>IFERROR(INDEX(_datos!$C$2:$C$401,MATCH(ROW()-13,_datos!$K$2:$K$401,0)),"")</f>
      </c>
      <c r="E236" s="22">
        <f>IFERROR(INDEX(_datos!$D$2:$D$401,MATCH(ROW()-13,_datos!$K$2:$K$401,0)),"")</f>
      </c>
      <c r="F236" s="21">
        <f>IFERROR(INDEX(_datos!$E$2:$E$401,MATCH(ROW()-13,_datos!$K$2:$K$401,0)),"")</f>
      </c>
      <c r="G236" s="23">
        <f>IFERROR(INDEX(_datos!$F$2:$F$401,MATCH(ROW()-13,_datos!$K$2:$K$401,0)),"")</f>
      </c>
      <c r="H236" s="21">
        <f>IFERROR(INDEX(_datos!$G$2:$G$401,MATCH(ROW()-13,_datos!$K$2:$K$401,0)),"")</f>
      </c>
      <c r="I236" s="24">
        <f>IFERROR(INDEX(_datos!$H$2:$H$401,MATCH(ROW()-13,_datos!$K$2:$K$401,0)),"")</f>
      </c>
      <c r="J236" s="22">
        <f>IFERROR(INDEX(_datos!$I$2:$I$401,MATCH(ROW()-13,_datos!$K$2:$K$401,0)),"")</f>
      </c>
      <c r="K236" s="44">
        <f>IFERROR(HYPERLINK(INDEX(_datos!$J$2:$J$401,MATCH(ROW()-13,_datos!$K$2:$K$401,0)),"abrir mapa"),"")</f>
      </c>
    </row>
    <row r="237" ht="18.75" customHeight="1" spans="2:11" x14ac:dyDescent="0.25">
      <c r="B237" s="20">
        <f>IFERROR(INDEX(_datos!$A$2:$A$401,MATCH(ROW()-13,_datos!$K$2:$K$401,0)),"")</f>
      </c>
      <c r="C237" s="22">
        <f>IFERROR(INDEX(_datos!$B$2:$B$401,MATCH(ROW()-13,_datos!$K$2:$K$401,0)),"")</f>
      </c>
      <c r="D237" s="43">
        <f>IFERROR(INDEX(_datos!$C$2:$C$401,MATCH(ROW()-13,_datos!$K$2:$K$401,0)),"")</f>
      </c>
      <c r="E237" s="22">
        <f>IFERROR(INDEX(_datos!$D$2:$D$401,MATCH(ROW()-13,_datos!$K$2:$K$401,0)),"")</f>
      </c>
      <c r="F237" s="21">
        <f>IFERROR(INDEX(_datos!$E$2:$E$401,MATCH(ROW()-13,_datos!$K$2:$K$401,0)),"")</f>
      </c>
      <c r="G237" s="23">
        <f>IFERROR(INDEX(_datos!$F$2:$F$401,MATCH(ROW()-13,_datos!$K$2:$K$401,0)),"")</f>
      </c>
      <c r="H237" s="21">
        <f>IFERROR(INDEX(_datos!$G$2:$G$401,MATCH(ROW()-13,_datos!$K$2:$K$401,0)),"")</f>
      </c>
      <c r="I237" s="24">
        <f>IFERROR(INDEX(_datos!$H$2:$H$401,MATCH(ROW()-13,_datos!$K$2:$K$401,0)),"")</f>
      </c>
      <c r="J237" s="22">
        <f>IFERROR(INDEX(_datos!$I$2:$I$401,MATCH(ROW()-13,_datos!$K$2:$K$401,0)),"")</f>
      </c>
      <c r="K237" s="44">
        <f>IFERROR(HYPERLINK(INDEX(_datos!$J$2:$J$401,MATCH(ROW()-13,_datos!$K$2:$K$401,0)),"abrir mapa"),"")</f>
      </c>
    </row>
    <row r="238" ht="18.75" customHeight="1" spans="2:11" x14ac:dyDescent="0.25">
      <c r="B238" s="20">
        <f>IFERROR(INDEX(_datos!$A$2:$A$401,MATCH(ROW()-13,_datos!$K$2:$K$401,0)),"")</f>
      </c>
      <c r="C238" s="22">
        <f>IFERROR(INDEX(_datos!$B$2:$B$401,MATCH(ROW()-13,_datos!$K$2:$K$401,0)),"")</f>
      </c>
      <c r="D238" s="43">
        <f>IFERROR(INDEX(_datos!$C$2:$C$401,MATCH(ROW()-13,_datos!$K$2:$K$401,0)),"")</f>
      </c>
      <c r="E238" s="22">
        <f>IFERROR(INDEX(_datos!$D$2:$D$401,MATCH(ROW()-13,_datos!$K$2:$K$401,0)),"")</f>
      </c>
      <c r="F238" s="21">
        <f>IFERROR(INDEX(_datos!$E$2:$E$401,MATCH(ROW()-13,_datos!$K$2:$K$401,0)),"")</f>
      </c>
      <c r="G238" s="23">
        <f>IFERROR(INDEX(_datos!$F$2:$F$401,MATCH(ROW()-13,_datos!$K$2:$K$401,0)),"")</f>
      </c>
      <c r="H238" s="21">
        <f>IFERROR(INDEX(_datos!$G$2:$G$401,MATCH(ROW()-13,_datos!$K$2:$K$401,0)),"")</f>
      </c>
      <c r="I238" s="24">
        <f>IFERROR(INDEX(_datos!$H$2:$H$401,MATCH(ROW()-13,_datos!$K$2:$K$401,0)),"")</f>
      </c>
      <c r="J238" s="22">
        <f>IFERROR(INDEX(_datos!$I$2:$I$401,MATCH(ROW()-13,_datos!$K$2:$K$401,0)),"")</f>
      </c>
      <c r="K238" s="44">
        <f>IFERROR(HYPERLINK(INDEX(_datos!$J$2:$J$401,MATCH(ROW()-13,_datos!$K$2:$K$401,0)),"abrir mapa"),"")</f>
      </c>
    </row>
    <row r="239" ht="18.75" customHeight="1" spans="2:11" x14ac:dyDescent="0.25">
      <c r="B239" s="20">
        <f>IFERROR(INDEX(_datos!$A$2:$A$401,MATCH(ROW()-13,_datos!$K$2:$K$401,0)),"")</f>
      </c>
      <c r="C239" s="22">
        <f>IFERROR(INDEX(_datos!$B$2:$B$401,MATCH(ROW()-13,_datos!$K$2:$K$401,0)),"")</f>
      </c>
      <c r="D239" s="43">
        <f>IFERROR(INDEX(_datos!$C$2:$C$401,MATCH(ROW()-13,_datos!$K$2:$K$401,0)),"")</f>
      </c>
      <c r="E239" s="22">
        <f>IFERROR(INDEX(_datos!$D$2:$D$401,MATCH(ROW()-13,_datos!$K$2:$K$401,0)),"")</f>
      </c>
      <c r="F239" s="21">
        <f>IFERROR(INDEX(_datos!$E$2:$E$401,MATCH(ROW()-13,_datos!$K$2:$K$401,0)),"")</f>
      </c>
      <c r="G239" s="23">
        <f>IFERROR(INDEX(_datos!$F$2:$F$401,MATCH(ROW()-13,_datos!$K$2:$K$401,0)),"")</f>
      </c>
      <c r="H239" s="21">
        <f>IFERROR(INDEX(_datos!$G$2:$G$401,MATCH(ROW()-13,_datos!$K$2:$K$401,0)),"")</f>
      </c>
      <c r="I239" s="24">
        <f>IFERROR(INDEX(_datos!$H$2:$H$401,MATCH(ROW()-13,_datos!$K$2:$K$401,0)),"")</f>
      </c>
      <c r="J239" s="22">
        <f>IFERROR(INDEX(_datos!$I$2:$I$401,MATCH(ROW()-13,_datos!$K$2:$K$401,0)),"")</f>
      </c>
      <c r="K239" s="44">
        <f>IFERROR(HYPERLINK(INDEX(_datos!$J$2:$J$401,MATCH(ROW()-13,_datos!$K$2:$K$401,0)),"abrir mapa"),"")</f>
      </c>
    </row>
    <row r="240" ht="18.75" customHeight="1" spans="2:11" x14ac:dyDescent="0.25">
      <c r="B240" s="20">
        <f>IFERROR(INDEX(_datos!$A$2:$A$401,MATCH(ROW()-13,_datos!$K$2:$K$401,0)),"")</f>
      </c>
      <c r="C240" s="22">
        <f>IFERROR(INDEX(_datos!$B$2:$B$401,MATCH(ROW()-13,_datos!$K$2:$K$401,0)),"")</f>
      </c>
      <c r="D240" s="43">
        <f>IFERROR(INDEX(_datos!$C$2:$C$401,MATCH(ROW()-13,_datos!$K$2:$K$401,0)),"")</f>
      </c>
      <c r="E240" s="22">
        <f>IFERROR(INDEX(_datos!$D$2:$D$401,MATCH(ROW()-13,_datos!$K$2:$K$401,0)),"")</f>
      </c>
      <c r="F240" s="21">
        <f>IFERROR(INDEX(_datos!$E$2:$E$401,MATCH(ROW()-13,_datos!$K$2:$K$401,0)),"")</f>
      </c>
      <c r="G240" s="23">
        <f>IFERROR(INDEX(_datos!$F$2:$F$401,MATCH(ROW()-13,_datos!$K$2:$K$401,0)),"")</f>
      </c>
      <c r="H240" s="21">
        <f>IFERROR(INDEX(_datos!$G$2:$G$401,MATCH(ROW()-13,_datos!$K$2:$K$401,0)),"")</f>
      </c>
      <c r="I240" s="24">
        <f>IFERROR(INDEX(_datos!$H$2:$H$401,MATCH(ROW()-13,_datos!$K$2:$K$401,0)),"")</f>
      </c>
      <c r="J240" s="22">
        <f>IFERROR(INDEX(_datos!$I$2:$I$401,MATCH(ROW()-13,_datos!$K$2:$K$401,0)),"")</f>
      </c>
      <c r="K240" s="44">
        <f>IFERROR(HYPERLINK(INDEX(_datos!$J$2:$J$401,MATCH(ROW()-13,_datos!$K$2:$K$401,0)),"abrir mapa"),"")</f>
      </c>
    </row>
    <row r="241" ht="18.75" customHeight="1" spans="2:11" x14ac:dyDescent="0.25">
      <c r="B241" s="20">
        <f>IFERROR(INDEX(_datos!$A$2:$A$401,MATCH(ROW()-13,_datos!$K$2:$K$401,0)),"")</f>
      </c>
      <c r="C241" s="22">
        <f>IFERROR(INDEX(_datos!$B$2:$B$401,MATCH(ROW()-13,_datos!$K$2:$K$401,0)),"")</f>
      </c>
      <c r="D241" s="43">
        <f>IFERROR(INDEX(_datos!$C$2:$C$401,MATCH(ROW()-13,_datos!$K$2:$K$401,0)),"")</f>
      </c>
      <c r="E241" s="22">
        <f>IFERROR(INDEX(_datos!$D$2:$D$401,MATCH(ROW()-13,_datos!$K$2:$K$401,0)),"")</f>
      </c>
      <c r="F241" s="21">
        <f>IFERROR(INDEX(_datos!$E$2:$E$401,MATCH(ROW()-13,_datos!$K$2:$K$401,0)),"")</f>
      </c>
      <c r="G241" s="23">
        <f>IFERROR(INDEX(_datos!$F$2:$F$401,MATCH(ROW()-13,_datos!$K$2:$K$401,0)),"")</f>
      </c>
      <c r="H241" s="21">
        <f>IFERROR(INDEX(_datos!$G$2:$G$401,MATCH(ROW()-13,_datos!$K$2:$K$401,0)),"")</f>
      </c>
      <c r="I241" s="24">
        <f>IFERROR(INDEX(_datos!$H$2:$H$401,MATCH(ROW()-13,_datos!$K$2:$K$401,0)),"")</f>
      </c>
      <c r="J241" s="22">
        <f>IFERROR(INDEX(_datos!$I$2:$I$401,MATCH(ROW()-13,_datos!$K$2:$K$401,0)),"")</f>
      </c>
      <c r="K241" s="44">
        <f>IFERROR(HYPERLINK(INDEX(_datos!$J$2:$J$401,MATCH(ROW()-13,_datos!$K$2:$K$401,0)),"abrir mapa"),"")</f>
      </c>
    </row>
    <row r="242" ht="18.75" customHeight="1" spans="2:11" x14ac:dyDescent="0.25">
      <c r="B242" s="20">
        <f>IFERROR(INDEX(_datos!$A$2:$A$401,MATCH(ROW()-13,_datos!$K$2:$K$401,0)),"")</f>
      </c>
      <c r="C242" s="22">
        <f>IFERROR(INDEX(_datos!$B$2:$B$401,MATCH(ROW()-13,_datos!$K$2:$K$401,0)),"")</f>
      </c>
      <c r="D242" s="43">
        <f>IFERROR(INDEX(_datos!$C$2:$C$401,MATCH(ROW()-13,_datos!$K$2:$K$401,0)),"")</f>
      </c>
      <c r="E242" s="22">
        <f>IFERROR(INDEX(_datos!$D$2:$D$401,MATCH(ROW()-13,_datos!$K$2:$K$401,0)),"")</f>
      </c>
      <c r="F242" s="21">
        <f>IFERROR(INDEX(_datos!$E$2:$E$401,MATCH(ROW()-13,_datos!$K$2:$K$401,0)),"")</f>
      </c>
      <c r="G242" s="23">
        <f>IFERROR(INDEX(_datos!$F$2:$F$401,MATCH(ROW()-13,_datos!$K$2:$K$401,0)),"")</f>
      </c>
      <c r="H242" s="21">
        <f>IFERROR(INDEX(_datos!$G$2:$G$401,MATCH(ROW()-13,_datos!$K$2:$K$401,0)),"")</f>
      </c>
      <c r="I242" s="24">
        <f>IFERROR(INDEX(_datos!$H$2:$H$401,MATCH(ROW()-13,_datos!$K$2:$K$401,0)),"")</f>
      </c>
      <c r="J242" s="22">
        <f>IFERROR(INDEX(_datos!$I$2:$I$401,MATCH(ROW()-13,_datos!$K$2:$K$401,0)),"")</f>
      </c>
      <c r="K242" s="44">
        <f>IFERROR(HYPERLINK(INDEX(_datos!$J$2:$J$401,MATCH(ROW()-13,_datos!$K$2:$K$401,0)),"abrir mapa"),"")</f>
      </c>
    </row>
    <row r="243" ht="18.75" customHeight="1" spans="2:11" x14ac:dyDescent="0.25">
      <c r="B243" s="20">
        <f>IFERROR(INDEX(_datos!$A$2:$A$401,MATCH(ROW()-13,_datos!$K$2:$K$401,0)),"")</f>
      </c>
      <c r="C243" s="22">
        <f>IFERROR(INDEX(_datos!$B$2:$B$401,MATCH(ROW()-13,_datos!$K$2:$K$401,0)),"")</f>
      </c>
      <c r="D243" s="43">
        <f>IFERROR(INDEX(_datos!$C$2:$C$401,MATCH(ROW()-13,_datos!$K$2:$K$401,0)),"")</f>
      </c>
      <c r="E243" s="22">
        <f>IFERROR(INDEX(_datos!$D$2:$D$401,MATCH(ROW()-13,_datos!$K$2:$K$401,0)),"")</f>
      </c>
      <c r="F243" s="21">
        <f>IFERROR(INDEX(_datos!$E$2:$E$401,MATCH(ROW()-13,_datos!$K$2:$K$401,0)),"")</f>
      </c>
      <c r="G243" s="23">
        <f>IFERROR(INDEX(_datos!$F$2:$F$401,MATCH(ROW()-13,_datos!$K$2:$K$401,0)),"")</f>
      </c>
      <c r="H243" s="21">
        <f>IFERROR(INDEX(_datos!$G$2:$G$401,MATCH(ROW()-13,_datos!$K$2:$K$401,0)),"")</f>
      </c>
      <c r="I243" s="24">
        <f>IFERROR(INDEX(_datos!$H$2:$H$401,MATCH(ROW()-13,_datos!$K$2:$K$401,0)),"")</f>
      </c>
      <c r="J243" s="22">
        <f>IFERROR(INDEX(_datos!$I$2:$I$401,MATCH(ROW()-13,_datos!$K$2:$K$401,0)),"")</f>
      </c>
      <c r="K243" s="44">
        <f>IFERROR(HYPERLINK(INDEX(_datos!$J$2:$J$401,MATCH(ROW()-13,_datos!$K$2:$K$401,0)),"abrir mapa"),"")</f>
      </c>
    </row>
    <row r="244" ht="18.75" customHeight="1" spans="2:11" x14ac:dyDescent="0.25">
      <c r="B244" s="20">
        <f>IFERROR(INDEX(_datos!$A$2:$A$401,MATCH(ROW()-13,_datos!$K$2:$K$401,0)),"")</f>
      </c>
      <c r="C244" s="22">
        <f>IFERROR(INDEX(_datos!$B$2:$B$401,MATCH(ROW()-13,_datos!$K$2:$K$401,0)),"")</f>
      </c>
      <c r="D244" s="43">
        <f>IFERROR(INDEX(_datos!$C$2:$C$401,MATCH(ROW()-13,_datos!$K$2:$K$401,0)),"")</f>
      </c>
      <c r="E244" s="22">
        <f>IFERROR(INDEX(_datos!$D$2:$D$401,MATCH(ROW()-13,_datos!$K$2:$K$401,0)),"")</f>
      </c>
      <c r="F244" s="21">
        <f>IFERROR(INDEX(_datos!$E$2:$E$401,MATCH(ROW()-13,_datos!$K$2:$K$401,0)),"")</f>
      </c>
      <c r="G244" s="23">
        <f>IFERROR(INDEX(_datos!$F$2:$F$401,MATCH(ROW()-13,_datos!$K$2:$K$401,0)),"")</f>
      </c>
      <c r="H244" s="21">
        <f>IFERROR(INDEX(_datos!$G$2:$G$401,MATCH(ROW()-13,_datos!$K$2:$K$401,0)),"")</f>
      </c>
      <c r="I244" s="24">
        <f>IFERROR(INDEX(_datos!$H$2:$H$401,MATCH(ROW()-13,_datos!$K$2:$K$401,0)),"")</f>
      </c>
      <c r="J244" s="22">
        <f>IFERROR(INDEX(_datos!$I$2:$I$401,MATCH(ROW()-13,_datos!$K$2:$K$401,0)),"")</f>
      </c>
      <c r="K244" s="44">
        <f>IFERROR(HYPERLINK(INDEX(_datos!$J$2:$J$401,MATCH(ROW()-13,_datos!$K$2:$K$401,0)),"abrir mapa"),"")</f>
      </c>
    </row>
    <row r="245" ht="18.75" customHeight="1" spans="2:11" x14ac:dyDescent="0.25">
      <c r="B245" s="20">
        <f>IFERROR(INDEX(_datos!$A$2:$A$401,MATCH(ROW()-13,_datos!$K$2:$K$401,0)),"")</f>
      </c>
      <c r="C245" s="22">
        <f>IFERROR(INDEX(_datos!$B$2:$B$401,MATCH(ROW()-13,_datos!$K$2:$K$401,0)),"")</f>
      </c>
      <c r="D245" s="43">
        <f>IFERROR(INDEX(_datos!$C$2:$C$401,MATCH(ROW()-13,_datos!$K$2:$K$401,0)),"")</f>
      </c>
      <c r="E245" s="22">
        <f>IFERROR(INDEX(_datos!$D$2:$D$401,MATCH(ROW()-13,_datos!$K$2:$K$401,0)),"")</f>
      </c>
      <c r="F245" s="21">
        <f>IFERROR(INDEX(_datos!$E$2:$E$401,MATCH(ROW()-13,_datos!$K$2:$K$401,0)),"")</f>
      </c>
      <c r="G245" s="23">
        <f>IFERROR(INDEX(_datos!$F$2:$F$401,MATCH(ROW()-13,_datos!$K$2:$K$401,0)),"")</f>
      </c>
      <c r="H245" s="21">
        <f>IFERROR(INDEX(_datos!$G$2:$G$401,MATCH(ROW()-13,_datos!$K$2:$K$401,0)),"")</f>
      </c>
      <c r="I245" s="24">
        <f>IFERROR(INDEX(_datos!$H$2:$H$401,MATCH(ROW()-13,_datos!$K$2:$K$401,0)),"")</f>
      </c>
      <c r="J245" s="22">
        <f>IFERROR(INDEX(_datos!$I$2:$I$401,MATCH(ROW()-13,_datos!$K$2:$K$401,0)),"")</f>
      </c>
      <c r="K245" s="44">
        <f>IFERROR(HYPERLINK(INDEX(_datos!$J$2:$J$401,MATCH(ROW()-13,_datos!$K$2:$K$401,0)),"abrir mapa"),"")</f>
      </c>
    </row>
    <row r="246" ht="18.75" customHeight="1" spans="2:11" x14ac:dyDescent="0.25">
      <c r="B246" s="20">
        <f>IFERROR(INDEX(_datos!$A$2:$A$401,MATCH(ROW()-13,_datos!$K$2:$K$401,0)),"")</f>
      </c>
      <c r="C246" s="22">
        <f>IFERROR(INDEX(_datos!$B$2:$B$401,MATCH(ROW()-13,_datos!$K$2:$K$401,0)),"")</f>
      </c>
      <c r="D246" s="43">
        <f>IFERROR(INDEX(_datos!$C$2:$C$401,MATCH(ROW()-13,_datos!$K$2:$K$401,0)),"")</f>
      </c>
      <c r="E246" s="22">
        <f>IFERROR(INDEX(_datos!$D$2:$D$401,MATCH(ROW()-13,_datos!$K$2:$K$401,0)),"")</f>
      </c>
      <c r="F246" s="21">
        <f>IFERROR(INDEX(_datos!$E$2:$E$401,MATCH(ROW()-13,_datos!$K$2:$K$401,0)),"")</f>
      </c>
      <c r="G246" s="23">
        <f>IFERROR(INDEX(_datos!$F$2:$F$401,MATCH(ROW()-13,_datos!$K$2:$K$401,0)),"")</f>
      </c>
      <c r="H246" s="21">
        <f>IFERROR(INDEX(_datos!$G$2:$G$401,MATCH(ROW()-13,_datos!$K$2:$K$401,0)),"")</f>
      </c>
      <c r="I246" s="24">
        <f>IFERROR(INDEX(_datos!$H$2:$H$401,MATCH(ROW()-13,_datos!$K$2:$K$401,0)),"")</f>
      </c>
      <c r="J246" s="22">
        <f>IFERROR(INDEX(_datos!$I$2:$I$401,MATCH(ROW()-13,_datos!$K$2:$K$401,0)),"")</f>
      </c>
      <c r="K246" s="44">
        <f>IFERROR(HYPERLINK(INDEX(_datos!$J$2:$J$401,MATCH(ROW()-13,_datos!$K$2:$K$401,0)),"abrir mapa"),"")</f>
      </c>
    </row>
    <row r="247" ht="18.75" customHeight="1" spans="2:11" x14ac:dyDescent="0.25">
      <c r="B247" s="20">
        <f>IFERROR(INDEX(_datos!$A$2:$A$401,MATCH(ROW()-13,_datos!$K$2:$K$401,0)),"")</f>
      </c>
      <c r="C247" s="22">
        <f>IFERROR(INDEX(_datos!$B$2:$B$401,MATCH(ROW()-13,_datos!$K$2:$K$401,0)),"")</f>
      </c>
      <c r="D247" s="43">
        <f>IFERROR(INDEX(_datos!$C$2:$C$401,MATCH(ROW()-13,_datos!$K$2:$K$401,0)),"")</f>
      </c>
      <c r="E247" s="22">
        <f>IFERROR(INDEX(_datos!$D$2:$D$401,MATCH(ROW()-13,_datos!$K$2:$K$401,0)),"")</f>
      </c>
      <c r="F247" s="21">
        <f>IFERROR(INDEX(_datos!$E$2:$E$401,MATCH(ROW()-13,_datos!$K$2:$K$401,0)),"")</f>
      </c>
      <c r="G247" s="23">
        <f>IFERROR(INDEX(_datos!$F$2:$F$401,MATCH(ROW()-13,_datos!$K$2:$K$401,0)),"")</f>
      </c>
      <c r="H247" s="21">
        <f>IFERROR(INDEX(_datos!$G$2:$G$401,MATCH(ROW()-13,_datos!$K$2:$K$401,0)),"")</f>
      </c>
      <c r="I247" s="24">
        <f>IFERROR(INDEX(_datos!$H$2:$H$401,MATCH(ROW()-13,_datos!$K$2:$K$401,0)),"")</f>
      </c>
      <c r="J247" s="22">
        <f>IFERROR(INDEX(_datos!$I$2:$I$401,MATCH(ROW()-13,_datos!$K$2:$K$401,0)),"")</f>
      </c>
      <c r="K247" s="44">
        <f>IFERROR(HYPERLINK(INDEX(_datos!$J$2:$J$401,MATCH(ROW()-13,_datos!$K$2:$K$401,0)),"abrir mapa"),"")</f>
      </c>
    </row>
    <row r="248" ht="18.75" customHeight="1" spans="2:11" x14ac:dyDescent="0.25">
      <c r="B248" s="20">
        <f>IFERROR(INDEX(_datos!$A$2:$A$401,MATCH(ROW()-13,_datos!$K$2:$K$401,0)),"")</f>
      </c>
      <c r="C248" s="22">
        <f>IFERROR(INDEX(_datos!$B$2:$B$401,MATCH(ROW()-13,_datos!$K$2:$K$401,0)),"")</f>
      </c>
      <c r="D248" s="43">
        <f>IFERROR(INDEX(_datos!$C$2:$C$401,MATCH(ROW()-13,_datos!$K$2:$K$401,0)),"")</f>
      </c>
      <c r="E248" s="22">
        <f>IFERROR(INDEX(_datos!$D$2:$D$401,MATCH(ROW()-13,_datos!$K$2:$K$401,0)),"")</f>
      </c>
      <c r="F248" s="21">
        <f>IFERROR(INDEX(_datos!$E$2:$E$401,MATCH(ROW()-13,_datos!$K$2:$K$401,0)),"")</f>
      </c>
      <c r="G248" s="23">
        <f>IFERROR(INDEX(_datos!$F$2:$F$401,MATCH(ROW()-13,_datos!$K$2:$K$401,0)),"")</f>
      </c>
      <c r="H248" s="21">
        <f>IFERROR(INDEX(_datos!$G$2:$G$401,MATCH(ROW()-13,_datos!$K$2:$K$401,0)),"")</f>
      </c>
      <c r="I248" s="24">
        <f>IFERROR(INDEX(_datos!$H$2:$H$401,MATCH(ROW()-13,_datos!$K$2:$K$401,0)),"")</f>
      </c>
      <c r="J248" s="22">
        <f>IFERROR(INDEX(_datos!$I$2:$I$401,MATCH(ROW()-13,_datos!$K$2:$K$401,0)),"")</f>
      </c>
      <c r="K248" s="44">
        <f>IFERROR(HYPERLINK(INDEX(_datos!$J$2:$J$401,MATCH(ROW()-13,_datos!$K$2:$K$401,0)),"abrir mapa"),"")</f>
      </c>
    </row>
    <row r="249" ht="18.75" customHeight="1" spans="2:11" x14ac:dyDescent="0.25">
      <c r="B249" s="20">
        <f>IFERROR(INDEX(_datos!$A$2:$A$401,MATCH(ROW()-13,_datos!$K$2:$K$401,0)),"")</f>
      </c>
      <c r="C249" s="22">
        <f>IFERROR(INDEX(_datos!$B$2:$B$401,MATCH(ROW()-13,_datos!$K$2:$K$401,0)),"")</f>
      </c>
      <c r="D249" s="43">
        <f>IFERROR(INDEX(_datos!$C$2:$C$401,MATCH(ROW()-13,_datos!$K$2:$K$401,0)),"")</f>
      </c>
      <c r="E249" s="22">
        <f>IFERROR(INDEX(_datos!$D$2:$D$401,MATCH(ROW()-13,_datos!$K$2:$K$401,0)),"")</f>
      </c>
      <c r="F249" s="21">
        <f>IFERROR(INDEX(_datos!$E$2:$E$401,MATCH(ROW()-13,_datos!$K$2:$K$401,0)),"")</f>
      </c>
      <c r="G249" s="23">
        <f>IFERROR(INDEX(_datos!$F$2:$F$401,MATCH(ROW()-13,_datos!$K$2:$K$401,0)),"")</f>
      </c>
      <c r="H249" s="21">
        <f>IFERROR(INDEX(_datos!$G$2:$G$401,MATCH(ROW()-13,_datos!$K$2:$K$401,0)),"")</f>
      </c>
      <c r="I249" s="24">
        <f>IFERROR(INDEX(_datos!$H$2:$H$401,MATCH(ROW()-13,_datos!$K$2:$K$401,0)),"")</f>
      </c>
      <c r="J249" s="22">
        <f>IFERROR(INDEX(_datos!$I$2:$I$401,MATCH(ROW()-13,_datos!$K$2:$K$401,0)),"")</f>
      </c>
      <c r="K249" s="44">
        <f>IFERROR(HYPERLINK(INDEX(_datos!$J$2:$J$401,MATCH(ROW()-13,_datos!$K$2:$K$401,0)),"abrir mapa"),"")</f>
      </c>
    </row>
    <row r="250" ht="18.75" customHeight="1" spans="2:11" x14ac:dyDescent="0.25">
      <c r="B250" s="20">
        <f>IFERROR(INDEX(_datos!$A$2:$A$401,MATCH(ROW()-13,_datos!$K$2:$K$401,0)),"")</f>
      </c>
      <c r="C250" s="22">
        <f>IFERROR(INDEX(_datos!$B$2:$B$401,MATCH(ROW()-13,_datos!$K$2:$K$401,0)),"")</f>
      </c>
      <c r="D250" s="43">
        <f>IFERROR(INDEX(_datos!$C$2:$C$401,MATCH(ROW()-13,_datos!$K$2:$K$401,0)),"")</f>
      </c>
      <c r="E250" s="22">
        <f>IFERROR(INDEX(_datos!$D$2:$D$401,MATCH(ROW()-13,_datos!$K$2:$K$401,0)),"")</f>
      </c>
      <c r="F250" s="21">
        <f>IFERROR(INDEX(_datos!$E$2:$E$401,MATCH(ROW()-13,_datos!$K$2:$K$401,0)),"")</f>
      </c>
      <c r="G250" s="23">
        <f>IFERROR(INDEX(_datos!$F$2:$F$401,MATCH(ROW()-13,_datos!$K$2:$K$401,0)),"")</f>
      </c>
      <c r="H250" s="21">
        <f>IFERROR(INDEX(_datos!$G$2:$G$401,MATCH(ROW()-13,_datos!$K$2:$K$401,0)),"")</f>
      </c>
      <c r="I250" s="24">
        <f>IFERROR(INDEX(_datos!$H$2:$H$401,MATCH(ROW()-13,_datos!$K$2:$K$401,0)),"")</f>
      </c>
      <c r="J250" s="22">
        <f>IFERROR(INDEX(_datos!$I$2:$I$401,MATCH(ROW()-13,_datos!$K$2:$K$401,0)),"")</f>
      </c>
      <c r="K250" s="44">
        <f>IFERROR(HYPERLINK(INDEX(_datos!$J$2:$J$401,MATCH(ROW()-13,_datos!$K$2:$K$401,0)),"abrir mapa"),"")</f>
      </c>
    </row>
    <row r="251" ht="18.75" customHeight="1" spans="2:11" x14ac:dyDescent="0.25">
      <c r="B251" s="20">
        <f>IFERROR(INDEX(_datos!$A$2:$A$401,MATCH(ROW()-13,_datos!$K$2:$K$401,0)),"")</f>
      </c>
      <c r="C251" s="22">
        <f>IFERROR(INDEX(_datos!$B$2:$B$401,MATCH(ROW()-13,_datos!$K$2:$K$401,0)),"")</f>
      </c>
      <c r="D251" s="43">
        <f>IFERROR(INDEX(_datos!$C$2:$C$401,MATCH(ROW()-13,_datos!$K$2:$K$401,0)),"")</f>
      </c>
      <c r="E251" s="22">
        <f>IFERROR(INDEX(_datos!$D$2:$D$401,MATCH(ROW()-13,_datos!$K$2:$K$401,0)),"")</f>
      </c>
      <c r="F251" s="21">
        <f>IFERROR(INDEX(_datos!$E$2:$E$401,MATCH(ROW()-13,_datos!$K$2:$K$401,0)),"")</f>
      </c>
      <c r="G251" s="23">
        <f>IFERROR(INDEX(_datos!$F$2:$F$401,MATCH(ROW()-13,_datos!$K$2:$K$401,0)),"")</f>
      </c>
      <c r="H251" s="21">
        <f>IFERROR(INDEX(_datos!$G$2:$G$401,MATCH(ROW()-13,_datos!$K$2:$K$401,0)),"")</f>
      </c>
      <c r="I251" s="24">
        <f>IFERROR(INDEX(_datos!$H$2:$H$401,MATCH(ROW()-13,_datos!$K$2:$K$401,0)),"")</f>
      </c>
      <c r="J251" s="22">
        <f>IFERROR(INDEX(_datos!$I$2:$I$401,MATCH(ROW()-13,_datos!$K$2:$K$401,0)),"")</f>
      </c>
      <c r="K251" s="44">
        <f>IFERROR(HYPERLINK(INDEX(_datos!$J$2:$J$401,MATCH(ROW()-13,_datos!$K$2:$K$401,0)),"abrir mapa"),"")</f>
      </c>
    </row>
    <row r="252" ht="18.75" customHeight="1" spans="2:11" x14ac:dyDescent="0.25">
      <c r="B252" s="20">
        <f>IFERROR(INDEX(_datos!$A$2:$A$401,MATCH(ROW()-13,_datos!$K$2:$K$401,0)),"")</f>
      </c>
      <c r="C252" s="22">
        <f>IFERROR(INDEX(_datos!$B$2:$B$401,MATCH(ROW()-13,_datos!$K$2:$K$401,0)),"")</f>
      </c>
      <c r="D252" s="43">
        <f>IFERROR(INDEX(_datos!$C$2:$C$401,MATCH(ROW()-13,_datos!$K$2:$K$401,0)),"")</f>
      </c>
      <c r="E252" s="22">
        <f>IFERROR(INDEX(_datos!$D$2:$D$401,MATCH(ROW()-13,_datos!$K$2:$K$401,0)),"")</f>
      </c>
      <c r="F252" s="21">
        <f>IFERROR(INDEX(_datos!$E$2:$E$401,MATCH(ROW()-13,_datos!$K$2:$K$401,0)),"")</f>
      </c>
      <c r="G252" s="23">
        <f>IFERROR(INDEX(_datos!$F$2:$F$401,MATCH(ROW()-13,_datos!$K$2:$K$401,0)),"")</f>
      </c>
      <c r="H252" s="21">
        <f>IFERROR(INDEX(_datos!$G$2:$G$401,MATCH(ROW()-13,_datos!$K$2:$K$401,0)),"")</f>
      </c>
      <c r="I252" s="24">
        <f>IFERROR(INDEX(_datos!$H$2:$H$401,MATCH(ROW()-13,_datos!$K$2:$K$401,0)),"")</f>
      </c>
      <c r="J252" s="22">
        <f>IFERROR(INDEX(_datos!$I$2:$I$401,MATCH(ROW()-13,_datos!$K$2:$K$401,0)),"")</f>
      </c>
      <c r="K252" s="44">
        <f>IFERROR(HYPERLINK(INDEX(_datos!$J$2:$J$401,MATCH(ROW()-13,_datos!$K$2:$K$401,0)),"abrir mapa"),"")</f>
      </c>
    </row>
    <row r="253" ht="18.75" customHeight="1" spans="2:11" x14ac:dyDescent="0.25">
      <c r="B253" s="20">
        <f>IFERROR(INDEX(_datos!$A$2:$A$401,MATCH(ROW()-13,_datos!$K$2:$K$401,0)),"")</f>
      </c>
      <c r="C253" s="22">
        <f>IFERROR(INDEX(_datos!$B$2:$B$401,MATCH(ROW()-13,_datos!$K$2:$K$401,0)),"")</f>
      </c>
      <c r="D253" s="43">
        <f>IFERROR(INDEX(_datos!$C$2:$C$401,MATCH(ROW()-13,_datos!$K$2:$K$401,0)),"")</f>
      </c>
      <c r="E253" s="22">
        <f>IFERROR(INDEX(_datos!$D$2:$D$401,MATCH(ROW()-13,_datos!$K$2:$K$401,0)),"")</f>
      </c>
      <c r="F253" s="21">
        <f>IFERROR(INDEX(_datos!$E$2:$E$401,MATCH(ROW()-13,_datos!$K$2:$K$401,0)),"")</f>
      </c>
      <c r="G253" s="23">
        <f>IFERROR(INDEX(_datos!$F$2:$F$401,MATCH(ROW()-13,_datos!$K$2:$K$401,0)),"")</f>
      </c>
      <c r="H253" s="21">
        <f>IFERROR(INDEX(_datos!$G$2:$G$401,MATCH(ROW()-13,_datos!$K$2:$K$401,0)),"")</f>
      </c>
      <c r="I253" s="24">
        <f>IFERROR(INDEX(_datos!$H$2:$H$401,MATCH(ROW()-13,_datos!$K$2:$K$401,0)),"")</f>
      </c>
      <c r="J253" s="22">
        <f>IFERROR(INDEX(_datos!$I$2:$I$401,MATCH(ROW()-13,_datos!$K$2:$K$401,0)),"")</f>
      </c>
      <c r="K253" s="44">
        <f>IFERROR(HYPERLINK(INDEX(_datos!$J$2:$J$401,MATCH(ROW()-13,_datos!$K$2:$K$401,0)),"abrir mapa"),"")</f>
      </c>
    </row>
    <row r="254" ht="18.75" customHeight="1" spans="2:11" x14ac:dyDescent="0.25">
      <c r="B254" s="20">
        <f>IFERROR(INDEX(_datos!$A$2:$A$401,MATCH(ROW()-13,_datos!$K$2:$K$401,0)),"")</f>
      </c>
      <c r="C254" s="22">
        <f>IFERROR(INDEX(_datos!$B$2:$B$401,MATCH(ROW()-13,_datos!$K$2:$K$401,0)),"")</f>
      </c>
      <c r="D254" s="43">
        <f>IFERROR(INDEX(_datos!$C$2:$C$401,MATCH(ROW()-13,_datos!$K$2:$K$401,0)),"")</f>
      </c>
      <c r="E254" s="22">
        <f>IFERROR(INDEX(_datos!$D$2:$D$401,MATCH(ROW()-13,_datos!$K$2:$K$401,0)),"")</f>
      </c>
      <c r="F254" s="21">
        <f>IFERROR(INDEX(_datos!$E$2:$E$401,MATCH(ROW()-13,_datos!$K$2:$K$401,0)),"")</f>
      </c>
      <c r="G254" s="23">
        <f>IFERROR(INDEX(_datos!$F$2:$F$401,MATCH(ROW()-13,_datos!$K$2:$K$401,0)),"")</f>
      </c>
      <c r="H254" s="21">
        <f>IFERROR(INDEX(_datos!$G$2:$G$401,MATCH(ROW()-13,_datos!$K$2:$K$401,0)),"")</f>
      </c>
      <c r="I254" s="24">
        <f>IFERROR(INDEX(_datos!$H$2:$H$401,MATCH(ROW()-13,_datos!$K$2:$K$401,0)),"")</f>
      </c>
      <c r="J254" s="22">
        <f>IFERROR(INDEX(_datos!$I$2:$I$401,MATCH(ROW()-13,_datos!$K$2:$K$401,0)),"")</f>
      </c>
      <c r="K254" s="44">
        <f>IFERROR(HYPERLINK(INDEX(_datos!$J$2:$J$401,MATCH(ROW()-13,_datos!$K$2:$K$401,0)),"abrir mapa"),"")</f>
      </c>
    </row>
    <row r="255" ht="18.75" customHeight="1" spans="2:11" x14ac:dyDescent="0.25">
      <c r="B255" s="20">
        <f>IFERROR(INDEX(_datos!$A$2:$A$401,MATCH(ROW()-13,_datos!$K$2:$K$401,0)),"")</f>
      </c>
      <c r="C255" s="22">
        <f>IFERROR(INDEX(_datos!$B$2:$B$401,MATCH(ROW()-13,_datos!$K$2:$K$401,0)),"")</f>
      </c>
      <c r="D255" s="43">
        <f>IFERROR(INDEX(_datos!$C$2:$C$401,MATCH(ROW()-13,_datos!$K$2:$K$401,0)),"")</f>
      </c>
      <c r="E255" s="22">
        <f>IFERROR(INDEX(_datos!$D$2:$D$401,MATCH(ROW()-13,_datos!$K$2:$K$401,0)),"")</f>
      </c>
      <c r="F255" s="21">
        <f>IFERROR(INDEX(_datos!$E$2:$E$401,MATCH(ROW()-13,_datos!$K$2:$K$401,0)),"")</f>
      </c>
      <c r="G255" s="23">
        <f>IFERROR(INDEX(_datos!$F$2:$F$401,MATCH(ROW()-13,_datos!$K$2:$K$401,0)),"")</f>
      </c>
      <c r="H255" s="21">
        <f>IFERROR(INDEX(_datos!$G$2:$G$401,MATCH(ROW()-13,_datos!$K$2:$K$401,0)),"")</f>
      </c>
      <c r="I255" s="24">
        <f>IFERROR(INDEX(_datos!$H$2:$H$401,MATCH(ROW()-13,_datos!$K$2:$K$401,0)),"")</f>
      </c>
      <c r="J255" s="22">
        <f>IFERROR(INDEX(_datos!$I$2:$I$401,MATCH(ROW()-13,_datos!$K$2:$K$401,0)),"")</f>
      </c>
      <c r="K255" s="44">
        <f>IFERROR(HYPERLINK(INDEX(_datos!$J$2:$J$401,MATCH(ROW()-13,_datos!$K$2:$K$401,0)),"abrir mapa"),"")</f>
      </c>
    </row>
    <row r="256" ht="18.75" customHeight="1" spans="2:11" x14ac:dyDescent="0.25">
      <c r="B256" s="20">
        <f>IFERROR(INDEX(_datos!$A$2:$A$401,MATCH(ROW()-13,_datos!$K$2:$K$401,0)),"")</f>
      </c>
      <c r="C256" s="22">
        <f>IFERROR(INDEX(_datos!$B$2:$B$401,MATCH(ROW()-13,_datos!$K$2:$K$401,0)),"")</f>
      </c>
      <c r="D256" s="43">
        <f>IFERROR(INDEX(_datos!$C$2:$C$401,MATCH(ROW()-13,_datos!$K$2:$K$401,0)),"")</f>
      </c>
      <c r="E256" s="22">
        <f>IFERROR(INDEX(_datos!$D$2:$D$401,MATCH(ROW()-13,_datos!$K$2:$K$401,0)),"")</f>
      </c>
      <c r="F256" s="21">
        <f>IFERROR(INDEX(_datos!$E$2:$E$401,MATCH(ROW()-13,_datos!$K$2:$K$401,0)),"")</f>
      </c>
      <c r="G256" s="23">
        <f>IFERROR(INDEX(_datos!$F$2:$F$401,MATCH(ROW()-13,_datos!$K$2:$K$401,0)),"")</f>
      </c>
      <c r="H256" s="21">
        <f>IFERROR(INDEX(_datos!$G$2:$G$401,MATCH(ROW()-13,_datos!$K$2:$K$401,0)),"")</f>
      </c>
      <c r="I256" s="24">
        <f>IFERROR(INDEX(_datos!$H$2:$H$401,MATCH(ROW()-13,_datos!$K$2:$K$401,0)),"")</f>
      </c>
      <c r="J256" s="22">
        <f>IFERROR(INDEX(_datos!$I$2:$I$401,MATCH(ROW()-13,_datos!$K$2:$K$401,0)),"")</f>
      </c>
      <c r="K256" s="44">
        <f>IFERROR(HYPERLINK(INDEX(_datos!$J$2:$J$401,MATCH(ROW()-13,_datos!$K$2:$K$401,0)),"abrir mapa"),"")</f>
      </c>
    </row>
    <row r="257" ht="18.75" customHeight="1" spans="2:11" x14ac:dyDescent="0.25">
      <c r="B257" s="20">
        <f>IFERROR(INDEX(_datos!$A$2:$A$401,MATCH(ROW()-13,_datos!$K$2:$K$401,0)),"")</f>
      </c>
      <c r="C257" s="22">
        <f>IFERROR(INDEX(_datos!$B$2:$B$401,MATCH(ROW()-13,_datos!$K$2:$K$401,0)),"")</f>
      </c>
      <c r="D257" s="43">
        <f>IFERROR(INDEX(_datos!$C$2:$C$401,MATCH(ROW()-13,_datos!$K$2:$K$401,0)),"")</f>
      </c>
      <c r="E257" s="22">
        <f>IFERROR(INDEX(_datos!$D$2:$D$401,MATCH(ROW()-13,_datos!$K$2:$K$401,0)),"")</f>
      </c>
      <c r="F257" s="21">
        <f>IFERROR(INDEX(_datos!$E$2:$E$401,MATCH(ROW()-13,_datos!$K$2:$K$401,0)),"")</f>
      </c>
      <c r="G257" s="23">
        <f>IFERROR(INDEX(_datos!$F$2:$F$401,MATCH(ROW()-13,_datos!$K$2:$K$401,0)),"")</f>
      </c>
      <c r="H257" s="21">
        <f>IFERROR(INDEX(_datos!$G$2:$G$401,MATCH(ROW()-13,_datos!$K$2:$K$401,0)),"")</f>
      </c>
      <c r="I257" s="24">
        <f>IFERROR(INDEX(_datos!$H$2:$H$401,MATCH(ROW()-13,_datos!$K$2:$K$401,0)),"")</f>
      </c>
      <c r="J257" s="22">
        <f>IFERROR(INDEX(_datos!$I$2:$I$401,MATCH(ROW()-13,_datos!$K$2:$K$401,0)),"")</f>
      </c>
      <c r="K257" s="44">
        <f>IFERROR(HYPERLINK(INDEX(_datos!$J$2:$J$401,MATCH(ROW()-13,_datos!$K$2:$K$401,0)),"abrir mapa"),"")</f>
      </c>
    </row>
    <row r="258" ht="18.75" customHeight="1" spans="2:11" x14ac:dyDescent="0.25">
      <c r="B258" s="20">
        <f>IFERROR(INDEX(_datos!$A$2:$A$401,MATCH(ROW()-13,_datos!$K$2:$K$401,0)),"")</f>
      </c>
      <c r="C258" s="22">
        <f>IFERROR(INDEX(_datos!$B$2:$B$401,MATCH(ROW()-13,_datos!$K$2:$K$401,0)),"")</f>
      </c>
      <c r="D258" s="43">
        <f>IFERROR(INDEX(_datos!$C$2:$C$401,MATCH(ROW()-13,_datos!$K$2:$K$401,0)),"")</f>
      </c>
      <c r="E258" s="22">
        <f>IFERROR(INDEX(_datos!$D$2:$D$401,MATCH(ROW()-13,_datos!$K$2:$K$401,0)),"")</f>
      </c>
      <c r="F258" s="21">
        <f>IFERROR(INDEX(_datos!$E$2:$E$401,MATCH(ROW()-13,_datos!$K$2:$K$401,0)),"")</f>
      </c>
      <c r="G258" s="23">
        <f>IFERROR(INDEX(_datos!$F$2:$F$401,MATCH(ROW()-13,_datos!$K$2:$K$401,0)),"")</f>
      </c>
      <c r="H258" s="21">
        <f>IFERROR(INDEX(_datos!$G$2:$G$401,MATCH(ROW()-13,_datos!$K$2:$K$401,0)),"")</f>
      </c>
      <c r="I258" s="24">
        <f>IFERROR(INDEX(_datos!$H$2:$H$401,MATCH(ROW()-13,_datos!$K$2:$K$401,0)),"")</f>
      </c>
      <c r="J258" s="22">
        <f>IFERROR(INDEX(_datos!$I$2:$I$401,MATCH(ROW()-13,_datos!$K$2:$K$401,0)),"")</f>
      </c>
      <c r="K258" s="44">
        <f>IFERROR(HYPERLINK(INDEX(_datos!$J$2:$J$401,MATCH(ROW()-13,_datos!$K$2:$K$401,0)),"abrir mapa"),"")</f>
      </c>
    </row>
    <row r="259" ht="18.75" customHeight="1" spans="2:11" x14ac:dyDescent="0.25">
      <c r="B259" s="20">
        <f>IFERROR(INDEX(_datos!$A$2:$A$401,MATCH(ROW()-13,_datos!$K$2:$K$401,0)),"")</f>
      </c>
      <c r="C259" s="22">
        <f>IFERROR(INDEX(_datos!$B$2:$B$401,MATCH(ROW()-13,_datos!$K$2:$K$401,0)),"")</f>
      </c>
      <c r="D259" s="43">
        <f>IFERROR(INDEX(_datos!$C$2:$C$401,MATCH(ROW()-13,_datos!$K$2:$K$401,0)),"")</f>
      </c>
      <c r="E259" s="22">
        <f>IFERROR(INDEX(_datos!$D$2:$D$401,MATCH(ROW()-13,_datos!$K$2:$K$401,0)),"")</f>
      </c>
      <c r="F259" s="21">
        <f>IFERROR(INDEX(_datos!$E$2:$E$401,MATCH(ROW()-13,_datos!$K$2:$K$401,0)),"")</f>
      </c>
      <c r="G259" s="23">
        <f>IFERROR(INDEX(_datos!$F$2:$F$401,MATCH(ROW()-13,_datos!$K$2:$K$401,0)),"")</f>
      </c>
      <c r="H259" s="21">
        <f>IFERROR(INDEX(_datos!$G$2:$G$401,MATCH(ROW()-13,_datos!$K$2:$K$401,0)),"")</f>
      </c>
      <c r="I259" s="24">
        <f>IFERROR(INDEX(_datos!$H$2:$H$401,MATCH(ROW()-13,_datos!$K$2:$K$401,0)),"")</f>
      </c>
      <c r="J259" s="22">
        <f>IFERROR(INDEX(_datos!$I$2:$I$401,MATCH(ROW()-13,_datos!$K$2:$K$401,0)),"")</f>
      </c>
      <c r="K259" s="44">
        <f>IFERROR(HYPERLINK(INDEX(_datos!$J$2:$J$401,MATCH(ROW()-13,_datos!$K$2:$K$401,0)),"abrir mapa"),"")</f>
      </c>
    </row>
    <row r="260" ht="18.75" customHeight="1" spans="2:11" x14ac:dyDescent="0.25">
      <c r="B260" s="20">
        <f>IFERROR(INDEX(_datos!$A$2:$A$401,MATCH(ROW()-13,_datos!$K$2:$K$401,0)),"")</f>
      </c>
      <c r="C260" s="22">
        <f>IFERROR(INDEX(_datos!$B$2:$B$401,MATCH(ROW()-13,_datos!$K$2:$K$401,0)),"")</f>
      </c>
      <c r="D260" s="43">
        <f>IFERROR(INDEX(_datos!$C$2:$C$401,MATCH(ROW()-13,_datos!$K$2:$K$401,0)),"")</f>
      </c>
      <c r="E260" s="22">
        <f>IFERROR(INDEX(_datos!$D$2:$D$401,MATCH(ROW()-13,_datos!$K$2:$K$401,0)),"")</f>
      </c>
      <c r="F260" s="21">
        <f>IFERROR(INDEX(_datos!$E$2:$E$401,MATCH(ROW()-13,_datos!$K$2:$K$401,0)),"")</f>
      </c>
      <c r="G260" s="23">
        <f>IFERROR(INDEX(_datos!$F$2:$F$401,MATCH(ROW()-13,_datos!$K$2:$K$401,0)),"")</f>
      </c>
      <c r="H260" s="21">
        <f>IFERROR(INDEX(_datos!$G$2:$G$401,MATCH(ROW()-13,_datos!$K$2:$K$401,0)),"")</f>
      </c>
      <c r="I260" s="24">
        <f>IFERROR(INDEX(_datos!$H$2:$H$401,MATCH(ROW()-13,_datos!$K$2:$K$401,0)),"")</f>
      </c>
      <c r="J260" s="22">
        <f>IFERROR(INDEX(_datos!$I$2:$I$401,MATCH(ROW()-13,_datos!$K$2:$K$401,0)),"")</f>
      </c>
      <c r="K260" s="44">
        <f>IFERROR(HYPERLINK(INDEX(_datos!$J$2:$J$401,MATCH(ROW()-13,_datos!$K$2:$K$401,0)),"abrir mapa"),"")</f>
      </c>
    </row>
    <row r="261" ht="18.75" customHeight="1" spans="2:11" x14ac:dyDescent="0.25">
      <c r="B261" s="20">
        <f>IFERROR(INDEX(_datos!$A$2:$A$401,MATCH(ROW()-13,_datos!$K$2:$K$401,0)),"")</f>
      </c>
      <c r="C261" s="22">
        <f>IFERROR(INDEX(_datos!$B$2:$B$401,MATCH(ROW()-13,_datos!$K$2:$K$401,0)),"")</f>
      </c>
      <c r="D261" s="43">
        <f>IFERROR(INDEX(_datos!$C$2:$C$401,MATCH(ROW()-13,_datos!$K$2:$K$401,0)),"")</f>
      </c>
      <c r="E261" s="22">
        <f>IFERROR(INDEX(_datos!$D$2:$D$401,MATCH(ROW()-13,_datos!$K$2:$K$401,0)),"")</f>
      </c>
      <c r="F261" s="21">
        <f>IFERROR(INDEX(_datos!$E$2:$E$401,MATCH(ROW()-13,_datos!$K$2:$K$401,0)),"")</f>
      </c>
      <c r="G261" s="23">
        <f>IFERROR(INDEX(_datos!$F$2:$F$401,MATCH(ROW()-13,_datos!$K$2:$K$401,0)),"")</f>
      </c>
      <c r="H261" s="21">
        <f>IFERROR(INDEX(_datos!$G$2:$G$401,MATCH(ROW()-13,_datos!$K$2:$K$401,0)),"")</f>
      </c>
      <c r="I261" s="24">
        <f>IFERROR(INDEX(_datos!$H$2:$H$401,MATCH(ROW()-13,_datos!$K$2:$K$401,0)),"")</f>
      </c>
      <c r="J261" s="22">
        <f>IFERROR(INDEX(_datos!$I$2:$I$401,MATCH(ROW()-13,_datos!$K$2:$K$401,0)),"")</f>
      </c>
      <c r="K261" s="44">
        <f>IFERROR(HYPERLINK(INDEX(_datos!$J$2:$J$401,MATCH(ROW()-13,_datos!$K$2:$K$401,0)),"abrir mapa"),"")</f>
      </c>
    </row>
    <row r="262" ht="18.75" customHeight="1" spans="2:11" x14ac:dyDescent="0.25">
      <c r="B262" s="20">
        <f>IFERROR(INDEX(_datos!$A$2:$A$401,MATCH(ROW()-13,_datos!$K$2:$K$401,0)),"")</f>
      </c>
      <c r="C262" s="22">
        <f>IFERROR(INDEX(_datos!$B$2:$B$401,MATCH(ROW()-13,_datos!$K$2:$K$401,0)),"")</f>
      </c>
      <c r="D262" s="43">
        <f>IFERROR(INDEX(_datos!$C$2:$C$401,MATCH(ROW()-13,_datos!$K$2:$K$401,0)),"")</f>
      </c>
      <c r="E262" s="22">
        <f>IFERROR(INDEX(_datos!$D$2:$D$401,MATCH(ROW()-13,_datos!$K$2:$K$401,0)),"")</f>
      </c>
      <c r="F262" s="21">
        <f>IFERROR(INDEX(_datos!$E$2:$E$401,MATCH(ROW()-13,_datos!$K$2:$K$401,0)),"")</f>
      </c>
      <c r="G262" s="23">
        <f>IFERROR(INDEX(_datos!$F$2:$F$401,MATCH(ROW()-13,_datos!$K$2:$K$401,0)),"")</f>
      </c>
      <c r="H262" s="21">
        <f>IFERROR(INDEX(_datos!$G$2:$G$401,MATCH(ROW()-13,_datos!$K$2:$K$401,0)),"")</f>
      </c>
      <c r="I262" s="24">
        <f>IFERROR(INDEX(_datos!$H$2:$H$401,MATCH(ROW()-13,_datos!$K$2:$K$401,0)),"")</f>
      </c>
      <c r="J262" s="22">
        <f>IFERROR(INDEX(_datos!$I$2:$I$401,MATCH(ROW()-13,_datos!$K$2:$K$401,0)),"")</f>
      </c>
      <c r="K262" s="44">
        <f>IFERROR(HYPERLINK(INDEX(_datos!$J$2:$J$401,MATCH(ROW()-13,_datos!$K$2:$K$401,0)),"abrir mapa"),"")</f>
      </c>
    </row>
    <row r="263" ht="18.75" customHeight="1" spans="2:11" x14ac:dyDescent="0.25">
      <c r="B263" s="20">
        <f>IFERROR(INDEX(_datos!$A$2:$A$401,MATCH(ROW()-13,_datos!$K$2:$K$401,0)),"")</f>
      </c>
      <c r="C263" s="22">
        <f>IFERROR(INDEX(_datos!$B$2:$B$401,MATCH(ROW()-13,_datos!$K$2:$K$401,0)),"")</f>
      </c>
      <c r="D263" s="43">
        <f>IFERROR(INDEX(_datos!$C$2:$C$401,MATCH(ROW()-13,_datos!$K$2:$K$401,0)),"")</f>
      </c>
      <c r="E263" s="22">
        <f>IFERROR(INDEX(_datos!$D$2:$D$401,MATCH(ROW()-13,_datos!$K$2:$K$401,0)),"")</f>
      </c>
      <c r="F263" s="21">
        <f>IFERROR(INDEX(_datos!$E$2:$E$401,MATCH(ROW()-13,_datos!$K$2:$K$401,0)),"")</f>
      </c>
      <c r="G263" s="23">
        <f>IFERROR(INDEX(_datos!$F$2:$F$401,MATCH(ROW()-13,_datos!$K$2:$K$401,0)),"")</f>
      </c>
      <c r="H263" s="21">
        <f>IFERROR(INDEX(_datos!$G$2:$G$401,MATCH(ROW()-13,_datos!$K$2:$K$401,0)),"")</f>
      </c>
      <c r="I263" s="24">
        <f>IFERROR(INDEX(_datos!$H$2:$H$401,MATCH(ROW()-13,_datos!$K$2:$K$401,0)),"")</f>
      </c>
      <c r="J263" s="22">
        <f>IFERROR(INDEX(_datos!$I$2:$I$401,MATCH(ROW()-13,_datos!$K$2:$K$401,0)),"")</f>
      </c>
      <c r="K263" s="44">
        <f>IFERROR(HYPERLINK(INDEX(_datos!$J$2:$J$401,MATCH(ROW()-13,_datos!$K$2:$K$401,0)),"abrir mapa"),"")</f>
      </c>
    </row>
    <row r="264" ht="18.75" customHeight="1" spans="2:11" x14ac:dyDescent="0.25">
      <c r="B264" s="20">
        <f>IFERROR(INDEX(_datos!$A$2:$A$401,MATCH(ROW()-13,_datos!$K$2:$K$401,0)),"")</f>
      </c>
      <c r="C264" s="22">
        <f>IFERROR(INDEX(_datos!$B$2:$B$401,MATCH(ROW()-13,_datos!$K$2:$K$401,0)),"")</f>
      </c>
      <c r="D264" s="43">
        <f>IFERROR(INDEX(_datos!$C$2:$C$401,MATCH(ROW()-13,_datos!$K$2:$K$401,0)),"")</f>
      </c>
      <c r="E264" s="22">
        <f>IFERROR(INDEX(_datos!$D$2:$D$401,MATCH(ROW()-13,_datos!$K$2:$K$401,0)),"")</f>
      </c>
      <c r="F264" s="21">
        <f>IFERROR(INDEX(_datos!$E$2:$E$401,MATCH(ROW()-13,_datos!$K$2:$K$401,0)),"")</f>
      </c>
      <c r="G264" s="23">
        <f>IFERROR(INDEX(_datos!$F$2:$F$401,MATCH(ROW()-13,_datos!$K$2:$K$401,0)),"")</f>
      </c>
      <c r="H264" s="21">
        <f>IFERROR(INDEX(_datos!$G$2:$G$401,MATCH(ROW()-13,_datos!$K$2:$K$401,0)),"")</f>
      </c>
      <c r="I264" s="24">
        <f>IFERROR(INDEX(_datos!$H$2:$H$401,MATCH(ROW()-13,_datos!$K$2:$K$401,0)),"")</f>
      </c>
      <c r="J264" s="22">
        <f>IFERROR(INDEX(_datos!$I$2:$I$401,MATCH(ROW()-13,_datos!$K$2:$K$401,0)),"")</f>
      </c>
      <c r="K264" s="44">
        <f>IFERROR(HYPERLINK(INDEX(_datos!$J$2:$J$401,MATCH(ROW()-13,_datos!$K$2:$K$401,0)),"abrir mapa"),"")</f>
      </c>
    </row>
    <row r="265" ht="18.75" customHeight="1" spans="2:11" x14ac:dyDescent="0.25">
      <c r="B265" s="20">
        <f>IFERROR(INDEX(_datos!$A$2:$A$401,MATCH(ROW()-13,_datos!$K$2:$K$401,0)),"")</f>
      </c>
      <c r="C265" s="22">
        <f>IFERROR(INDEX(_datos!$B$2:$B$401,MATCH(ROW()-13,_datos!$K$2:$K$401,0)),"")</f>
      </c>
      <c r="D265" s="43">
        <f>IFERROR(INDEX(_datos!$C$2:$C$401,MATCH(ROW()-13,_datos!$K$2:$K$401,0)),"")</f>
      </c>
      <c r="E265" s="22">
        <f>IFERROR(INDEX(_datos!$D$2:$D$401,MATCH(ROW()-13,_datos!$K$2:$K$401,0)),"")</f>
      </c>
      <c r="F265" s="21">
        <f>IFERROR(INDEX(_datos!$E$2:$E$401,MATCH(ROW()-13,_datos!$K$2:$K$401,0)),"")</f>
      </c>
      <c r="G265" s="23">
        <f>IFERROR(INDEX(_datos!$F$2:$F$401,MATCH(ROW()-13,_datos!$K$2:$K$401,0)),"")</f>
      </c>
      <c r="H265" s="21">
        <f>IFERROR(INDEX(_datos!$G$2:$G$401,MATCH(ROW()-13,_datos!$K$2:$K$401,0)),"")</f>
      </c>
      <c r="I265" s="24">
        <f>IFERROR(INDEX(_datos!$H$2:$H$401,MATCH(ROW()-13,_datos!$K$2:$K$401,0)),"")</f>
      </c>
      <c r="J265" s="22">
        <f>IFERROR(INDEX(_datos!$I$2:$I$401,MATCH(ROW()-13,_datos!$K$2:$K$401,0)),"")</f>
      </c>
      <c r="K265" s="44">
        <f>IFERROR(HYPERLINK(INDEX(_datos!$J$2:$J$401,MATCH(ROW()-13,_datos!$K$2:$K$401,0)),"abrir mapa"),"")</f>
      </c>
    </row>
    <row r="266" ht="18.75" customHeight="1" spans="2:11" x14ac:dyDescent="0.25">
      <c r="B266" s="20">
        <f>IFERROR(INDEX(_datos!$A$2:$A$401,MATCH(ROW()-13,_datos!$K$2:$K$401,0)),"")</f>
      </c>
      <c r="C266" s="22">
        <f>IFERROR(INDEX(_datos!$B$2:$B$401,MATCH(ROW()-13,_datos!$K$2:$K$401,0)),"")</f>
      </c>
      <c r="D266" s="43">
        <f>IFERROR(INDEX(_datos!$C$2:$C$401,MATCH(ROW()-13,_datos!$K$2:$K$401,0)),"")</f>
      </c>
      <c r="E266" s="22">
        <f>IFERROR(INDEX(_datos!$D$2:$D$401,MATCH(ROW()-13,_datos!$K$2:$K$401,0)),"")</f>
      </c>
      <c r="F266" s="21">
        <f>IFERROR(INDEX(_datos!$E$2:$E$401,MATCH(ROW()-13,_datos!$K$2:$K$401,0)),"")</f>
      </c>
      <c r="G266" s="23">
        <f>IFERROR(INDEX(_datos!$F$2:$F$401,MATCH(ROW()-13,_datos!$K$2:$K$401,0)),"")</f>
      </c>
      <c r="H266" s="21">
        <f>IFERROR(INDEX(_datos!$G$2:$G$401,MATCH(ROW()-13,_datos!$K$2:$K$401,0)),"")</f>
      </c>
      <c r="I266" s="24">
        <f>IFERROR(INDEX(_datos!$H$2:$H$401,MATCH(ROW()-13,_datos!$K$2:$K$401,0)),"")</f>
      </c>
      <c r="J266" s="22">
        <f>IFERROR(INDEX(_datos!$I$2:$I$401,MATCH(ROW()-13,_datos!$K$2:$K$401,0)),"")</f>
      </c>
      <c r="K266" s="44">
        <f>IFERROR(HYPERLINK(INDEX(_datos!$J$2:$J$401,MATCH(ROW()-13,_datos!$K$2:$K$401,0)),"abrir mapa"),"")</f>
      </c>
    </row>
    <row r="267" ht="18.75" customHeight="1" spans="2:11" x14ac:dyDescent="0.25">
      <c r="B267" s="20">
        <f>IFERROR(INDEX(_datos!$A$2:$A$401,MATCH(ROW()-13,_datos!$K$2:$K$401,0)),"")</f>
      </c>
      <c r="C267" s="22">
        <f>IFERROR(INDEX(_datos!$B$2:$B$401,MATCH(ROW()-13,_datos!$K$2:$K$401,0)),"")</f>
      </c>
      <c r="D267" s="43">
        <f>IFERROR(INDEX(_datos!$C$2:$C$401,MATCH(ROW()-13,_datos!$K$2:$K$401,0)),"")</f>
      </c>
      <c r="E267" s="22">
        <f>IFERROR(INDEX(_datos!$D$2:$D$401,MATCH(ROW()-13,_datos!$K$2:$K$401,0)),"")</f>
      </c>
      <c r="F267" s="21">
        <f>IFERROR(INDEX(_datos!$E$2:$E$401,MATCH(ROW()-13,_datos!$K$2:$K$401,0)),"")</f>
      </c>
      <c r="G267" s="23">
        <f>IFERROR(INDEX(_datos!$F$2:$F$401,MATCH(ROW()-13,_datos!$K$2:$K$401,0)),"")</f>
      </c>
      <c r="H267" s="21">
        <f>IFERROR(INDEX(_datos!$G$2:$G$401,MATCH(ROW()-13,_datos!$K$2:$K$401,0)),"")</f>
      </c>
      <c r="I267" s="24">
        <f>IFERROR(INDEX(_datos!$H$2:$H$401,MATCH(ROW()-13,_datos!$K$2:$K$401,0)),"")</f>
      </c>
      <c r="J267" s="22">
        <f>IFERROR(INDEX(_datos!$I$2:$I$401,MATCH(ROW()-13,_datos!$K$2:$K$401,0)),"")</f>
      </c>
      <c r="K267" s="44">
        <f>IFERROR(HYPERLINK(INDEX(_datos!$J$2:$J$401,MATCH(ROW()-13,_datos!$K$2:$K$401,0)),"abrir mapa"),"")</f>
      </c>
    </row>
    <row r="268" ht="18.75" customHeight="1" spans="2:11" x14ac:dyDescent="0.25">
      <c r="B268" s="20">
        <f>IFERROR(INDEX(_datos!$A$2:$A$401,MATCH(ROW()-13,_datos!$K$2:$K$401,0)),"")</f>
      </c>
      <c r="C268" s="22">
        <f>IFERROR(INDEX(_datos!$B$2:$B$401,MATCH(ROW()-13,_datos!$K$2:$K$401,0)),"")</f>
      </c>
      <c r="D268" s="43">
        <f>IFERROR(INDEX(_datos!$C$2:$C$401,MATCH(ROW()-13,_datos!$K$2:$K$401,0)),"")</f>
      </c>
      <c r="E268" s="22">
        <f>IFERROR(INDEX(_datos!$D$2:$D$401,MATCH(ROW()-13,_datos!$K$2:$K$401,0)),"")</f>
      </c>
      <c r="F268" s="21">
        <f>IFERROR(INDEX(_datos!$E$2:$E$401,MATCH(ROW()-13,_datos!$K$2:$K$401,0)),"")</f>
      </c>
      <c r="G268" s="23">
        <f>IFERROR(INDEX(_datos!$F$2:$F$401,MATCH(ROW()-13,_datos!$K$2:$K$401,0)),"")</f>
      </c>
      <c r="H268" s="21">
        <f>IFERROR(INDEX(_datos!$G$2:$G$401,MATCH(ROW()-13,_datos!$K$2:$K$401,0)),"")</f>
      </c>
      <c r="I268" s="24">
        <f>IFERROR(INDEX(_datos!$H$2:$H$401,MATCH(ROW()-13,_datos!$K$2:$K$401,0)),"")</f>
      </c>
      <c r="J268" s="22">
        <f>IFERROR(INDEX(_datos!$I$2:$I$401,MATCH(ROW()-13,_datos!$K$2:$K$401,0)),"")</f>
      </c>
      <c r="K268" s="44">
        <f>IFERROR(HYPERLINK(INDEX(_datos!$J$2:$J$401,MATCH(ROW()-13,_datos!$K$2:$K$401,0)),"abrir mapa"),"")</f>
      </c>
    </row>
    <row r="269" ht="18.75" customHeight="1" spans="2:11" x14ac:dyDescent="0.25">
      <c r="B269" s="20">
        <f>IFERROR(INDEX(_datos!$A$2:$A$401,MATCH(ROW()-13,_datos!$K$2:$K$401,0)),"")</f>
      </c>
      <c r="C269" s="22">
        <f>IFERROR(INDEX(_datos!$B$2:$B$401,MATCH(ROW()-13,_datos!$K$2:$K$401,0)),"")</f>
      </c>
      <c r="D269" s="43">
        <f>IFERROR(INDEX(_datos!$C$2:$C$401,MATCH(ROW()-13,_datos!$K$2:$K$401,0)),"")</f>
      </c>
      <c r="E269" s="22">
        <f>IFERROR(INDEX(_datos!$D$2:$D$401,MATCH(ROW()-13,_datos!$K$2:$K$401,0)),"")</f>
      </c>
      <c r="F269" s="21">
        <f>IFERROR(INDEX(_datos!$E$2:$E$401,MATCH(ROW()-13,_datos!$K$2:$K$401,0)),"")</f>
      </c>
      <c r="G269" s="23">
        <f>IFERROR(INDEX(_datos!$F$2:$F$401,MATCH(ROW()-13,_datos!$K$2:$K$401,0)),"")</f>
      </c>
      <c r="H269" s="21">
        <f>IFERROR(INDEX(_datos!$G$2:$G$401,MATCH(ROW()-13,_datos!$K$2:$K$401,0)),"")</f>
      </c>
      <c r="I269" s="24">
        <f>IFERROR(INDEX(_datos!$H$2:$H$401,MATCH(ROW()-13,_datos!$K$2:$K$401,0)),"")</f>
      </c>
      <c r="J269" s="22">
        <f>IFERROR(INDEX(_datos!$I$2:$I$401,MATCH(ROW()-13,_datos!$K$2:$K$401,0)),"")</f>
      </c>
      <c r="K269" s="44">
        <f>IFERROR(HYPERLINK(INDEX(_datos!$J$2:$J$401,MATCH(ROW()-13,_datos!$K$2:$K$401,0)),"abrir mapa"),"")</f>
      </c>
    </row>
    <row r="270" ht="18.75" customHeight="1" spans="2:11" x14ac:dyDescent="0.25">
      <c r="B270" s="20">
        <f>IFERROR(INDEX(_datos!$A$2:$A$401,MATCH(ROW()-13,_datos!$K$2:$K$401,0)),"")</f>
      </c>
      <c r="C270" s="22">
        <f>IFERROR(INDEX(_datos!$B$2:$B$401,MATCH(ROW()-13,_datos!$K$2:$K$401,0)),"")</f>
      </c>
      <c r="D270" s="43">
        <f>IFERROR(INDEX(_datos!$C$2:$C$401,MATCH(ROW()-13,_datos!$K$2:$K$401,0)),"")</f>
      </c>
      <c r="E270" s="22">
        <f>IFERROR(INDEX(_datos!$D$2:$D$401,MATCH(ROW()-13,_datos!$K$2:$K$401,0)),"")</f>
      </c>
      <c r="F270" s="21">
        <f>IFERROR(INDEX(_datos!$E$2:$E$401,MATCH(ROW()-13,_datos!$K$2:$K$401,0)),"")</f>
      </c>
      <c r="G270" s="23">
        <f>IFERROR(INDEX(_datos!$F$2:$F$401,MATCH(ROW()-13,_datos!$K$2:$K$401,0)),"")</f>
      </c>
      <c r="H270" s="21">
        <f>IFERROR(INDEX(_datos!$G$2:$G$401,MATCH(ROW()-13,_datos!$K$2:$K$401,0)),"")</f>
      </c>
      <c r="I270" s="24">
        <f>IFERROR(INDEX(_datos!$H$2:$H$401,MATCH(ROW()-13,_datos!$K$2:$K$401,0)),"")</f>
      </c>
      <c r="J270" s="22">
        <f>IFERROR(INDEX(_datos!$I$2:$I$401,MATCH(ROW()-13,_datos!$K$2:$K$401,0)),"")</f>
      </c>
      <c r="K270" s="44">
        <f>IFERROR(HYPERLINK(INDEX(_datos!$J$2:$J$401,MATCH(ROW()-13,_datos!$K$2:$K$401,0)),"abrir mapa"),"")</f>
      </c>
    </row>
    <row r="271" ht="18.75" customHeight="1" spans="2:11" x14ac:dyDescent="0.25">
      <c r="B271" s="20">
        <f>IFERROR(INDEX(_datos!$A$2:$A$401,MATCH(ROW()-13,_datos!$K$2:$K$401,0)),"")</f>
      </c>
      <c r="C271" s="22">
        <f>IFERROR(INDEX(_datos!$B$2:$B$401,MATCH(ROW()-13,_datos!$K$2:$K$401,0)),"")</f>
      </c>
      <c r="D271" s="43">
        <f>IFERROR(INDEX(_datos!$C$2:$C$401,MATCH(ROW()-13,_datos!$K$2:$K$401,0)),"")</f>
      </c>
      <c r="E271" s="22">
        <f>IFERROR(INDEX(_datos!$D$2:$D$401,MATCH(ROW()-13,_datos!$K$2:$K$401,0)),"")</f>
      </c>
      <c r="F271" s="21">
        <f>IFERROR(INDEX(_datos!$E$2:$E$401,MATCH(ROW()-13,_datos!$K$2:$K$401,0)),"")</f>
      </c>
      <c r="G271" s="23">
        <f>IFERROR(INDEX(_datos!$F$2:$F$401,MATCH(ROW()-13,_datos!$K$2:$K$401,0)),"")</f>
      </c>
      <c r="H271" s="21">
        <f>IFERROR(INDEX(_datos!$G$2:$G$401,MATCH(ROW()-13,_datos!$K$2:$K$401,0)),"")</f>
      </c>
      <c r="I271" s="24">
        <f>IFERROR(INDEX(_datos!$H$2:$H$401,MATCH(ROW()-13,_datos!$K$2:$K$401,0)),"")</f>
      </c>
      <c r="J271" s="22">
        <f>IFERROR(INDEX(_datos!$I$2:$I$401,MATCH(ROW()-13,_datos!$K$2:$K$401,0)),"")</f>
      </c>
      <c r="K271" s="44">
        <f>IFERROR(HYPERLINK(INDEX(_datos!$J$2:$J$401,MATCH(ROW()-13,_datos!$K$2:$K$401,0)),"abrir mapa"),"")</f>
      </c>
    </row>
    <row r="272" ht="18.75" customHeight="1" spans="2:11" x14ac:dyDescent="0.25">
      <c r="B272" s="20">
        <f>IFERROR(INDEX(_datos!$A$2:$A$401,MATCH(ROW()-13,_datos!$K$2:$K$401,0)),"")</f>
      </c>
      <c r="C272" s="22">
        <f>IFERROR(INDEX(_datos!$B$2:$B$401,MATCH(ROW()-13,_datos!$K$2:$K$401,0)),"")</f>
      </c>
      <c r="D272" s="43">
        <f>IFERROR(INDEX(_datos!$C$2:$C$401,MATCH(ROW()-13,_datos!$K$2:$K$401,0)),"")</f>
      </c>
      <c r="E272" s="22">
        <f>IFERROR(INDEX(_datos!$D$2:$D$401,MATCH(ROW()-13,_datos!$K$2:$K$401,0)),"")</f>
      </c>
      <c r="F272" s="21">
        <f>IFERROR(INDEX(_datos!$E$2:$E$401,MATCH(ROW()-13,_datos!$K$2:$K$401,0)),"")</f>
      </c>
      <c r="G272" s="23">
        <f>IFERROR(INDEX(_datos!$F$2:$F$401,MATCH(ROW()-13,_datos!$K$2:$K$401,0)),"")</f>
      </c>
      <c r="H272" s="21">
        <f>IFERROR(INDEX(_datos!$G$2:$G$401,MATCH(ROW()-13,_datos!$K$2:$K$401,0)),"")</f>
      </c>
      <c r="I272" s="24">
        <f>IFERROR(INDEX(_datos!$H$2:$H$401,MATCH(ROW()-13,_datos!$K$2:$K$401,0)),"")</f>
      </c>
      <c r="J272" s="22">
        <f>IFERROR(INDEX(_datos!$I$2:$I$401,MATCH(ROW()-13,_datos!$K$2:$K$401,0)),"")</f>
      </c>
      <c r="K272" s="44">
        <f>IFERROR(HYPERLINK(INDEX(_datos!$J$2:$J$401,MATCH(ROW()-13,_datos!$K$2:$K$401,0)),"abrir mapa"),"")</f>
      </c>
    </row>
    <row r="273" ht="18.75" customHeight="1" spans="2:11" x14ac:dyDescent="0.25">
      <c r="B273" s="20">
        <f>IFERROR(INDEX(_datos!$A$2:$A$401,MATCH(ROW()-13,_datos!$K$2:$K$401,0)),"")</f>
      </c>
      <c r="C273" s="22">
        <f>IFERROR(INDEX(_datos!$B$2:$B$401,MATCH(ROW()-13,_datos!$K$2:$K$401,0)),"")</f>
      </c>
      <c r="D273" s="43">
        <f>IFERROR(INDEX(_datos!$C$2:$C$401,MATCH(ROW()-13,_datos!$K$2:$K$401,0)),"")</f>
      </c>
      <c r="E273" s="22">
        <f>IFERROR(INDEX(_datos!$D$2:$D$401,MATCH(ROW()-13,_datos!$K$2:$K$401,0)),"")</f>
      </c>
      <c r="F273" s="21">
        <f>IFERROR(INDEX(_datos!$E$2:$E$401,MATCH(ROW()-13,_datos!$K$2:$K$401,0)),"")</f>
      </c>
      <c r="G273" s="23">
        <f>IFERROR(INDEX(_datos!$F$2:$F$401,MATCH(ROW()-13,_datos!$K$2:$K$401,0)),"")</f>
      </c>
      <c r="H273" s="21">
        <f>IFERROR(INDEX(_datos!$G$2:$G$401,MATCH(ROW()-13,_datos!$K$2:$K$401,0)),"")</f>
      </c>
      <c r="I273" s="24">
        <f>IFERROR(INDEX(_datos!$H$2:$H$401,MATCH(ROW()-13,_datos!$K$2:$K$401,0)),"")</f>
      </c>
      <c r="J273" s="22">
        <f>IFERROR(INDEX(_datos!$I$2:$I$401,MATCH(ROW()-13,_datos!$K$2:$K$401,0)),"")</f>
      </c>
      <c r="K273" s="44">
        <f>IFERROR(HYPERLINK(INDEX(_datos!$J$2:$J$401,MATCH(ROW()-13,_datos!$K$2:$K$401,0)),"abrir mapa"),"")</f>
      </c>
    </row>
    <row r="274" ht="18.75" customHeight="1" spans="2:11" x14ac:dyDescent="0.25">
      <c r="B274" s="20">
        <f>IFERROR(INDEX(_datos!$A$2:$A$401,MATCH(ROW()-13,_datos!$K$2:$K$401,0)),"")</f>
      </c>
      <c r="C274" s="22">
        <f>IFERROR(INDEX(_datos!$B$2:$B$401,MATCH(ROW()-13,_datos!$K$2:$K$401,0)),"")</f>
      </c>
      <c r="D274" s="43">
        <f>IFERROR(INDEX(_datos!$C$2:$C$401,MATCH(ROW()-13,_datos!$K$2:$K$401,0)),"")</f>
      </c>
      <c r="E274" s="22">
        <f>IFERROR(INDEX(_datos!$D$2:$D$401,MATCH(ROW()-13,_datos!$K$2:$K$401,0)),"")</f>
      </c>
      <c r="F274" s="21">
        <f>IFERROR(INDEX(_datos!$E$2:$E$401,MATCH(ROW()-13,_datos!$K$2:$K$401,0)),"")</f>
      </c>
      <c r="G274" s="23">
        <f>IFERROR(INDEX(_datos!$F$2:$F$401,MATCH(ROW()-13,_datos!$K$2:$K$401,0)),"")</f>
      </c>
      <c r="H274" s="21">
        <f>IFERROR(INDEX(_datos!$G$2:$G$401,MATCH(ROW()-13,_datos!$K$2:$K$401,0)),"")</f>
      </c>
      <c r="I274" s="24">
        <f>IFERROR(INDEX(_datos!$H$2:$H$401,MATCH(ROW()-13,_datos!$K$2:$K$401,0)),"")</f>
      </c>
      <c r="J274" s="22">
        <f>IFERROR(INDEX(_datos!$I$2:$I$401,MATCH(ROW()-13,_datos!$K$2:$K$401,0)),"")</f>
      </c>
      <c r="K274" s="44">
        <f>IFERROR(HYPERLINK(INDEX(_datos!$J$2:$J$401,MATCH(ROW()-13,_datos!$K$2:$K$401,0)),"abrir mapa"),"")</f>
      </c>
    </row>
    <row r="275" ht="18.75" customHeight="1" spans="2:11" x14ac:dyDescent="0.25">
      <c r="B275" s="20">
        <f>IFERROR(INDEX(_datos!$A$2:$A$401,MATCH(ROW()-13,_datos!$K$2:$K$401,0)),"")</f>
      </c>
      <c r="C275" s="22">
        <f>IFERROR(INDEX(_datos!$B$2:$B$401,MATCH(ROW()-13,_datos!$K$2:$K$401,0)),"")</f>
      </c>
      <c r="D275" s="43">
        <f>IFERROR(INDEX(_datos!$C$2:$C$401,MATCH(ROW()-13,_datos!$K$2:$K$401,0)),"")</f>
      </c>
      <c r="E275" s="22">
        <f>IFERROR(INDEX(_datos!$D$2:$D$401,MATCH(ROW()-13,_datos!$K$2:$K$401,0)),"")</f>
      </c>
      <c r="F275" s="21">
        <f>IFERROR(INDEX(_datos!$E$2:$E$401,MATCH(ROW()-13,_datos!$K$2:$K$401,0)),"")</f>
      </c>
      <c r="G275" s="23">
        <f>IFERROR(INDEX(_datos!$F$2:$F$401,MATCH(ROW()-13,_datos!$K$2:$K$401,0)),"")</f>
      </c>
      <c r="H275" s="21">
        <f>IFERROR(INDEX(_datos!$G$2:$G$401,MATCH(ROW()-13,_datos!$K$2:$K$401,0)),"")</f>
      </c>
      <c r="I275" s="24">
        <f>IFERROR(INDEX(_datos!$H$2:$H$401,MATCH(ROW()-13,_datos!$K$2:$K$401,0)),"")</f>
      </c>
      <c r="J275" s="22">
        <f>IFERROR(INDEX(_datos!$I$2:$I$401,MATCH(ROW()-13,_datos!$K$2:$K$401,0)),"")</f>
      </c>
      <c r="K275" s="44">
        <f>IFERROR(HYPERLINK(INDEX(_datos!$J$2:$J$401,MATCH(ROW()-13,_datos!$K$2:$K$401,0)),"abrir mapa"),"")</f>
      </c>
    </row>
    <row r="276" ht="18.75" customHeight="1" spans="2:11" x14ac:dyDescent="0.25">
      <c r="B276" s="20">
        <f>IFERROR(INDEX(_datos!$A$2:$A$401,MATCH(ROW()-13,_datos!$K$2:$K$401,0)),"")</f>
      </c>
      <c r="C276" s="22">
        <f>IFERROR(INDEX(_datos!$B$2:$B$401,MATCH(ROW()-13,_datos!$K$2:$K$401,0)),"")</f>
      </c>
      <c r="D276" s="43">
        <f>IFERROR(INDEX(_datos!$C$2:$C$401,MATCH(ROW()-13,_datos!$K$2:$K$401,0)),"")</f>
      </c>
      <c r="E276" s="22">
        <f>IFERROR(INDEX(_datos!$D$2:$D$401,MATCH(ROW()-13,_datos!$K$2:$K$401,0)),"")</f>
      </c>
      <c r="F276" s="21">
        <f>IFERROR(INDEX(_datos!$E$2:$E$401,MATCH(ROW()-13,_datos!$K$2:$K$401,0)),"")</f>
      </c>
      <c r="G276" s="23">
        <f>IFERROR(INDEX(_datos!$F$2:$F$401,MATCH(ROW()-13,_datos!$K$2:$K$401,0)),"")</f>
      </c>
      <c r="H276" s="21">
        <f>IFERROR(INDEX(_datos!$G$2:$G$401,MATCH(ROW()-13,_datos!$K$2:$K$401,0)),"")</f>
      </c>
      <c r="I276" s="24">
        <f>IFERROR(INDEX(_datos!$H$2:$H$401,MATCH(ROW()-13,_datos!$K$2:$K$401,0)),"")</f>
      </c>
      <c r="J276" s="22">
        <f>IFERROR(INDEX(_datos!$I$2:$I$401,MATCH(ROW()-13,_datos!$K$2:$K$401,0)),"")</f>
      </c>
      <c r="K276" s="44">
        <f>IFERROR(HYPERLINK(INDEX(_datos!$J$2:$J$401,MATCH(ROW()-13,_datos!$K$2:$K$401,0)),"abrir mapa"),"")</f>
      </c>
    </row>
    <row r="277" ht="18.75" customHeight="1" spans="2:11" x14ac:dyDescent="0.25">
      <c r="B277" s="20">
        <f>IFERROR(INDEX(_datos!$A$2:$A$401,MATCH(ROW()-13,_datos!$K$2:$K$401,0)),"")</f>
      </c>
      <c r="C277" s="22">
        <f>IFERROR(INDEX(_datos!$B$2:$B$401,MATCH(ROW()-13,_datos!$K$2:$K$401,0)),"")</f>
      </c>
      <c r="D277" s="43">
        <f>IFERROR(INDEX(_datos!$C$2:$C$401,MATCH(ROW()-13,_datos!$K$2:$K$401,0)),"")</f>
      </c>
      <c r="E277" s="22">
        <f>IFERROR(INDEX(_datos!$D$2:$D$401,MATCH(ROW()-13,_datos!$K$2:$K$401,0)),"")</f>
      </c>
      <c r="F277" s="21">
        <f>IFERROR(INDEX(_datos!$E$2:$E$401,MATCH(ROW()-13,_datos!$K$2:$K$401,0)),"")</f>
      </c>
      <c r="G277" s="23">
        <f>IFERROR(INDEX(_datos!$F$2:$F$401,MATCH(ROW()-13,_datos!$K$2:$K$401,0)),"")</f>
      </c>
      <c r="H277" s="21">
        <f>IFERROR(INDEX(_datos!$G$2:$G$401,MATCH(ROW()-13,_datos!$K$2:$K$401,0)),"")</f>
      </c>
      <c r="I277" s="24">
        <f>IFERROR(INDEX(_datos!$H$2:$H$401,MATCH(ROW()-13,_datos!$K$2:$K$401,0)),"")</f>
      </c>
      <c r="J277" s="22">
        <f>IFERROR(INDEX(_datos!$I$2:$I$401,MATCH(ROW()-13,_datos!$K$2:$K$401,0)),"")</f>
      </c>
      <c r="K277" s="44">
        <f>IFERROR(HYPERLINK(INDEX(_datos!$J$2:$J$401,MATCH(ROW()-13,_datos!$K$2:$K$401,0)),"abrir mapa"),"")</f>
      </c>
    </row>
    <row r="278" ht="18.75" customHeight="1" spans="2:11" x14ac:dyDescent="0.25">
      <c r="B278" s="20">
        <f>IFERROR(INDEX(_datos!$A$2:$A$401,MATCH(ROW()-13,_datos!$K$2:$K$401,0)),"")</f>
      </c>
      <c r="C278" s="22">
        <f>IFERROR(INDEX(_datos!$B$2:$B$401,MATCH(ROW()-13,_datos!$K$2:$K$401,0)),"")</f>
      </c>
      <c r="D278" s="43">
        <f>IFERROR(INDEX(_datos!$C$2:$C$401,MATCH(ROW()-13,_datos!$K$2:$K$401,0)),"")</f>
      </c>
      <c r="E278" s="22">
        <f>IFERROR(INDEX(_datos!$D$2:$D$401,MATCH(ROW()-13,_datos!$K$2:$K$401,0)),"")</f>
      </c>
      <c r="F278" s="21">
        <f>IFERROR(INDEX(_datos!$E$2:$E$401,MATCH(ROW()-13,_datos!$K$2:$K$401,0)),"")</f>
      </c>
      <c r="G278" s="23">
        <f>IFERROR(INDEX(_datos!$F$2:$F$401,MATCH(ROW()-13,_datos!$K$2:$K$401,0)),"")</f>
      </c>
      <c r="H278" s="21">
        <f>IFERROR(INDEX(_datos!$G$2:$G$401,MATCH(ROW()-13,_datos!$K$2:$K$401,0)),"")</f>
      </c>
      <c r="I278" s="24">
        <f>IFERROR(INDEX(_datos!$H$2:$H$401,MATCH(ROW()-13,_datos!$K$2:$K$401,0)),"")</f>
      </c>
      <c r="J278" s="22">
        <f>IFERROR(INDEX(_datos!$I$2:$I$401,MATCH(ROW()-13,_datos!$K$2:$K$401,0)),"")</f>
      </c>
      <c r="K278" s="44">
        <f>IFERROR(HYPERLINK(INDEX(_datos!$J$2:$J$401,MATCH(ROW()-13,_datos!$K$2:$K$401,0)),"abrir mapa"),"")</f>
      </c>
    </row>
    <row r="279" ht="18.75" customHeight="1" spans="2:11" x14ac:dyDescent="0.25">
      <c r="B279" s="20">
        <f>IFERROR(INDEX(_datos!$A$2:$A$401,MATCH(ROW()-13,_datos!$K$2:$K$401,0)),"")</f>
      </c>
      <c r="C279" s="22">
        <f>IFERROR(INDEX(_datos!$B$2:$B$401,MATCH(ROW()-13,_datos!$K$2:$K$401,0)),"")</f>
      </c>
      <c r="D279" s="43">
        <f>IFERROR(INDEX(_datos!$C$2:$C$401,MATCH(ROW()-13,_datos!$K$2:$K$401,0)),"")</f>
      </c>
      <c r="E279" s="22">
        <f>IFERROR(INDEX(_datos!$D$2:$D$401,MATCH(ROW()-13,_datos!$K$2:$K$401,0)),"")</f>
      </c>
      <c r="F279" s="21">
        <f>IFERROR(INDEX(_datos!$E$2:$E$401,MATCH(ROW()-13,_datos!$K$2:$K$401,0)),"")</f>
      </c>
      <c r="G279" s="23">
        <f>IFERROR(INDEX(_datos!$F$2:$F$401,MATCH(ROW()-13,_datos!$K$2:$K$401,0)),"")</f>
      </c>
      <c r="H279" s="21">
        <f>IFERROR(INDEX(_datos!$G$2:$G$401,MATCH(ROW()-13,_datos!$K$2:$K$401,0)),"")</f>
      </c>
      <c r="I279" s="24">
        <f>IFERROR(INDEX(_datos!$H$2:$H$401,MATCH(ROW()-13,_datos!$K$2:$K$401,0)),"")</f>
      </c>
      <c r="J279" s="22">
        <f>IFERROR(INDEX(_datos!$I$2:$I$401,MATCH(ROW()-13,_datos!$K$2:$K$401,0)),"")</f>
      </c>
      <c r="K279" s="44">
        <f>IFERROR(HYPERLINK(INDEX(_datos!$J$2:$J$401,MATCH(ROW()-13,_datos!$K$2:$K$401,0)),"abrir mapa"),"")</f>
      </c>
    </row>
    <row r="280" ht="18.75" customHeight="1" spans="2:11" x14ac:dyDescent="0.25">
      <c r="B280" s="20">
        <f>IFERROR(INDEX(_datos!$A$2:$A$401,MATCH(ROW()-13,_datos!$K$2:$K$401,0)),"")</f>
      </c>
      <c r="C280" s="22">
        <f>IFERROR(INDEX(_datos!$B$2:$B$401,MATCH(ROW()-13,_datos!$K$2:$K$401,0)),"")</f>
      </c>
      <c r="D280" s="43">
        <f>IFERROR(INDEX(_datos!$C$2:$C$401,MATCH(ROW()-13,_datos!$K$2:$K$401,0)),"")</f>
      </c>
      <c r="E280" s="22">
        <f>IFERROR(INDEX(_datos!$D$2:$D$401,MATCH(ROW()-13,_datos!$K$2:$K$401,0)),"")</f>
      </c>
      <c r="F280" s="21">
        <f>IFERROR(INDEX(_datos!$E$2:$E$401,MATCH(ROW()-13,_datos!$K$2:$K$401,0)),"")</f>
      </c>
      <c r="G280" s="23">
        <f>IFERROR(INDEX(_datos!$F$2:$F$401,MATCH(ROW()-13,_datos!$K$2:$K$401,0)),"")</f>
      </c>
      <c r="H280" s="21">
        <f>IFERROR(INDEX(_datos!$G$2:$G$401,MATCH(ROW()-13,_datos!$K$2:$K$401,0)),"")</f>
      </c>
      <c r="I280" s="24">
        <f>IFERROR(INDEX(_datos!$H$2:$H$401,MATCH(ROW()-13,_datos!$K$2:$K$401,0)),"")</f>
      </c>
      <c r="J280" s="22">
        <f>IFERROR(INDEX(_datos!$I$2:$I$401,MATCH(ROW()-13,_datos!$K$2:$K$401,0)),"")</f>
      </c>
      <c r="K280" s="44">
        <f>IFERROR(HYPERLINK(INDEX(_datos!$J$2:$J$401,MATCH(ROW()-13,_datos!$K$2:$K$401,0)),"abrir mapa"),"")</f>
      </c>
    </row>
    <row r="281" ht="18.75" customHeight="1" spans="2:11" x14ac:dyDescent="0.25">
      <c r="B281" s="20">
        <f>IFERROR(INDEX(_datos!$A$2:$A$401,MATCH(ROW()-13,_datos!$K$2:$K$401,0)),"")</f>
      </c>
      <c r="C281" s="22">
        <f>IFERROR(INDEX(_datos!$B$2:$B$401,MATCH(ROW()-13,_datos!$K$2:$K$401,0)),"")</f>
      </c>
      <c r="D281" s="43">
        <f>IFERROR(INDEX(_datos!$C$2:$C$401,MATCH(ROW()-13,_datos!$K$2:$K$401,0)),"")</f>
      </c>
      <c r="E281" s="22">
        <f>IFERROR(INDEX(_datos!$D$2:$D$401,MATCH(ROW()-13,_datos!$K$2:$K$401,0)),"")</f>
      </c>
      <c r="F281" s="21">
        <f>IFERROR(INDEX(_datos!$E$2:$E$401,MATCH(ROW()-13,_datos!$K$2:$K$401,0)),"")</f>
      </c>
      <c r="G281" s="23">
        <f>IFERROR(INDEX(_datos!$F$2:$F$401,MATCH(ROW()-13,_datos!$K$2:$K$401,0)),"")</f>
      </c>
      <c r="H281" s="21">
        <f>IFERROR(INDEX(_datos!$G$2:$G$401,MATCH(ROW()-13,_datos!$K$2:$K$401,0)),"")</f>
      </c>
      <c r="I281" s="24">
        <f>IFERROR(INDEX(_datos!$H$2:$H$401,MATCH(ROW()-13,_datos!$K$2:$K$401,0)),"")</f>
      </c>
      <c r="J281" s="22">
        <f>IFERROR(INDEX(_datos!$I$2:$I$401,MATCH(ROW()-13,_datos!$K$2:$K$401,0)),"")</f>
      </c>
      <c r="K281" s="44">
        <f>IFERROR(HYPERLINK(INDEX(_datos!$J$2:$J$401,MATCH(ROW()-13,_datos!$K$2:$K$401,0)),"abrir mapa"),"")</f>
      </c>
    </row>
    <row r="282" ht="18.75" customHeight="1" spans="2:11" x14ac:dyDescent="0.25">
      <c r="B282" s="20">
        <f>IFERROR(INDEX(_datos!$A$2:$A$401,MATCH(ROW()-13,_datos!$K$2:$K$401,0)),"")</f>
      </c>
      <c r="C282" s="22">
        <f>IFERROR(INDEX(_datos!$B$2:$B$401,MATCH(ROW()-13,_datos!$K$2:$K$401,0)),"")</f>
      </c>
      <c r="D282" s="43">
        <f>IFERROR(INDEX(_datos!$C$2:$C$401,MATCH(ROW()-13,_datos!$K$2:$K$401,0)),"")</f>
      </c>
      <c r="E282" s="22">
        <f>IFERROR(INDEX(_datos!$D$2:$D$401,MATCH(ROW()-13,_datos!$K$2:$K$401,0)),"")</f>
      </c>
      <c r="F282" s="21">
        <f>IFERROR(INDEX(_datos!$E$2:$E$401,MATCH(ROW()-13,_datos!$K$2:$K$401,0)),"")</f>
      </c>
      <c r="G282" s="23">
        <f>IFERROR(INDEX(_datos!$F$2:$F$401,MATCH(ROW()-13,_datos!$K$2:$K$401,0)),"")</f>
      </c>
      <c r="H282" s="21">
        <f>IFERROR(INDEX(_datos!$G$2:$G$401,MATCH(ROW()-13,_datos!$K$2:$K$401,0)),"")</f>
      </c>
      <c r="I282" s="24">
        <f>IFERROR(INDEX(_datos!$H$2:$H$401,MATCH(ROW()-13,_datos!$K$2:$K$401,0)),"")</f>
      </c>
      <c r="J282" s="22">
        <f>IFERROR(INDEX(_datos!$I$2:$I$401,MATCH(ROW()-13,_datos!$K$2:$K$401,0)),"")</f>
      </c>
      <c r="K282" s="44">
        <f>IFERROR(HYPERLINK(INDEX(_datos!$J$2:$J$401,MATCH(ROW()-13,_datos!$K$2:$K$401,0)),"abrir mapa"),"")</f>
      </c>
    </row>
    <row r="283" ht="18.75" customHeight="1" spans="2:11" x14ac:dyDescent="0.25">
      <c r="B283" s="20">
        <f>IFERROR(INDEX(_datos!$A$2:$A$401,MATCH(ROW()-13,_datos!$K$2:$K$401,0)),"")</f>
      </c>
      <c r="C283" s="22">
        <f>IFERROR(INDEX(_datos!$B$2:$B$401,MATCH(ROW()-13,_datos!$K$2:$K$401,0)),"")</f>
      </c>
      <c r="D283" s="43">
        <f>IFERROR(INDEX(_datos!$C$2:$C$401,MATCH(ROW()-13,_datos!$K$2:$K$401,0)),"")</f>
      </c>
      <c r="E283" s="22">
        <f>IFERROR(INDEX(_datos!$D$2:$D$401,MATCH(ROW()-13,_datos!$K$2:$K$401,0)),"")</f>
      </c>
      <c r="F283" s="21">
        <f>IFERROR(INDEX(_datos!$E$2:$E$401,MATCH(ROW()-13,_datos!$K$2:$K$401,0)),"")</f>
      </c>
      <c r="G283" s="23">
        <f>IFERROR(INDEX(_datos!$F$2:$F$401,MATCH(ROW()-13,_datos!$K$2:$K$401,0)),"")</f>
      </c>
      <c r="H283" s="21">
        <f>IFERROR(INDEX(_datos!$G$2:$G$401,MATCH(ROW()-13,_datos!$K$2:$K$401,0)),"")</f>
      </c>
      <c r="I283" s="24">
        <f>IFERROR(INDEX(_datos!$H$2:$H$401,MATCH(ROW()-13,_datos!$K$2:$K$401,0)),"")</f>
      </c>
      <c r="J283" s="22">
        <f>IFERROR(INDEX(_datos!$I$2:$I$401,MATCH(ROW()-13,_datos!$K$2:$K$401,0)),"")</f>
      </c>
      <c r="K283" s="44">
        <f>IFERROR(HYPERLINK(INDEX(_datos!$J$2:$J$401,MATCH(ROW()-13,_datos!$K$2:$K$401,0)),"abrir mapa"),"")</f>
      </c>
    </row>
    <row r="284" ht="18.75" customHeight="1" spans="2:11" x14ac:dyDescent="0.25">
      <c r="B284" s="20">
        <f>IFERROR(INDEX(_datos!$A$2:$A$401,MATCH(ROW()-13,_datos!$K$2:$K$401,0)),"")</f>
      </c>
      <c r="C284" s="22">
        <f>IFERROR(INDEX(_datos!$B$2:$B$401,MATCH(ROW()-13,_datos!$K$2:$K$401,0)),"")</f>
      </c>
      <c r="D284" s="43">
        <f>IFERROR(INDEX(_datos!$C$2:$C$401,MATCH(ROW()-13,_datos!$K$2:$K$401,0)),"")</f>
      </c>
      <c r="E284" s="22">
        <f>IFERROR(INDEX(_datos!$D$2:$D$401,MATCH(ROW()-13,_datos!$K$2:$K$401,0)),"")</f>
      </c>
      <c r="F284" s="21">
        <f>IFERROR(INDEX(_datos!$E$2:$E$401,MATCH(ROW()-13,_datos!$K$2:$K$401,0)),"")</f>
      </c>
      <c r="G284" s="23">
        <f>IFERROR(INDEX(_datos!$F$2:$F$401,MATCH(ROW()-13,_datos!$K$2:$K$401,0)),"")</f>
      </c>
      <c r="H284" s="21">
        <f>IFERROR(INDEX(_datos!$G$2:$G$401,MATCH(ROW()-13,_datos!$K$2:$K$401,0)),"")</f>
      </c>
      <c r="I284" s="24">
        <f>IFERROR(INDEX(_datos!$H$2:$H$401,MATCH(ROW()-13,_datos!$K$2:$K$401,0)),"")</f>
      </c>
      <c r="J284" s="22">
        <f>IFERROR(INDEX(_datos!$I$2:$I$401,MATCH(ROW()-13,_datos!$K$2:$K$401,0)),"")</f>
      </c>
      <c r="K284" s="44">
        <f>IFERROR(HYPERLINK(INDEX(_datos!$J$2:$J$401,MATCH(ROW()-13,_datos!$K$2:$K$401,0)),"abrir mapa"),"")</f>
      </c>
    </row>
    <row r="285" ht="18.75" customHeight="1" spans="2:11" x14ac:dyDescent="0.25">
      <c r="B285" s="20">
        <f>IFERROR(INDEX(_datos!$A$2:$A$401,MATCH(ROW()-13,_datos!$K$2:$K$401,0)),"")</f>
      </c>
      <c r="C285" s="22">
        <f>IFERROR(INDEX(_datos!$B$2:$B$401,MATCH(ROW()-13,_datos!$K$2:$K$401,0)),"")</f>
      </c>
      <c r="D285" s="43">
        <f>IFERROR(INDEX(_datos!$C$2:$C$401,MATCH(ROW()-13,_datos!$K$2:$K$401,0)),"")</f>
      </c>
      <c r="E285" s="22">
        <f>IFERROR(INDEX(_datos!$D$2:$D$401,MATCH(ROW()-13,_datos!$K$2:$K$401,0)),"")</f>
      </c>
      <c r="F285" s="21">
        <f>IFERROR(INDEX(_datos!$E$2:$E$401,MATCH(ROW()-13,_datos!$K$2:$K$401,0)),"")</f>
      </c>
      <c r="G285" s="23">
        <f>IFERROR(INDEX(_datos!$F$2:$F$401,MATCH(ROW()-13,_datos!$K$2:$K$401,0)),"")</f>
      </c>
      <c r="H285" s="21">
        <f>IFERROR(INDEX(_datos!$G$2:$G$401,MATCH(ROW()-13,_datos!$K$2:$K$401,0)),"")</f>
      </c>
      <c r="I285" s="24">
        <f>IFERROR(INDEX(_datos!$H$2:$H$401,MATCH(ROW()-13,_datos!$K$2:$K$401,0)),"")</f>
      </c>
      <c r="J285" s="22">
        <f>IFERROR(INDEX(_datos!$I$2:$I$401,MATCH(ROW()-13,_datos!$K$2:$K$401,0)),"")</f>
      </c>
      <c r="K285" s="44">
        <f>IFERROR(HYPERLINK(INDEX(_datos!$J$2:$J$401,MATCH(ROW()-13,_datos!$K$2:$K$401,0)),"abrir mapa"),"")</f>
      </c>
    </row>
    <row r="286" ht="18.75" customHeight="1" spans="2:11" x14ac:dyDescent="0.25">
      <c r="B286" s="20">
        <f>IFERROR(INDEX(_datos!$A$2:$A$401,MATCH(ROW()-13,_datos!$K$2:$K$401,0)),"")</f>
      </c>
      <c r="C286" s="22">
        <f>IFERROR(INDEX(_datos!$B$2:$B$401,MATCH(ROW()-13,_datos!$K$2:$K$401,0)),"")</f>
      </c>
      <c r="D286" s="43">
        <f>IFERROR(INDEX(_datos!$C$2:$C$401,MATCH(ROW()-13,_datos!$K$2:$K$401,0)),"")</f>
      </c>
      <c r="E286" s="22">
        <f>IFERROR(INDEX(_datos!$D$2:$D$401,MATCH(ROW()-13,_datos!$K$2:$K$401,0)),"")</f>
      </c>
      <c r="F286" s="21">
        <f>IFERROR(INDEX(_datos!$E$2:$E$401,MATCH(ROW()-13,_datos!$K$2:$K$401,0)),"")</f>
      </c>
      <c r="G286" s="23">
        <f>IFERROR(INDEX(_datos!$F$2:$F$401,MATCH(ROW()-13,_datos!$K$2:$K$401,0)),"")</f>
      </c>
      <c r="H286" s="21">
        <f>IFERROR(INDEX(_datos!$G$2:$G$401,MATCH(ROW()-13,_datos!$K$2:$K$401,0)),"")</f>
      </c>
      <c r="I286" s="24">
        <f>IFERROR(INDEX(_datos!$H$2:$H$401,MATCH(ROW()-13,_datos!$K$2:$K$401,0)),"")</f>
      </c>
      <c r="J286" s="22">
        <f>IFERROR(INDEX(_datos!$I$2:$I$401,MATCH(ROW()-13,_datos!$K$2:$K$401,0)),"")</f>
      </c>
      <c r="K286" s="44">
        <f>IFERROR(HYPERLINK(INDEX(_datos!$J$2:$J$401,MATCH(ROW()-13,_datos!$K$2:$K$401,0)),"abrir mapa"),"")</f>
      </c>
    </row>
    <row r="287" ht="18.75" customHeight="1" spans="2:11" x14ac:dyDescent="0.25">
      <c r="B287" s="20">
        <f>IFERROR(INDEX(_datos!$A$2:$A$401,MATCH(ROW()-13,_datos!$K$2:$K$401,0)),"")</f>
      </c>
      <c r="C287" s="22">
        <f>IFERROR(INDEX(_datos!$B$2:$B$401,MATCH(ROW()-13,_datos!$K$2:$K$401,0)),"")</f>
      </c>
      <c r="D287" s="43">
        <f>IFERROR(INDEX(_datos!$C$2:$C$401,MATCH(ROW()-13,_datos!$K$2:$K$401,0)),"")</f>
      </c>
      <c r="E287" s="22">
        <f>IFERROR(INDEX(_datos!$D$2:$D$401,MATCH(ROW()-13,_datos!$K$2:$K$401,0)),"")</f>
      </c>
      <c r="F287" s="21">
        <f>IFERROR(INDEX(_datos!$E$2:$E$401,MATCH(ROW()-13,_datos!$K$2:$K$401,0)),"")</f>
      </c>
      <c r="G287" s="23">
        <f>IFERROR(INDEX(_datos!$F$2:$F$401,MATCH(ROW()-13,_datos!$K$2:$K$401,0)),"")</f>
      </c>
      <c r="H287" s="21">
        <f>IFERROR(INDEX(_datos!$G$2:$G$401,MATCH(ROW()-13,_datos!$K$2:$K$401,0)),"")</f>
      </c>
      <c r="I287" s="24">
        <f>IFERROR(INDEX(_datos!$H$2:$H$401,MATCH(ROW()-13,_datos!$K$2:$K$401,0)),"")</f>
      </c>
      <c r="J287" s="22">
        <f>IFERROR(INDEX(_datos!$I$2:$I$401,MATCH(ROW()-13,_datos!$K$2:$K$401,0)),"")</f>
      </c>
      <c r="K287" s="44">
        <f>IFERROR(HYPERLINK(INDEX(_datos!$J$2:$J$401,MATCH(ROW()-13,_datos!$K$2:$K$401,0)),"abrir mapa"),"")</f>
      </c>
    </row>
    <row r="288" ht="18.75" customHeight="1" spans="2:11" x14ac:dyDescent="0.25">
      <c r="B288" s="20">
        <f>IFERROR(INDEX(_datos!$A$2:$A$401,MATCH(ROW()-13,_datos!$K$2:$K$401,0)),"")</f>
      </c>
      <c r="C288" s="22">
        <f>IFERROR(INDEX(_datos!$B$2:$B$401,MATCH(ROW()-13,_datos!$K$2:$K$401,0)),"")</f>
      </c>
      <c r="D288" s="43">
        <f>IFERROR(INDEX(_datos!$C$2:$C$401,MATCH(ROW()-13,_datos!$K$2:$K$401,0)),"")</f>
      </c>
      <c r="E288" s="22">
        <f>IFERROR(INDEX(_datos!$D$2:$D$401,MATCH(ROW()-13,_datos!$K$2:$K$401,0)),"")</f>
      </c>
      <c r="F288" s="21">
        <f>IFERROR(INDEX(_datos!$E$2:$E$401,MATCH(ROW()-13,_datos!$K$2:$K$401,0)),"")</f>
      </c>
      <c r="G288" s="23">
        <f>IFERROR(INDEX(_datos!$F$2:$F$401,MATCH(ROW()-13,_datos!$K$2:$K$401,0)),"")</f>
      </c>
      <c r="H288" s="21">
        <f>IFERROR(INDEX(_datos!$G$2:$G$401,MATCH(ROW()-13,_datos!$K$2:$K$401,0)),"")</f>
      </c>
      <c r="I288" s="24">
        <f>IFERROR(INDEX(_datos!$H$2:$H$401,MATCH(ROW()-13,_datos!$K$2:$K$401,0)),"")</f>
      </c>
      <c r="J288" s="22">
        <f>IFERROR(INDEX(_datos!$I$2:$I$401,MATCH(ROW()-13,_datos!$K$2:$K$401,0)),"")</f>
      </c>
      <c r="K288" s="44">
        <f>IFERROR(HYPERLINK(INDEX(_datos!$J$2:$J$401,MATCH(ROW()-13,_datos!$K$2:$K$401,0)),"abrir mapa"),"")</f>
      </c>
    </row>
    <row r="289" ht="18.75" customHeight="1" spans="2:11" x14ac:dyDescent="0.25">
      <c r="B289" s="20">
        <f>IFERROR(INDEX(_datos!$A$2:$A$401,MATCH(ROW()-13,_datos!$K$2:$K$401,0)),"")</f>
      </c>
      <c r="C289" s="22">
        <f>IFERROR(INDEX(_datos!$B$2:$B$401,MATCH(ROW()-13,_datos!$K$2:$K$401,0)),"")</f>
      </c>
      <c r="D289" s="43">
        <f>IFERROR(INDEX(_datos!$C$2:$C$401,MATCH(ROW()-13,_datos!$K$2:$K$401,0)),"")</f>
      </c>
      <c r="E289" s="22">
        <f>IFERROR(INDEX(_datos!$D$2:$D$401,MATCH(ROW()-13,_datos!$K$2:$K$401,0)),"")</f>
      </c>
      <c r="F289" s="21">
        <f>IFERROR(INDEX(_datos!$E$2:$E$401,MATCH(ROW()-13,_datos!$K$2:$K$401,0)),"")</f>
      </c>
      <c r="G289" s="23">
        <f>IFERROR(INDEX(_datos!$F$2:$F$401,MATCH(ROW()-13,_datos!$K$2:$K$401,0)),"")</f>
      </c>
      <c r="H289" s="21">
        <f>IFERROR(INDEX(_datos!$G$2:$G$401,MATCH(ROW()-13,_datos!$K$2:$K$401,0)),"")</f>
      </c>
      <c r="I289" s="24">
        <f>IFERROR(INDEX(_datos!$H$2:$H$401,MATCH(ROW()-13,_datos!$K$2:$K$401,0)),"")</f>
      </c>
      <c r="J289" s="22">
        <f>IFERROR(INDEX(_datos!$I$2:$I$401,MATCH(ROW()-13,_datos!$K$2:$K$401,0)),"")</f>
      </c>
      <c r="K289" s="44">
        <f>IFERROR(HYPERLINK(INDEX(_datos!$J$2:$J$401,MATCH(ROW()-13,_datos!$K$2:$K$401,0)),"abrir mapa"),"")</f>
      </c>
    </row>
    <row r="290" ht="18.75" customHeight="1" spans="2:11" x14ac:dyDescent="0.25">
      <c r="B290" s="20">
        <f>IFERROR(INDEX(_datos!$A$2:$A$401,MATCH(ROW()-13,_datos!$K$2:$K$401,0)),"")</f>
      </c>
      <c r="C290" s="22">
        <f>IFERROR(INDEX(_datos!$B$2:$B$401,MATCH(ROW()-13,_datos!$K$2:$K$401,0)),"")</f>
      </c>
      <c r="D290" s="43">
        <f>IFERROR(INDEX(_datos!$C$2:$C$401,MATCH(ROW()-13,_datos!$K$2:$K$401,0)),"")</f>
      </c>
      <c r="E290" s="22">
        <f>IFERROR(INDEX(_datos!$D$2:$D$401,MATCH(ROW()-13,_datos!$K$2:$K$401,0)),"")</f>
      </c>
      <c r="F290" s="21">
        <f>IFERROR(INDEX(_datos!$E$2:$E$401,MATCH(ROW()-13,_datos!$K$2:$K$401,0)),"")</f>
      </c>
      <c r="G290" s="23">
        <f>IFERROR(INDEX(_datos!$F$2:$F$401,MATCH(ROW()-13,_datos!$K$2:$K$401,0)),"")</f>
      </c>
      <c r="H290" s="21">
        <f>IFERROR(INDEX(_datos!$G$2:$G$401,MATCH(ROW()-13,_datos!$K$2:$K$401,0)),"")</f>
      </c>
      <c r="I290" s="24">
        <f>IFERROR(INDEX(_datos!$H$2:$H$401,MATCH(ROW()-13,_datos!$K$2:$K$401,0)),"")</f>
      </c>
      <c r="J290" s="22">
        <f>IFERROR(INDEX(_datos!$I$2:$I$401,MATCH(ROW()-13,_datos!$K$2:$K$401,0)),"")</f>
      </c>
      <c r="K290" s="44">
        <f>IFERROR(HYPERLINK(INDEX(_datos!$J$2:$J$401,MATCH(ROW()-13,_datos!$K$2:$K$401,0)),"abrir mapa"),"")</f>
      </c>
    </row>
    <row r="291" ht="18.75" customHeight="1" spans="2:11" x14ac:dyDescent="0.25">
      <c r="B291" s="20">
        <f>IFERROR(INDEX(_datos!$A$2:$A$401,MATCH(ROW()-13,_datos!$K$2:$K$401,0)),"")</f>
      </c>
      <c r="C291" s="22">
        <f>IFERROR(INDEX(_datos!$B$2:$B$401,MATCH(ROW()-13,_datos!$K$2:$K$401,0)),"")</f>
      </c>
      <c r="D291" s="43">
        <f>IFERROR(INDEX(_datos!$C$2:$C$401,MATCH(ROW()-13,_datos!$K$2:$K$401,0)),"")</f>
      </c>
      <c r="E291" s="22">
        <f>IFERROR(INDEX(_datos!$D$2:$D$401,MATCH(ROW()-13,_datos!$K$2:$K$401,0)),"")</f>
      </c>
      <c r="F291" s="21">
        <f>IFERROR(INDEX(_datos!$E$2:$E$401,MATCH(ROW()-13,_datos!$K$2:$K$401,0)),"")</f>
      </c>
      <c r="G291" s="23">
        <f>IFERROR(INDEX(_datos!$F$2:$F$401,MATCH(ROW()-13,_datos!$K$2:$K$401,0)),"")</f>
      </c>
      <c r="H291" s="21">
        <f>IFERROR(INDEX(_datos!$G$2:$G$401,MATCH(ROW()-13,_datos!$K$2:$K$401,0)),"")</f>
      </c>
      <c r="I291" s="24">
        <f>IFERROR(INDEX(_datos!$H$2:$H$401,MATCH(ROW()-13,_datos!$K$2:$K$401,0)),"")</f>
      </c>
      <c r="J291" s="22">
        <f>IFERROR(INDEX(_datos!$I$2:$I$401,MATCH(ROW()-13,_datos!$K$2:$K$401,0)),"")</f>
      </c>
      <c r="K291" s="44">
        <f>IFERROR(HYPERLINK(INDEX(_datos!$J$2:$J$401,MATCH(ROW()-13,_datos!$K$2:$K$401,0)),"abrir mapa"),"")</f>
      </c>
    </row>
    <row r="292" ht="18.75" customHeight="1" spans="2:11" x14ac:dyDescent="0.25">
      <c r="B292" s="20">
        <f>IFERROR(INDEX(_datos!$A$2:$A$401,MATCH(ROW()-13,_datos!$K$2:$K$401,0)),"")</f>
      </c>
      <c r="C292" s="22">
        <f>IFERROR(INDEX(_datos!$B$2:$B$401,MATCH(ROW()-13,_datos!$K$2:$K$401,0)),"")</f>
      </c>
      <c r="D292" s="43">
        <f>IFERROR(INDEX(_datos!$C$2:$C$401,MATCH(ROW()-13,_datos!$K$2:$K$401,0)),"")</f>
      </c>
      <c r="E292" s="22">
        <f>IFERROR(INDEX(_datos!$D$2:$D$401,MATCH(ROW()-13,_datos!$K$2:$K$401,0)),"")</f>
      </c>
      <c r="F292" s="21">
        <f>IFERROR(INDEX(_datos!$E$2:$E$401,MATCH(ROW()-13,_datos!$K$2:$K$401,0)),"")</f>
      </c>
      <c r="G292" s="23">
        <f>IFERROR(INDEX(_datos!$F$2:$F$401,MATCH(ROW()-13,_datos!$K$2:$K$401,0)),"")</f>
      </c>
      <c r="H292" s="21">
        <f>IFERROR(INDEX(_datos!$G$2:$G$401,MATCH(ROW()-13,_datos!$K$2:$K$401,0)),"")</f>
      </c>
      <c r="I292" s="24">
        <f>IFERROR(INDEX(_datos!$H$2:$H$401,MATCH(ROW()-13,_datos!$K$2:$K$401,0)),"")</f>
      </c>
      <c r="J292" s="22">
        <f>IFERROR(INDEX(_datos!$I$2:$I$401,MATCH(ROW()-13,_datos!$K$2:$K$401,0)),"")</f>
      </c>
      <c r="K292" s="44">
        <f>IFERROR(HYPERLINK(INDEX(_datos!$J$2:$J$401,MATCH(ROW()-13,_datos!$K$2:$K$401,0)),"abrir mapa"),"")</f>
      </c>
    </row>
    <row r="293" ht="18.75" customHeight="1" spans="2:11" x14ac:dyDescent="0.25">
      <c r="B293" s="20">
        <f>IFERROR(INDEX(_datos!$A$2:$A$401,MATCH(ROW()-13,_datos!$K$2:$K$401,0)),"")</f>
      </c>
      <c r="C293" s="22">
        <f>IFERROR(INDEX(_datos!$B$2:$B$401,MATCH(ROW()-13,_datos!$K$2:$K$401,0)),"")</f>
      </c>
      <c r="D293" s="43">
        <f>IFERROR(INDEX(_datos!$C$2:$C$401,MATCH(ROW()-13,_datos!$K$2:$K$401,0)),"")</f>
      </c>
      <c r="E293" s="22">
        <f>IFERROR(INDEX(_datos!$D$2:$D$401,MATCH(ROW()-13,_datos!$K$2:$K$401,0)),"")</f>
      </c>
      <c r="F293" s="21">
        <f>IFERROR(INDEX(_datos!$E$2:$E$401,MATCH(ROW()-13,_datos!$K$2:$K$401,0)),"")</f>
      </c>
      <c r="G293" s="23">
        <f>IFERROR(INDEX(_datos!$F$2:$F$401,MATCH(ROW()-13,_datos!$K$2:$K$401,0)),"")</f>
      </c>
      <c r="H293" s="21">
        <f>IFERROR(INDEX(_datos!$G$2:$G$401,MATCH(ROW()-13,_datos!$K$2:$K$401,0)),"")</f>
      </c>
      <c r="I293" s="24">
        <f>IFERROR(INDEX(_datos!$H$2:$H$401,MATCH(ROW()-13,_datos!$K$2:$K$401,0)),"")</f>
      </c>
      <c r="J293" s="22">
        <f>IFERROR(INDEX(_datos!$I$2:$I$401,MATCH(ROW()-13,_datos!$K$2:$K$401,0)),"")</f>
      </c>
      <c r="K293" s="44">
        <f>IFERROR(HYPERLINK(INDEX(_datos!$J$2:$J$401,MATCH(ROW()-13,_datos!$K$2:$K$401,0)),"abrir mapa"),"")</f>
      </c>
    </row>
    <row r="294" ht="18.75" customHeight="1" spans="2:11" x14ac:dyDescent="0.25">
      <c r="B294" s="20">
        <f>IFERROR(INDEX(_datos!$A$2:$A$401,MATCH(ROW()-13,_datos!$K$2:$K$401,0)),"")</f>
      </c>
      <c r="C294" s="22">
        <f>IFERROR(INDEX(_datos!$B$2:$B$401,MATCH(ROW()-13,_datos!$K$2:$K$401,0)),"")</f>
      </c>
      <c r="D294" s="43">
        <f>IFERROR(INDEX(_datos!$C$2:$C$401,MATCH(ROW()-13,_datos!$K$2:$K$401,0)),"")</f>
      </c>
      <c r="E294" s="22">
        <f>IFERROR(INDEX(_datos!$D$2:$D$401,MATCH(ROW()-13,_datos!$K$2:$K$401,0)),"")</f>
      </c>
      <c r="F294" s="21">
        <f>IFERROR(INDEX(_datos!$E$2:$E$401,MATCH(ROW()-13,_datos!$K$2:$K$401,0)),"")</f>
      </c>
      <c r="G294" s="23">
        <f>IFERROR(INDEX(_datos!$F$2:$F$401,MATCH(ROW()-13,_datos!$K$2:$K$401,0)),"")</f>
      </c>
      <c r="H294" s="21">
        <f>IFERROR(INDEX(_datos!$G$2:$G$401,MATCH(ROW()-13,_datos!$K$2:$K$401,0)),"")</f>
      </c>
      <c r="I294" s="24">
        <f>IFERROR(INDEX(_datos!$H$2:$H$401,MATCH(ROW()-13,_datos!$K$2:$K$401,0)),"")</f>
      </c>
      <c r="J294" s="22">
        <f>IFERROR(INDEX(_datos!$I$2:$I$401,MATCH(ROW()-13,_datos!$K$2:$K$401,0)),"")</f>
      </c>
      <c r="K294" s="44">
        <f>IFERROR(HYPERLINK(INDEX(_datos!$J$2:$J$401,MATCH(ROW()-13,_datos!$K$2:$K$401,0)),"abrir mapa"),"")</f>
      </c>
    </row>
    <row r="295" ht="18.75" customHeight="1" spans="2:11" x14ac:dyDescent="0.25">
      <c r="B295" s="20">
        <f>IFERROR(INDEX(_datos!$A$2:$A$401,MATCH(ROW()-13,_datos!$K$2:$K$401,0)),"")</f>
      </c>
      <c r="C295" s="22">
        <f>IFERROR(INDEX(_datos!$B$2:$B$401,MATCH(ROW()-13,_datos!$K$2:$K$401,0)),"")</f>
      </c>
      <c r="D295" s="43">
        <f>IFERROR(INDEX(_datos!$C$2:$C$401,MATCH(ROW()-13,_datos!$K$2:$K$401,0)),"")</f>
      </c>
      <c r="E295" s="22">
        <f>IFERROR(INDEX(_datos!$D$2:$D$401,MATCH(ROW()-13,_datos!$K$2:$K$401,0)),"")</f>
      </c>
      <c r="F295" s="21">
        <f>IFERROR(INDEX(_datos!$E$2:$E$401,MATCH(ROW()-13,_datos!$K$2:$K$401,0)),"")</f>
      </c>
      <c r="G295" s="23">
        <f>IFERROR(INDEX(_datos!$F$2:$F$401,MATCH(ROW()-13,_datos!$K$2:$K$401,0)),"")</f>
      </c>
      <c r="H295" s="21">
        <f>IFERROR(INDEX(_datos!$G$2:$G$401,MATCH(ROW()-13,_datos!$K$2:$K$401,0)),"")</f>
      </c>
      <c r="I295" s="24">
        <f>IFERROR(INDEX(_datos!$H$2:$H$401,MATCH(ROW()-13,_datos!$K$2:$K$401,0)),"")</f>
      </c>
      <c r="J295" s="22">
        <f>IFERROR(INDEX(_datos!$I$2:$I$401,MATCH(ROW()-13,_datos!$K$2:$K$401,0)),"")</f>
      </c>
      <c r="K295" s="44">
        <f>IFERROR(HYPERLINK(INDEX(_datos!$J$2:$J$401,MATCH(ROW()-13,_datos!$K$2:$K$401,0)),"abrir mapa"),"")</f>
      </c>
    </row>
    <row r="296" ht="18.75" customHeight="1" spans="2:11" x14ac:dyDescent="0.25">
      <c r="B296" s="20">
        <f>IFERROR(INDEX(_datos!$A$2:$A$401,MATCH(ROW()-13,_datos!$K$2:$K$401,0)),"")</f>
      </c>
      <c r="C296" s="22">
        <f>IFERROR(INDEX(_datos!$B$2:$B$401,MATCH(ROW()-13,_datos!$K$2:$K$401,0)),"")</f>
      </c>
      <c r="D296" s="43">
        <f>IFERROR(INDEX(_datos!$C$2:$C$401,MATCH(ROW()-13,_datos!$K$2:$K$401,0)),"")</f>
      </c>
      <c r="E296" s="22">
        <f>IFERROR(INDEX(_datos!$D$2:$D$401,MATCH(ROW()-13,_datos!$K$2:$K$401,0)),"")</f>
      </c>
      <c r="F296" s="21">
        <f>IFERROR(INDEX(_datos!$E$2:$E$401,MATCH(ROW()-13,_datos!$K$2:$K$401,0)),"")</f>
      </c>
      <c r="G296" s="23">
        <f>IFERROR(INDEX(_datos!$F$2:$F$401,MATCH(ROW()-13,_datos!$K$2:$K$401,0)),"")</f>
      </c>
      <c r="H296" s="21">
        <f>IFERROR(INDEX(_datos!$G$2:$G$401,MATCH(ROW()-13,_datos!$K$2:$K$401,0)),"")</f>
      </c>
      <c r="I296" s="24">
        <f>IFERROR(INDEX(_datos!$H$2:$H$401,MATCH(ROW()-13,_datos!$K$2:$K$401,0)),"")</f>
      </c>
      <c r="J296" s="22">
        <f>IFERROR(INDEX(_datos!$I$2:$I$401,MATCH(ROW()-13,_datos!$K$2:$K$401,0)),"")</f>
      </c>
      <c r="K296" s="44">
        <f>IFERROR(HYPERLINK(INDEX(_datos!$J$2:$J$401,MATCH(ROW()-13,_datos!$K$2:$K$401,0)),"abrir mapa"),"")</f>
      </c>
    </row>
    <row r="297" ht="18.75" customHeight="1" spans="2:11" x14ac:dyDescent="0.25">
      <c r="B297" s="20">
        <f>IFERROR(INDEX(_datos!$A$2:$A$401,MATCH(ROW()-13,_datos!$K$2:$K$401,0)),"")</f>
      </c>
      <c r="C297" s="22">
        <f>IFERROR(INDEX(_datos!$B$2:$B$401,MATCH(ROW()-13,_datos!$K$2:$K$401,0)),"")</f>
      </c>
      <c r="D297" s="43">
        <f>IFERROR(INDEX(_datos!$C$2:$C$401,MATCH(ROW()-13,_datos!$K$2:$K$401,0)),"")</f>
      </c>
      <c r="E297" s="22">
        <f>IFERROR(INDEX(_datos!$D$2:$D$401,MATCH(ROW()-13,_datos!$K$2:$K$401,0)),"")</f>
      </c>
      <c r="F297" s="21">
        <f>IFERROR(INDEX(_datos!$E$2:$E$401,MATCH(ROW()-13,_datos!$K$2:$K$401,0)),"")</f>
      </c>
      <c r="G297" s="23">
        <f>IFERROR(INDEX(_datos!$F$2:$F$401,MATCH(ROW()-13,_datos!$K$2:$K$401,0)),"")</f>
      </c>
      <c r="H297" s="21">
        <f>IFERROR(INDEX(_datos!$G$2:$G$401,MATCH(ROW()-13,_datos!$K$2:$K$401,0)),"")</f>
      </c>
      <c r="I297" s="24">
        <f>IFERROR(INDEX(_datos!$H$2:$H$401,MATCH(ROW()-13,_datos!$K$2:$K$401,0)),"")</f>
      </c>
      <c r="J297" s="22">
        <f>IFERROR(INDEX(_datos!$I$2:$I$401,MATCH(ROW()-13,_datos!$K$2:$K$401,0)),"")</f>
      </c>
      <c r="K297" s="44">
        <f>IFERROR(HYPERLINK(INDEX(_datos!$J$2:$J$401,MATCH(ROW()-13,_datos!$K$2:$K$401,0)),"abrir mapa"),"")</f>
      </c>
    </row>
    <row r="298" ht="18.75" customHeight="1" spans="2:11" x14ac:dyDescent="0.25">
      <c r="B298" s="20">
        <f>IFERROR(INDEX(_datos!$A$2:$A$401,MATCH(ROW()-13,_datos!$K$2:$K$401,0)),"")</f>
      </c>
      <c r="C298" s="22">
        <f>IFERROR(INDEX(_datos!$B$2:$B$401,MATCH(ROW()-13,_datos!$K$2:$K$401,0)),"")</f>
      </c>
      <c r="D298" s="43">
        <f>IFERROR(INDEX(_datos!$C$2:$C$401,MATCH(ROW()-13,_datos!$K$2:$K$401,0)),"")</f>
      </c>
      <c r="E298" s="22">
        <f>IFERROR(INDEX(_datos!$D$2:$D$401,MATCH(ROW()-13,_datos!$K$2:$K$401,0)),"")</f>
      </c>
      <c r="F298" s="21">
        <f>IFERROR(INDEX(_datos!$E$2:$E$401,MATCH(ROW()-13,_datos!$K$2:$K$401,0)),"")</f>
      </c>
      <c r="G298" s="23">
        <f>IFERROR(INDEX(_datos!$F$2:$F$401,MATCH(ROW()-13,_datos!$K$2:$K$401,0)),"")</f>
      </c>
      <c r="H298" s="21">
        <f>IFERROR(INDEX(_datos!$G$2:$G$401,MATCH(ROW()-13,_datos!$K$2:$K$401,0)),"")</f>
      </c>
      <c r="I298" s="24">
        <f>IFERROR(INDEX(_datos!$H$2:$H$401,MATCH(ROW()-13,_datos!$K$2:$K$401,0)),"")</f>
      </c>
      <c r="J298" s="22">
        <f>IFERROR(INDEX(_datos!$I$2:$I$401,MATCH(ROW()-13,_datos!$K$2:$K$401,0)),"")</f>
      </c>
      <c r="K298" s="44">
        <f>IFERROR(HYPERLINK(INDEX(_datos!$J$2:$J$401,MATCH(ROW()-13,_datos!$K$2:$K$401,0)),"abrir mapa"),"")</f>
      </c>
    </row>
    <row r="299" ht="18.75" customHeight="1" spans="2:11" x14ac:dyDescent="0.25">
      <c r="B299" s="20">
        <f>IFERROR(INDEX(_datos!$A$2:$A$401,MATCH(ROW()-13,_datos!$K$2:$K$401,0)),"")</f>
      </c>
      <c r="C299" s="22">
        <f>IFERROR(INDEX(_datos!$B$2:$B$401,MATCH(ROW()-13,_datos!$K$2:$K$401,0)),"")</f>
      </c>
      <c r="D299" s="43">
        <f>IFERROR(INDEX(_datos!$C$2:$C$401,MATCH(ROW()-13,_datos!$K$2:$K$401,0)),"")</f>
      </c>
      <c r="E299" s="22">
        <f>IFERROR(INDEX(_datos!$D$2:$D$401,MATCH(ROW()-13,_datos!$K$2:$K$401,0)),"")</f>
      </c>
      <c r="F299" s="21">
        <f>IFERROR(INDEX(_datos!$E$2:$E$401,MATCH(ROW()-13,_datos!$K$2:$K$401,0)),"")</f>
      </c>
      <c r="G299" s="23">
        <f>IFERROR(INDEX(_datos!$F$2:$F$401,MATCH(ROW()-13,_datos!$K$2:$K$401,0)),"")</f>
      </c>
      <c r="H299" s="21">
        <f>IFERROR(INDEX(_datos!$G$2:$G$401,MATCH(ROW()-13,_datos!$K$2:$K$401,0)),"")</f>
      </c>
      <c r="I299" s="24">
        <f>IFERROR(INDEX(_datos!$H$2:$H$401,MATCH(ROW()-13,_datos!$K$2:$K$401,0)),"")</f>
      </c>
      <c r="J299" s="22">
        <f>IFERROR(INDEX(_datos!$I$2:$I$401,MATCH(ROW()-13,_datos!$K$2:$K$401,0)),"")</f>
      </c>
      <c r="K299" s="44">
        <f>IFERROR(HYPERLINK(INDEX(_datos!$J$2:$J$401,MATCH(ROW()-13,_datos!$K$2:$K$401,0)),"abrir mapa"),"")</f>
      </c>
    </row>
    <row r="300" ht="18.75" customHeight="1" spans="2:11" x14ac:dyDescent="0.25">
      <c r="B300" s="20">
        <f>IFERROR(INDEX(_datos!$A$2:$A$401,MATCH(ROW()-13,_datos!$K$2:$K$401,0)),"")</f>
      </c>
      <c r="C300" s="22">
        <f>IFERROR(INDEX(_datos!$B$2:$B$401,MATCH(ROW()-13,_datos!$K$2:$K$401,0)),"")</f>
      </c>
      <c r="D300" s="43">
        <f>IFERROR(INDEX(_datos!$C$2:$C$401,MATCH(ROW()-13,_datos!$K$2:$K$401,0)),"")</f>
      </c>
      <c r="E300" s="22">
        <f>IFERROR(INDEX(_datos!$D$2:$D$401,MATCH(ROW()-13,_datos!$K$2:$K$401,0)),"")</f>
      </c>
      <c r="F300" s="21">
        <f>IFERROR(INDEX(_datos!$E$2:$E$401,MATCH(ROW()-13,_datos!$K$2:$K$401,0)),"")</f>
      </c>
      <c r="G300" s="23">
        <f>IFERROR(INDEX(_datos!$F$2:$F$401,MATCH(ROW()-13,_datos!$K$2:$K$401,0)),"")</f>
      </c>
      <c r="H300" s="21">
        <f>IFERROR(INDEX(_datos!$G$2:$G$401,MATCH(ROW()-13,_datos!$K$2:$K$401,0)),"")</f>
      </c>
      <c r="I300" s="24">
        <f>IFERROR(INDEX(_datos!$H$2:$H$401,MATCH(ROW()-13,_datos!$K$2:$K$401,0)),"")</f>
      </c>
      <c r="J300" s="22">
        <f>IFERROR(INDEX(_datos!$I$2:$I$401,MATCH(ROW()-13,_datos!$K$2:$K$401,0)),"")</f>
      </c>
      <c r="K300" s="44">
        <f>IFERROR(HYPERLINK(INDEX(_datos!$J$2:$J$401,MATCH(ROW()-13,_datos!$K$2:$K$401,0)),"abrir mapa"),"")</f>
      </c>
    </row>
    <row r="301" ht="18.75" customHeight="1" spans="2:11" x14ac:dyDescent="0.25">
      <c r="B301" s="20">
        <f>IFERROR(INDEX(_datos!$A$2:$A$401,MATCH(ROW()-13,_datos!$K$2:$K$401,0)),"")</f>
      </c>
      <c r="C301" s="22">
        <f>IFERROR(INDEX(_datos!$B$2:$B$401,MATCH(ROW()-13,_datos!$K$2:$K$401,0)),"")</f>
      </c>
      <c r="D301" s="43">
        <f>IFERROR(INDEX(_datos!$C$2:$C$401,MATCH(ROW()-13,_datos!$K$2:$K$401,0)),"")</f>
      </c>
      <c r="E301" s="22">
        <f>IFERROR(INDEX(_datos!$D$2:$D$401,MATCH(ROW()-13,_datos!$K$2:$K$401,0)),"")</f>
      </c>
      <c r="F301" s="21">
        <f>IFERROR(INDEX(_datos!$E$2:$E$401,MATCH(ROW()-13,_datos!$K$2:$K$401,0)),"")</f>
      </c>
      <c r="G301" s="23">
        <f>IFERROR(INDEX(_datos!$F$2:$F$401,MATCH(ROW()-13,_datos!$K$2:$K$401,0)),"")</f>
      </c>
      <c r="H301" s="21">
        <f>IFERROR(INDEX(_datos!$G$2:$G$401,MATCH(ROW()-13,_datos!$K$2:$K$401,0)),"")</f>
      </c>
      <c r="I301" s="24">
        <f>IFERROR(INDEX(_datos!$H$2:$H$401,MATCH(ROW()-13,_datos!$K$2:$K$401,0)),"")</f>
      </c>
      <c r="J301" s="22">
        <f>IFERROR(INDEX(_datos!$I$2:$I$401,MATCH(ROW()-13,_datos!$K$2:$K$401,0)),"")</f>
      </c>
      <c r="K301" s="44">
        <f>IFERROR(HYPERLINK(INDEX(_datos!$J$2:$J$401,MATCH(ROW()-13,_datos!$K$2:$K$401,0)),"abrir mapa"),"")</f>
      </c>
    </row>
    <row r="302" ht="18.75" customHeight="1" spans="2:11" x14ac:dyDescent="0.25">
      <c r="B302" s="20">
        <f>IFERROR(INDEX(_datos!$A$2:$A$401,MATCH(ROW()-13,_datos!$K$2:$K$401,0)),"")</f>
      </c>
      <c r="C302" s="22">
        <f>IFERROR(INDEX(_datos!$B$2:$B$401,MATCH(ROW()-13,_datos!$K$2:$K$401,0)),"")</f>
      </c>
      <c r="D302" s="43">
        <f>IFERROR(INDEX(_datos!$C$2:$C$401,MATCH(ROW()-13,_datos!$K$2:$K$401,0)),"")</f>
      </c>
      <c r="E302" s="22">
        <f>IFERROR(INDEX(_datos!$D$2:$D$401,MATCH(ROW()-13,_datos!$K$2:$K$401,0)),"")</f>
      </c>
      <c r="F302" s="21">
        <f>IFERROR(INDEX(_datos!$E$2:$E$401,MATCH(ROW()-13,_datos!$K$2:$K$401,0)),"")</f>
      </c>
      <c r="G302" s="23">
        <f>IFERROR(INDEX(_datos!$F$2:$F$401,MATCH(ROW()-13,_datos!$K$2:$K$401,0)),"")</f>
      </c>
      <c r="H302" s="21">
        <f>IFERROR(INDEX(_datos!$G$2:$G$401,MATCH(ROW()-13,_datos!$K$2:$K$401,0)),"")</f>
      </c>
      <c r="I302" s="24">
        <f>IFERROR(INDEX(_datos!$H$2:$H$401,MATCH(ROW()-13,_datos!$K$2:$K$401,0)),"")</f>
      </c>
      <c r="J302" s="22">
        <f>IFERROR(INDEX(_datos!$I$2:$I$401,MATCH(ROW()-13,_datos!$K$2:$K$401,0)),"")</f>
      </c>
      <c r="K302" s="44">
        <f>IFERROR(HYPERLINK(INDEX(_datos!$J$2:$J$401,MATCH(ROW()-13,_datos!$K$2:$K$401,0)),"abrir mapa"),"")</f>
      </c>
    </row>
    <row r="303" ht="18.75" customHeight="1" spans="2:11" x14ac:dyDescent="0.25">
      <c r="B303" s="20">
        <f>IFERROR(INDEX(_datos!$A$2:$A$401,MATCH(ROW()-13,_datos!$K$2:$K$401,0)),"")</f>
      </c>
      <c r="C303" s="22">
        <f>IFERROR(INDEX(_datos!$B$2:$B$401,MATCH(ROW()-13,_datos!$K$2:$K$401,0)),"")</f>
      </c>
      <c r="D303" s="43">
        <f>IFERROR(INDEX(_datos!$C$2:$C$401,MATCH(ROW()-13,_datos!$K$2:$K$401,0)),"")</f>
      </c>
      <c r="E303" s="22">
        <f>IFERROR(INDEX(_datos!$D$2:$D$401,MATCH(ROW()-13,_datos!$K$2:$K$401,0)),"")</f>
      </c>
      <c r="F303" s="21">
        <f>IFERROR(INDEX(_datos!$E$2:$E$401,MATCH(ROW()-13,_datos!$K$2:$K$401,0)),"")</f>
      </c>
      <c r="G303" s="23">
        <f>IFERROR(INDEX(_datos!$F$2:$F$401,MATCH(ROW()-13,_datos!$K$2:$K$401,0)),"")</f>
      </c>
      <c r="H303" s="21">
        <f>IFERROR(INDEX(_datos!$G$2:$G$401,MATCH(ROW()-13,_datos!$K$2:$K$401,0)),"")</f>
      </c>
      <c r="I303" s="24">
        <f>IFERROR(INDEX(_datos!$H$2:$H$401,MATCH(ROW()-13,_datos!$K$2:$K$401,0)),"")</f>
      </c>
      <c r="J303" s="22">
        <f>IFERROR(INDEX(_datos!$I$2:$I$401,MATCH(ROW()-13,_datos!$K$2:$K$401,0)),"")</f>
      </c>
      <c r="K303" s="44">
        <f>IFERROR(HYPERLINK(INDEX(_datos!$J$2:$J$401,MATCH(ROW()-13,_datos!$K$2:$K$401,0)),"abrir mapa"),"")</f>
      </c>
    </row>
    <row r="304" ht="18.75" customHeight="1" spans="2:11" x14ac:dyDescent="0.25">
      <c r="B304" s="20">
        <f>IFERROR(INDEX(_datos!$A$2:$A$401,MATCH(ROW()-13,_datos!$K$2:$K$401,0)),"")</f>
      </c>
      <c r="C304" s="22">
        <f>IFERROR(INDEX(_datos!$B$2:$B$401,MATCH(ROW()-13,_datos!$K$2:$K$401,0)),"")</f>
      </c>
      <c r="D304" s="43">
        <f>IFERROR(INDEX(_datos!$C$2:$C$401,MATCH(ROW()-13,_datos!$K$2:$K$401,0)),"")</f>
      </c>
      <c r="E304" s="22">
        <f>IFERROR(INDEX(_datos!$D$2:$D$401,MATCH(ROW()-13,_datos!$K$2:$K$401,0)),"")</f>
      </c>
      <c r="F304" s="21">
        <f>IFERROR(INDEX(_datos!$E$2:$E$401,MATCH(ROW()-13,_datos!$K$2:$K$401,0)),"")</f>
      </c>
      <c r="G304" s="23">
        <f>IFERROR(INDEX(_datos!$F$2:$F$401,MATCH(ROW()-13,_datos!$K$2:$K$401,0)),"")</f>
      </c>
      <c r="H304" s="21">
        <f>IFERROR(INDEX(_datos!$G$2:$G$401,MATCH(ROW()-13,_datos!$K$2:$K$401,0)),"")</f>
      </c>
      <c r="I304" s="24">
        <f>IFERROR(INDEX(_datos!$H$2:$H$401,MATCH(ROW()-13,_datos!$K$2:$K$401,0)),"")</f>
      </c>
      <c r="J304" s="22">
        <f>IFERROR(INDEX(_datos!$I$2:$I$401,MATCH(ROW()-13,_datos!$K$2:$K$401,0)),"")</f>
      </c>
      <c r="K304" s="44">
        <f>IFERROR(HYPERLINK(INDEX(_datos!$J$2:$J$401,MATCH(ROW()-13,_datos!$K$2:$K$401,0)),"abrir mapa"),"")</f>
      </c>
    </row>
    <row r="305" ht="18.75" customHeight="1" spans="2:11" x14ac:dyDescent="0.25">
      <c r="B305" s="20">
        <f>IFERROR(INDEX(_datos!$A$2:$A$401,MATCH(ROW()-13,_datos!$K$2:$K$401,0)),"")</f>
      </c>
      <c r="C305" s="22">
        <f>IFERROR(INDEX(_datos!$B$2:$B$401,MATCH(ROW()-13,_datos!$K$2:$K$401,0)),"")</f>
      </c>
      <c r="D305" s="43">
        <f>IFERROR(INDEX(_datos!$C$2:$C$401,MATCH(ROW()-13,_datos!$K$2:$K$401,0)),"")</f>
      </c>
      <c r="E305" s="22">
        <f>IFERROR(INDEX(_datos!$D$2:$D$401,MATCH(ROW()-13,_datos!$K$2:$K$401,0)),"")</f>
      </c>
      <c r="F305" s="21">
        <f>IFERROR(INDEX(_datos!$E$2:$E$401,MATCH(ROW()-13,_datos!$K$2:$K$401,0)),"")</f>
      </c>
      <c r="G305" s="23">
        <f>IFERROR(INDEX(_datos!$F$2:$F$401,MATCH(ROW()-13,_datos!$K$2:$K$401,0)),"")</f>
      </c>
      <c r="H305" s="21">
        <f>IFERROR(INDEX(_datos!$G$2:$G$401,MATCH(ROW()-13,_datos!$K$2:$K$401,0)),"")</f>
      </c>
      <c r="I305" s="24">
        <f>IFERROR(INDEX(_datos!$H$2:$H$401,MATCH(ROW()-13,_datos!$K$2:$K$401,0)),"")</f>
      </c>
      <c r="J305" s="22">
        <f>IFERROR(INDEX(_datos!$I$2:$I$401,MATCH(ROW()-13,_datos!$K$2:$K$401,0)),"")</f>
      </c>
      <c r="K305" s="44">
        <f>IFERROR(HYPERLINK(INDEX(_datos!$J$2:$J$401,MATCH(ROW()-13,_datos!$K$2:$K$401,0)),"abrir mapa"),"")</f>
      </c>
    </row>
    <row r="306" ht="18.75" customHeight="1" spans="2:11" x14ac:dyDescent="0.25">
      <c r="B306" s="20">
        <f>IFERROR(INDEX(_datos!$A$2:$A$401,MATCH(ROW()-13,_datos!$K$2:$K$401,0)),"")</f>
      </c>
      <c r="C306" s="22">
        <f>IFERROR(INDEX(_datos!$B$2:$B$401,MATCH(ROW()-13,_datos!$K$2:$K$401,0)),"")</f>
      </c>
      <c r="D306" s="43">
        <f>IFERROR(INDEX(_datos!$C$2:$C$401,MATCH(ROW()-13,_datos!$K$2:$K$401,0)),"")</f>
      </c>
      <c r="E306" s="22">
        <f>IFERROR(INDEX(_datos!$D$2:$D$401,MATCH(ROW()-13,_datos!$K$2:$K$401,0)),"")</f>
      </c>
      <c r="F306" s="21">
        <f>IFERROR(INDEX(_datos!$E$2:$E$401,MATCH(ROW()-13,_datos!$K$2:$K$401,0)),"")</f>
      </c>
      <c r="G306" s="23">
        <f>IFERROR(INDEX(_datos!$F$2:$F$401,MATCH(ROW()-13,_datos!$K$2:$K$401,0)),"")</f>
      </c>
      <c r="H306" s="21">
        <f>IFERROR(INDEX(_datos!$G$2:$G$401,MATCH(ROW()-13,_datos!$K$2:$K$401,0)),"")</f>
      </c>
      <c r="I306" s="24">
        <f>IFERROR(INDEX(_datos!$H$2:$H$401,MATCH(ROW()-13,_datos!$K$2:$K$401,0)),"")</f>
      </c>
      <c r="J306" s="22">
        <f>IFERROR(INDEX(_datos!$I$2:$I$401,MATCH(ROW()-13,_datos!$K$2:$K$401,0)),"")</f>
      </c>
      <c r="K306" s="44">
        <f>IFERROR(HYPERLINK(INDEX(_datos!$J$2:$J$401,MATCH(ROW()-13,_datos!$K$2:$K$401,0)),"abrir mapa"),"")</f>
      </c>
    </row>
    <row r="307" ht="18.75" customHeight="1" spans="2:11" x14ac:dyDescent="0.25">
      <c r="B307" s="20">
        <f>IFERROR(INDEX(_datos!$A$2:$A$401,MATCH(ROW()-13,_datos!$K$2:$K$401,0)),"")</f>
      </c>
      <c r="C307" s="22">
        <f>IFERROR(INDEX(_datos!$B$2:$B$401,MATCH(ROW()-13,_datos!$K$2:$K$401,0)),"")</f>
      </c>
      <c r="D307" s="43">
        <f>IFERROR(INDEX(_datos!$C$2:$C$401,MATCH(ROW()-13,_datos!$K$2:$K$401,0)),"")</f>
      </c>
      <c r="E307" s="22">
        <f>IFERROR(INDEX(_datos!$D$2:$D$401,MATCH(ROW()-13,_datos!$K$2:$K$401,0)),"")</f>
      </c>
      <c r="F307" s="21">
        <f>IFERROR(INDEX(_datos!$E$2:$E$401,MATCH(ROW()-13,_datos!$K$2:$K$401,0)),"")</f>
      </c>
      <c r="G307" s="23">
        <f>IFERROR(INDEX(_datos!$F$2:$F$401,MATCH(ROW()-13,_datos!$K$2:$K$401,0)),"")</f>
      </c>
      <c r="H307" s="21">
        <f>IFERROR(INDEX(_datos!$G$2:$G$401,MATCH(ROW()-13,_datos!$K$2:$K$401,0)),"")</f>
      </c>
      <c r="I307" s="24">
        <f>IFERROR(INDEX(_datos!$H$2:$H$401,MATCH(ROW()-13,_datos!$K$2:$K$401,0)),"")</f>
      </c>
      <c r="J307" s="22">
        <f>IFERROR(INDEX(_datos!$I$2:$I$401,MATCH(ROW()-13,_datos!$K$2:$K$401,0)),"")</f>
      </c>
      <c r="K307" s="44">
        <f>IFERROR(HYPERLINK(INDEX(_datos!$J$2:$J$401,MATCH(ROW()-13,_datos!$K$2:$K$401,0)),"abrir mapa"),"")</f>
      </c>
    </row>
    <row r="308" ht="18.75" customHeight="1" spans="2:11" x14ac:dyDescent="0.25">
      <c r="B308" s="20">
        <f>IFERROR(INDEX(_datos!$A$2:$A$401,MATCH(ROW()-13,_datos!$K$2:$K$401,0)),"")</f>
      </c>
      <c r="C308" s="22">
        <f>IFERROR(INDEX(_datos!$B$2:$B$401,MATCH(ROW()-13,_datos!$K$2:$K$401,0)),"")</f>
      </c>
      <c r="D308" s="43">
        <f>IFERROR(INDEX(_datos!$C$2:$C$401,MATCH(ROW()-13,_datos!$K$2:$K$401,0)),"")</f>
      </c>
      <c r="E308" s="22">
        <f>IFERROR(INDEX(_datos!$D$2:$D$401,MATCH(ROW()-13,_datos!$K$2:$K$401,0)),"")</f>
      </c>
      <c r="F308" s="21">
        <f>IFERROR(INDEX(_datos!$E$2:$E$401,MATCH(ROW()-13,_datos!$K$2:$K$401,0)),"")</f>
      </c>
      <c r="G308" s="23">
        <f>IFERROR(INDEX(_datos!$F$2:$F$401,MATCH(ROW()-13,_datos!$K$2:$K$401,0)),"")</f>
      </c>
      <c r="H308" s="21">
        <f>IFERROR(INDEX(_datos!$G$2:$G$401,MATCH(ROW()-13,_datos!$K$2:$K$401,0)),"")</f>
      </c>
      <c r="I308" s="24">
        <f>IFERROR(INDEX(_datos!$H$2:$H$401,MATCH(ROW()-13,_datos!$K$2:$K$401,0)),"")</f>
      </c>
      <c r="J308" s="22">
        <f>IFERROR(INDEX(_datos!$I$2:$I$401,MATCH(ROW()-13,_datos!$K$2:$K$401,0)),"")</f>
      </c>
      <c r="K308" s="44">
        <f>IFERROR(HYPERLINK(INDEX(_datos!$J$2:$J$401,MATCH(ROW()-13,_datos!$K$2:$K$401,0)),"abrir mapa"),"")</f>
      </c>
    </row>
    <row r="309" ht="18.75" customHeight="1" spans="2:11" x14ac:dyDescent="0.25">
      <c r="B309" s="20">
        <f>IFERROR(INDEX(_datos!$A$2:$A$401,MATCH(ROW()-13,_datos!$K$2:$K$401,0)),"")</f>
      </c>
      <c r="C309" s="22">
        <f>IFERROR(INDEX(_datos!$B$2:$B$401,MATCH(ROW()-13,_datos!$K$2:$K$401,0)),"")</f>
      </c>
      <c r="D309" s="43">
        <f>IFERROR(INDEX(_datos!$C$2:$C$401,MATCH(ROW()-13,_datos!$K$2:$K$401,0)),"")</f>
      </c>
      <c r="E309" s="22">
        <f>IFERROR(INDEX(_datos!$D$2:$D$401,MATCH(ROW()-13,_datos!$K$2:$K$401,0)),"")</f>
      </c>
      <c r="F309" s="21">
        <f>IFERROR(INDEX(_datos!$E$2:$E$401,MATCH(ROW()-13,_datos!$K$2:$K$401,0)),"")</f>
      </c>
      <c r="G309" s="23">
        <f>IFERROR(INDEX(_datos!$F$2:$F$401,MATCH(ROW()-13,_datos!$K$2:$K$401,0)),"")</f>
      </c>
      <c r="H309" s="21">
        <f>IFERROR(INDEX(_datos!$G$2:$G$401,MATCH(ROW()-13,_datos!$K$2:$K$401,0)),"")</f>
      </c>
      <c r="I309" s="24">
        <f>IFERROR(INDEX(_datos!$H$2:$H$401,MATCH(ROW()-13,_datos!$K$2:$K$401,0)),"")</f>
      </c>
      <c r="J309" s="22">
        <f>IFERROR(INDEX(_datos!$I$2:$I$401,MATCH(ROW()-13,_datos!$K$2:$K$401,0)),"")</f>
      </c>
      <c r="K309" s="44">
        <f>IFERROR(HYPERLINK(INDEX(_datos!$J$2:$J$401,MATCH(ROW()-13,_datos!$K$2:$K$401,0)),"abrir mapa"),"")</f>
      </c>
    </row>
    <row r="310" ht="18.75" customHeight="1" spans="2:11" x14ac:dyDescent="0.25">
      <c r="B310" s="20">
        <f>IFERROR(INDEX(_datos!$A$2:$A$401,MATCH(ROW()-13,_datos!$K$2:$K$401,0)),"")</f>
      </c>
      <c r="C310" s="22">
        <f>IFERROR(INDEX(_datos!$B$2:$B$401,MATCH(ROW()-13,_datos!$K$2:$K$401,0)),"")</f>
      </c>
      <c r="D310" s="43">
        <f>IFERROR(INDEX(_datos!$C$2:$C$401,MATCH(ROW()-13,_datos!$K$2:$K$401,0)),"")</f>
      </c>
      <c r="E310" s="22">
        <f>IFERROR(INDEX(_datos!$D$2:$D$401,MATCH(ROW()-13,_datos!$K$2:$K$401,0)),"")</f>
      </c>
      <c r="F310" s="21">
        <f>IFERROR(INDEX(_datos!$E$2:$E$401,MATCH(ROW()-13,_datos!$K$2:$K$401,0)),"")</f>
      </c>
      <c r="G310" s="23">
        <f>IFERROR(INDEX(_datos!$F$2:$F$401,MATCH(ROW()-13,_datos!$K$2:$K$401,0)),"")</f>
      </c>
      <c r="H310" s="21">
        <f>IFERROR(INDEX(_datos!$G$2:$G$401,MATCH(ROW()-13,_datos!$K$2:$K$401,0)),"")</f>
      </c>
      <c r="I310" s="24">
        <f>IFERROR(INDEX(_datos!$H$2:$H$401,MATCH(ROW()-13,_datos!$K$2:$K$401,0)),"")</f>
      </c>
      <c r="J310" s="22">
        <f>IFERROR(INDEX(_datos!$I$2:$I$401,MATCH(ROW()-13,_datos!$K$2:$K$401,0)),"")</f>
      </c>
      <c r="K310" s="44">
        <f>IFERROR(HYPERLINK(INDEX(_datos!$J$2:$J$401,MATCH(ROW()-13,_datos!$K$2:$K$401,0)),"abrir mapa"),"")</f>
      </c>
    </row>
    <row r="311" ht="18.75" customHeight="1" spans="2:11" x14ac:dyDescent="0.25">
      <c r="B311" s="20">
        <f>IFERROR(INDEX(_datos!$A$2:$A$401,MATCH(ROW()-13,_datos!$K$2:$K$401,0)),"")</f>
      </c>
      <c r="C311" s="22">
        <f>IFERROR(INDEX(_datos!$B$2:$B$401,MATCH(ROW()-13,_datos!$K$2:$K$401,0)),"")</f>
      </c>
      <c r="D311" s="43">
        <f>IFERROR(INDEX(_datos!$C$2:$C$401,MATCH(ROW()-13,_datos!$K$2:$K$401,0)),"")</f>
      </c>
      <c r="E311" s="22">
        <f>IFERROR(INDEX(_datos!$D$2:$D$401,MATCH(ROW()-13,_datos!$K$2:$K$401,0)),"")</f>
      </c>
      <c r="F311" s="21">
        <f>IFERROR(INDEX(_datos!$E$2:$E$401,MATCH(ROW()-13,_datos!$K$2:$K$401,0)),"")</f>
      </c>
      <c r="G311" s="23">
        <f>IFERROR(INDEX(_datos!$F$2:$F$401,MATCH(ROW()-13,_datos!$K$2:$K$401,0)),"")</f>
      </c>
      <c r="H311" s="21">
        <f>IFERROR(INDEX(_datos!$G$2:$G$401,MATCH(ROW()-13,_datos!$K$2:$K$401,0)),"")</f>
      </c>
      <c r="I311" s="24">
        <f>IFERROR(INDEX(_datos!$H$2:$H$401,MATCH(ROW()-13,_datos!$K$2:$K$401,0)),"")</f>
      </c>
      <c r="J311" s="22">
        <f>IFERROR(INDEX(_datos!$I$2:$I$401,MATCH(ROW()-13,_datos!$K$2:$K$401,0)),"")</f>
      </c>
      <c r="K311" s="44">
        <f>IFERROR(HYPERLINK(INDEX(_datos!$J$2:$J$401,MATCH(ROW()-13,_datos!$K$2:$K$401,0)),"abrir mapa"),"")</f>
      </c>
    </row>
    <row r="312" ht="18.75" customHeight="1" spans="2:11" x14ac:dyDescent="0.25">
      <c r="B312" s="20">
        <f>IFERROR(INDEX(_datos!$A$2:$A$401,MATCH(ROW()-13,_datos!$K$2:$K$401,0)),"")</f>
      </c>
      <c r="C312" s="22">
        <f>IFERROR(INDEX(_datos!$B$2:$B$401,MATCH(ROW()-13,_datos!$K$2:$K$401,0)),"")</f>
      </c>
      <c r="D312" s="43">
        <f>IFERROR(INDEX(_datos!$C$2:$C$401,MATCH(ROW()-13,_datos!$K$2:$K$401,0)),"")</f>
      </c>
      <c r="E312" s="22">
        <f>IFERROR(INDEX(_datos!$D$2:$D$401,MATCH(ROW()-13,_datos!$K$2:$K$401,0)),"")</f>
      </c>
      <c r="F312" s="21">
        <f>IFERROR(INDEX(_datos!$E$2:$E$401,MATCH(ROW()-13,_datos!$K$2:$K$401,0)),"")</f>
      </c>
      <c r="G312" s="23">
        <f>IFERROR(INDEX(_datos!$F$2:$F$401,MATCH(ROW()-13,_datos!$K$2:$K$401,0)),"")</f>
      </c>
      <c r="H312" s="21">
        <f>IFERROR(INDEX(_datos!$G$2:$G$401,MATCH(ROW()-13,_datos!$K$2:$K$401,0)),"")</f>
      </c>
      <c r="I312" s="24">
        <f>IFERROR(INDEX(_datos!$H$2:$H$401,MATCH(ROW()-13,_datos!$K$2:$K$401,0)),"")</f>
      </c>
      <c r="J312" s="22">
        <f>IFERROR(INDEX(_datos!$I$2:$I$401,MATCH(ROW()-13,_datos!$K$2:$K$401,0)),"")</f>
      </c>
      <c r="K312" s="44">
        <f>IFERROR(HYPERLINK(INDEX(_datos!$J$2:$J$401,MATCH(ROW()-13,_datos!$K$2:$K$401,0)),"abrir mapa"),"")</f>
      </c>
    </row>
    <row r="313" ht="18.75" customHeight="1" spans="2:11" x14ac:dyDescent="0.25">
      <c r="B313" s="20">
        <f>IFERROR(INDEX(_datos!$A$2:$A$401,MATCH(ROW()-13,_datos!$K$2:$K$401,0)),"")</f>
      </c>
      <c r="C313" s="22">
        <f>IFERROR(INDEX(_datos!$B$2:$B$401,MATCH(ROW()-13,_datos!$K$2:$K$401,0)),"")</f>
      </c>
      <c r="D313" s="43">
        <f>IFERROR(INDEX(_datos!$C$2:$C$401,MATCH(ROW()-13,_datos!$K$2:$K$401,0)),"")</f>
      </c>
      <c r="E313" s="22">
        <f>IFERROR(INDEX(_datos!$D$2:$D$401,MATCH(ROW()-13,_datos!$K$2:$K$401,0)),"")</f>
      </c>
      <c r="F313" s="21">
        <f>IFERROR(INDEX(_datos!$E$2:$E$401,MATCH(ROW()-13,_datos!$K$2:$K$401,0)),"")</f>
      </c>
      <c r="G313" s="23">
        <f>IFERROR(INDEX(_datos!$F$2:$F$401,MATCH(ROW()-13,_datos!$K$2:$K$401,0)),"")</f>
      </c>
      <c r="H313" s="21">
        <f>IFERROR(INDEX(_datos!$G$2:$G$401,MATCH(ROW()-13,_datos!$K$2:$K$401,0)),"")</f>
      </c>
      <c r="I313" s="24">
        <f>IFERROR(INDEX(_datos!$H$2:$H$401,MATCH(ROW()-13,_datos!$K$2:$K$401,0)),"")</f>
      </c>
      <c r="J313" s="22">
        <f>IFERROR(INDEX(_datos!$I$2:$I$401,MATCH(ROW()-13,_datos!$K$2:$K$401,0)),"")</f>
      </c>
      <c r="K313" s="44">
        <f>IFERROR(HYPERLINK(INDEX(_datos!$J$2:$J$401,MATCH(ROW()-13,_datos!$K$2:$K$401,0)),"abrir mapa"),"")</f>
      </c>
    </row>
    <row r="314" ht="18.75" customHeight="1" spans="2:11" x14ac:dyDescent="0.25">
      <c r="B314" s="20">
        <f>IFERROR(INDEX(_datos!$A$2:$A$401,MATCH(ROW()-13,_datos!$K$2:$K$401,0)),"")</f>
      </c>
      <c r="C314" s="22">
        <f>IFERROR(INDEX(_datos!$B$2:$B$401,MATCH(ROW()-13,_datos!$K$2:$K$401,0)),"")</f>
      </c>
      <c r="D314" s="43">
        <f>IFERROR(INDEX(_datos!$C$2:$C$401,MATCH(ROW()-13,_datos!$K$2:$K$401,0)),"")</f>
      </c>
      <c r="E314" s="22">
        <f>IFERROR(INDEX(_datos!$D$2:$D$401,MATCH(ROW()-13,_datos!$K$2:$K$401,0)),"")</f>
      </c>
      <c r="F314" s="21">
        <f>IFERROR(INDEX(_datos!$E$2:$E$401,MATCH(ROW()-13,_datos!$K$2:$K$401,0)),"")</f>
      </c>
      <c r="G314" s="23">
        <f>IFERROR(INDEX(_datos!$F$2:$F$401,MATCH(ROW()-13,_datos!$K$2:$K$401,0)),"")</f>
      </c>
      <c r="H314" s="21">
        <f>IFERROR(INDEX(_datos!$G$2:$G$401,MATCH(ROW()-13,_datos!$K$2:$K$401,0)),"")</f>
      </c>
      <c r="I314" s="24">
        <f>IFERROR(INDEX(_datos!$H$2:$H$401,MATCH(ROW()-13,_datos!$K$2:$K$401,0)),"")</f>
      </c>
      <c r="J314" s="22">
        <f>IFERROR(INDEX(_datos!$I$2:$I$401,MATCH(ROW()-13,_datos!$K$2:$K$401,0)),"")</f>
      </c>
      <c r="K314" s="44">
        <f>IFERROR(HYPERLINK(INDEX(_datos!$J$2:$J$401,MATCH(ROW()-13,_datos!$K$2:$K$401,0)),"abrir mapa"),"")</f>
      </c>
    </row>
    <row r="315" ht="18.75" customHeight="1" spans="2:11" x14ac:dyDescent="0.25">
      <c r="B315" s="20">
        <f>IFERROR(INDEX(_datos!$A$2:$A$401,MATCH(ROW()-13,_datos!$K$2:$K$401,0)),"")</f>
      </c>
      <c r="C315" s="22">
        <f>IFERROR(INDEX(_datos!$B$2:$B$401,MATCH(ROW()-13,_datos!$K$2:$K$401,0)),"")</f>
      </c>
      <c r="D315" s="43">
        <f>IFERROR(INDEX(_datos!$C$2:$C$401,MATCH(ROW()-13,_datos!$K$2:$K$401,0)),"")</f>
      </c>
      <c r="E315" s="22">
        <f>IFERROR(INDEX(_datos!$D$2:$D$401,MATCH(ROW()-13,_datos!$K$2:$K$401,0)),"")</f>
      </c>
      <c r="F315" s="21">
        <f>IFERROR(INDEX(_datos!$E$2:$E$401,MATCH(ROW()-13,_datos!$K$2:$K$401,0)),"")</f>
      </c>
      <c r="G315" s="23">
        <f>IFERROR(INDEX(_datos!$F$2:$F$401,MATCH(ROW()-13,_datos!$K$2:$K$401,0)),"")</f>
      </c>
      <c r="H315" s="21">
        <f>IFERROR(INDEX(_datos!$G$2:$G$401,MATCH(ROW()-13,_datos!$K$2:$K$401,0)),"")</f>
      </c>
      <c r="I315" s="24">
        <f>IFERROR(INDEX(_datos!$H$2:$H$401,MATCH(ROW()-13,_datos!$K$2:$K$401,0)),"")</f>
      </c>
      <c r="J315" s="22">
        <f>IFERROR(INDEX(_datos!$I$2:$I$401,MATCH(ROW()-13,_datos!$K$2:$K$401,0)),"")</f>
      </c>
      <c r="K315" s="44">
        <f>IFERROR(HYPERLINK(INDEX(_datos!$J$2:$J$401,MATCH(ROW()-13,_datos!$K$2:$K$401,0)),"abrir mapa"),"")</f>
      </c>
    </row>
    <row r="316" ht="18.75" customHeight="1" spans="2:11" x14ac:dyDescent="0.25">
      <c r="B316" s="20">
        <f>IFERROR(INDEX(_datos!$A$2:$A$401,MATCH(ROW()-13,_datos!$K$2:$K$401,0)),"")</f>
      </c>
      <c r="C316" s="22">
        <f>IFERROR(INDEX(_datos!$B$2:$B$401,MATCH(ROW()-13,_datos!$K$2:$K$401,0)),"")</f>
      </c>
      <c r="D316" s="43">
        <f>IFERROR(INDEX(_datos!$C$2:$C$401,MATCH(ROW()-13,_datos!$K$2:$K$401,0)),"")</f>
      </c>
      <c r="E316" s="22">
        <f>IFERROR(INDEX(_datos!$D$2:$D$401,MATCH(ROW()-13,_datos!$K$2:$K$401,0)),"")</f>
      </c>
      <c r="F316" s="21">
        <f>IFERROR(INDEX(_datos!$E$2:$E$401,MATCH(ROW()-13,_datos!$K$2:$K$401,0)),"")</f>
      </c>
      <c r="G316" s="23">
        <f>IFERROR(INDEX(_datos!$F$2:$F$401,MATCH(ROW()-13,_datos!$K$2:$K$401,0)),"")</f>
      </c>
      <c r="H316" s="21">
        <f>IFERROR(INDEX(_datos!$G$2:$G$401,MATCH(ROW()-13,_datos!$K$2:$K$401,0)),"")</f>
      </c>
      <c r="I316" s="24">
        <f>IFERROR(INDEX(_datos!$H$2:$H$401,MATCH(ROW()-13,_datos!$K$2:$K$401,0)),"")</f>
      </c>
      <c r="J316" s="22">
        <f>IFERROR(INDEX(_datos!$I$2:$I$401,MATCH(ROW()-13,_datos!$K$2:$K$401,0)),"")</f>
      </c>
      <c r="K316" s="44">
        <f>IFERROR(HYPERLINK(INDEX(_datos!$J$2:$J$401,MATCH(ROW()-13,_datos!$K$2:$K$401,0)),"abrir mapa"),"")</f>
      </c>
    </row>
    <row r="317" ht="18.75" customHeight="1" spans="2:11" x14ac:dyDescent="0.25">
      <c r="B317" s="20">
        <f>IFERROR(INDEX(_datos!$A$2:$A$401,MATCH(ROW()-13,_datos!$K$2:$K$401,0)),"")</f>
      </c>
      <c r="C317" s="22">
        <f>IFERROR(INDEX(_datos!$B$2:$B$401,MATCH(ROW()-13,_datos!$K$2:$K$401,0)),"")</f>
      </c>
      <c r="D317" s="43">
        <f>IFERROR(INDEX(_datos!$C$2:$C$401,MATCH(ROW()-13,_datos!$K$2:$K$401,0)),"")</f>
      </c>
      <c r="E317" s="22">
        <f>IFERROR(INDEX(_datos!$D$2:$D$401,MATCH(ROW()-13,_datos!$K$2:$K$401,0)),"")</f>
      </c>
      <c r="F317" s="21">
        <f>IFERROR(INDEX(_datos!$E$2:$E$401,MATCH(ROW()-13,_datos!$K$2:$K$401,0)),"")</f>
      </c>
      <c r="G317" s="23">
        <f>IFERROR(INDEX(_datos!$F$2:$F$401,MATCH(ROW()-13,_datos!$K$2:$K$401,0)),"")</f>
      </c>
      <c r="H317" s="21">
        <f>IFERROR(INDEX(_datos!$G$2:$G$401,MATCH(ROW()-13,_datos!$K$2:$K$401,0)),"")</f>
      </c>
      <c r="I317" s="24">
        <f>IFERROR(INDEX(_datos!$H$2:$H$401,MATCH(ROW()-13,_datos!$K$2:$K$401,0)),"")</f>
      </c>
      <c r="J317" s="22">
        <f>IFERROR(INDEX(_datos!$I$2:$I$401,MATCH(ROW()-13,_datos!$K$2:$K$401,0)),"")</f>
      </c>
      <c r="K317" s="44">
        <f>IFERROR(HYPERLINK(INDEX(_datos!$J$2:$J$401,MATCH(ROW()-13,_datos!$K$2:$K$401,0)),"abrir mapa"),"")</f>
      </c>
    </row>
    <row r="318" ht="18.75" customHeight="1" spans="2:11" x14ac:dyDescent="0.25">
      <c r="B318" s="20">
        <f>IFERROR(INDEX(_datos!$A$2:$A$401,MATCH(ROW()-13,_datos!$K$2:$K$401,0)),"")</f>
      </c>
      <c r="C318" s="22">
        <f>IFERROR(INDEX(_datos!$B$2:$B$401,MATCH(ROW()-13,_datos!$K$2:$K$401,0)),"")</f>
      </c>
      <c r="D318" s="43">
        <f>IFERROR(INDEX(_datos!$C$2:$C$401,MATCH(ROW()-13,_datos!$K$2:$K$401,0)),"")</f>
      </c>
      <c r="E318" s="22">
        <f>IFERROR(INDEX(_datos!$D$2:$D$401,MATCH(ROW()-13,_datos!$K$2:$K$401,0)),"")</f>
      </c>
      <c r="F318" s="21">
        <f>IFERROR(INDEX(_datos!$E$2:$E$401,MATCH(ROW()-13,_datos!$K$2:$K$401,0)),"")</f>
      </c>
      <c r="G318" s="23">
        <f>IFERROR(INDEX(_datos!$F$2:$F$401,MATCH(ROW()-13,_datos!$K$2:$K$401,0)),"")</f>
      </c>
      <c r="H318" s="21">
        <f>IFERROR(INDEX(_datos!$G$2:$G$401,MATCH(ROW()-13,_datos!$K$2:$K$401,0)),"")</f>
      </c>
      <c r="I318" s="24">
        <f>IFERROR(INDEX(_datos!$H$2:$H$401,MATCH(ROW()-13,_datos!$K$2:$K$401,0)),"")</f>
      </c>
      <c r="J318" s="22">
        <f>IFERROR(INDEX(_datos!$I$2:$I$401,MATCH(ROW()-13,_datos!$K$2:$K$401,0)),"")</f>
      </c>
      <c r="K318" s="44">
        <f>IFERROR(HYPERLINK(INDEX(_datos!$J$2:$J$401,MATCH(ROW()-13,_datos!$K$2:$K$401,0)),"abrir mapa"),"")</f>
      </c>
    </row>
    <row r="319" ht="18.75" customHeight="1" spans="2:11" x14ac:dyDescent="0.25">
      <c r="B319" s="20">
        <f>IFERROR(INDEX(_datos!$A$2:$A$401,MATCH(ROW()-13,_datos!$K$2:$K$401,0)),"")</f>
      </c>
      <c r="C319" s="22">
        <f>IFERROR(INDEX(_datos!$B$2:$B$401,MATCH(ROW()-13,_datos!$K$2:$K$401,0)),"")</f>
      </c>
      <c r="D319" s="43">
        <f>IFERROR(INDEX(_datos!$C$2:$C$401,MATCH(ROW()-13,_datos!$K$2:$K$401,0)),"")</f>
      </c>
      <c r="E319" s="22">
        <f>IFERROR(INDEX(_datos!$D$2:$D$401,MATCH(ROW()-13,_datos!$K$2:$K$401,0)),"")</f>
      </c>
      <c r="F319" s="21">
        <f>IFERROR(INDEX(_datos!$E$2:$E$401,MATCH(ROW()-13,_datos!$K$2:$K$401,0)),"")</f>
      </c>
      <c r="G319" s="23">
        <f>IFERROR(INDEX(_datos!$F$2:$F$401,MATCH(ROW()-13,_datos!$K$2:$K$401,0)),"")</f>
      </c>
      <c r="H319" s="21">
        <f>IFERROR(INDEX(_datos!$G$2:$G$401,MATCH(ROW()-13,_datos!$K$2:$K$401,0)),"")</f>
      </c>
      <c r="I319" s="24">
        <f>IFERROR(INDEX(_datos!$H$2:$H$401,MATCH(ROW()-13,_datos!$K$2:$K$401,0)),"")</f>
      </c>
      <c r="J319" s="22">
        <f>IFERROR(INDEX(_datos!$I$2:$I$401,MATCH(ROW()-13,_datos!$K$2:$K$401,0)),"")</f>
      </c>
      <c r="K319" s="44">
        <f>IFERROR(HYPERLINK(INDEX(_datos!$J$2:$J$401,MATCH(ROW()-13,_datos!$K$2:$K$401,0)),"abrir mapa"),"")</f>
      </c>
    </row>
    <row r="320" ht="18.75" customHeight="1" spans="2:11" x14ac:dyDescent="0.25">
      <c r="B320" s="20">
        <f>IFERROR(INDEX(_datos!$A$2:$A$401,MATCH(ROW()-13,_datos!$K$2:$K$401,0)),"")</f>
      </c>
      <c r="C320" s="22">
        <f>IFERROR(INDEX(_datos!$B$2:$B$401,MATCH(ROW()-13,_datos!$K$2:$K$401,0)),"")</f>
      </c>
      <c r="D320" s="43">
        <f>IFERROR(INDEX(_datos!$C$2:$C$401,MATCH(ROW()-13,_datos!$K$2:$K$401,0)),"")</f>
      </c>
      <c r="E320" s="22">
        <f>IFERROR(INDEX(_datos!$D$2:$D$401,MATCH(ROW()-13,_datos!$K$2:$K$401,0)),"")</f>
      </c>
      <c r="F320" s="21">
        <f>IFERROR(INDEX(_datos!$E$2:$E$401,MATCH(ROW()-13,_datos!$K$2:$K$401,0)),"")</f>
      </c>
      <c r="G320" s="23">
        <f>IFERROR(INDEX(_datos!$F$2:$F$401,MATCH(ROW()-13,_datos!$K$2:$K$401,0)),"")</f>
      </c>
      <c r="H320" s="21">
        <f>IFERROR(INDEX(_datos!$G$2:$G$401,MATCH(ROW()-13,_datos!$K$2:$K$401,0)),"")</f>
      </c>
      <c r="I320" s="24">
        <f>IFERROR(INDEX(_datos!$H$2:$H$401,MATCH(ROW()-13,_datos!$K$2:$K$401,0)),"")</f>
      </c>
      <c r="J320" s="22">
        <f>IFERROR(INDEX(_datos!$I$2:$I$401,MATCH(ROW()-13,_datos!$K$2:$K$401,0)),"")</f>
      </c>
      <c r="K320" s="44">
        <f>IFERROR(HYPERLINK(INDEX(_datos!$J$2:$J$401,MATCH(ROW()-13,_datos!$K$2:$K$401,0)),"abrir mapa"),"")</f>
      </c>
    </row>
    <row r="321" ht="18.75" customHeight="1" spans="2:11" x14ac:dyDescent="0.25">
      <c r="B321" s="20">
        <f>IFERROR(INDEX(_datos!$A$2:$A$401,MATCH(ROW()-13,_datos!$K$2:$K$401,0)),"")</f>
      </c>
      <c r="C321" s="22">
        <f>IFERROR(INDEX(_datos!$B$2:$B$401,MATCH(ROW()-13,_datos!$K$2:$K$401,0)),"")</f>
      </c>
      <c r="D321" s="43">
        <f>IFERROR(INDEX(_datos!$C$2:$C$401,MATCH(ROW()-13,_datos!$K$2:$K$401,0)),"")</f>
      </c>
      <c r="E321" s="22">
        <f>IFERROR(INDEX(_datos!$D$2:$D$401,MATCH(ROW()-13,_datos!$K$2:$K$401,0)),"")</f>
      </c>
      <c r="F321" s="21">
        <f>IFERROR(INDEX(_datos!$E$2:$E$401,MATCH(ROW()-13,_datos!$K$2:$K$401,0)),"")</f>
      </c>
      <c r="G321" s="23">
        <f>IFERROR(INDEX(_datos!$F$2:$F$401,MATCH(ROW()-13,_datos!$K$2:$K$401,0)),"")</f>
      </c>
      <c r="H321" s="21">
        <f>IFERROR(INDEX(_datos!$G$2:$G$401,MATCH(ROW()-13,_datos!$K$2:$K$401,0)),"")</f>
      </c>
      <c r="I321" s="24">
        <f>IFERROR(INDEX(_datos!$H$2:$H$401,MATCH(ROW()-13,_datos!$K$2:$K$401,0)),"")</f>
      </c>
      <c r="J321" s="22">
        <f>IFERROR(INDEX(_datos!$I$2:$I$401,MATCH(ROW()-13,_datos!$K$2:$K$401,0)),"")</f>
      </c>
      <c r="K321" s="44">
        <f>IFERROR(HYPERLINK(INDEX(_datos!$J$2:$J$401,MATCH(ROW()-13,_datos!$K$2:$K$401,0)),"abrir mapa"),"")</f>
      </c>
    </row>
    <row r="322" ht="18.75" customHeight="1" spans="2:11" x14ac:dyDescent="0.25">
      <c r="B322" s="20">
        <f>IFERROR(INDEX(_datos!$A$2:$A$401,MATCH(ROW()-13,_datos!$K$2:$K$401,0)),"")</f>
      </c>
      <c r="C322" s="22">
        <f>IFERROR(INDEX(_datos!$B$2:$B$401,MATCH(ROW()-13,_datos!$K$2:$K$401,0)),"")</f>
      </c>
      <c r="D322" s="43">
        <f>IFERROR(INDEX(_datos!$C$2:$C$401,MATCH(ROW()-13,_datos!$K$2:$K$401,0)),"")</f>
      </c>
      <c r="E322" s="22">
        <f>IFERROR(INDEX(_datos!$D$2:$D$401,MATCH(ROW()-13,_datos!$K$2:$K$401,0)),"")</f>
      </c>
      <c r="F322" s="21">
        <f>IFERROR(INDEX(_datos!$E$2:$E$401,MATCH(ROW()-13,_datos!$K$2:$K$401,0)),"")</f>
      </c>
      <c r="G322" s="23">
        <f>IFERROR(INDEX(_datos!$F$2:$F$401,MATCH(ROW()-13,_datos!$K$2:$K$401,0)),"")</f>
      </c>
      <c r="H322" s="21">
        <f>IFERROR(INDEX(_datos!$G$2:$G$401,MATCH(ROW()-13,_datos!$K$2:$K$401,0)),"")</f>
      </c>
      <c r="I322" s="24">
        <f>IFERROR(INDEX(_datos!$H$2:$H$401,MATCH(ROW()-13,_datos!$K$2:$K$401,0)),"")</f>
      </c>
      <c r="J322" s="22">
        <f>IFERROR(INDEX(_datos!$I$2:$I$401,MATCH(ROW()-13,_datos!$K$2:$K$401,0)),"")</f>
      </c>
      <c r="K322" s="44">
        <f>IFERROR(HYPERLINK(INDEX(_datos!$J$2:$J$401,MATCH(ROW()-13,_datos!$K$2:$K$401,0)),"abrir mapa"),"")</f>
      </c>
    </row>
    <row r="323" ht="18.75" customHeight="1" spans="2:11" x14ac:dyDescent="0.25">
      <c r="B323" s="20">
        <f>IFERROR(INDEX(_datos!$A$2:$A$401,MATCH(ROW()-13,_datos!$K$2:$K$401,0)),"")</f>
      </c>
      <c r="C323" s="22">
        <f>IFERROR(INDEX(_datos!$B$2:$B$401,MATCH(ROW()-13,_datos!$K$2:$K$401,0)),"")</f>
      </c>
      <c r="D323" s="43">
        <f>IFERROR(INDEX(_datos!$C$2:$C$401,MATCH(ROW()-13,_datos!$K$2:$K$401,0)),"")</f>
      </c>
      <c r="E323" s="22">
        <f>IFERROR(INDEX(_datos!$D$2:$D$401,MATCH(ROW()-13,_datos!$K$2:$K$401,0)),"")</f>
      </c>
      <c r="F323" s="21">
        <f>IFERROR(INDEX(_datos!$E$2:$E$401,MATCH(ROW()-13,_datos!$K$2:$K$401,0)),"")</f>
      </c>
      <c r="G323" s="23">
        <f>IFERROR(INDEX(_datos!$F$2:$F$401,MATCH(ROW()-13,_datos!$K$2:$K$401,0)),"")</f>
      </c>
      <c r="H323" s="21">
        <f>IFERROR(INDEX(_datos!$G$2:$G$401,MATCH(ROW()-13,_datos!$K$2:$K$401,0)),"")</f>
      </c>
      <c r="I323" s="24">
        <f>IFERROR(INDEX(_datos!$H$2:$H$401,MATCH(ROW()-13,_datos!$K$2:$K$401,0)),"")</f>
      </c>
      <c r="J323" s="22">
        <f>IFERROR(INDEX(_datos!$I$2:$I$401,MATCH(ROW()-13,_datos!$K$2:$K$401,0)),"")</f>
      </c>
      <c r="K323" s="44">
        <f>IFERROR(HYPERLINK(INDEX(_datos!$J$2:$J$401,MATCH(ROW()-13,_datos!$K$2:$K$401,0)),"abrir mapa"),"")</f>
      </c>
    </row>
    <row r="324" ht="18.75" customHeight="1" spans="2:11" x14ac:dyDescent="0.25">
      <c r="B324" s="20">
        <f>IFERROR(INDEX(_datos!$A$2:$A$401,MATCH(ROW()-13,_datos!$K$2:$K$401,0)),"")</f>
      </c>
      <c r="C324" s="22">
        <f>IFERROR(INDEX(_datos!$B$2:$B$401,MATCH(ROW()-13,_datos!$K$2:$K$401,0)),"")</f>
      </c>
      <c r="D324" s="43">
        <f>IFERROR(INDEX(_datos!$C$2:$C$401,MATCH(ROW()-13,_datos!$K$2:$K$401,0)),"")</f>
      </c>
      <c r="E324" s="22">
        <f>IFERROR(INDEX(_datos!$D$2:$D$401,MATCH(ROW()-13,_datos!$K$2:$K$401,0)),"")</f>
      </c>
      <c r="F324" s="21">
        <f>IFERROR(INDEX(_datos!$E$2:$E$401,MATCH(ROW()-13,_datos!$K$2:$K$401,0)),"")</f>
      </c>
      <c r="G324" s="23">
        <f>IFERROR(INDEX(_datos!$F$2:$F$401,MATCH(ROW()-13,_datos!$K$2:$K$401,0)),"")</f>
      </c>
      <c r="H324" s="21">
        <f>IFERROR(INDEX(_datos!$G$2:$G$401,MATCH(ROW()-13,_datos!$K$2:$K$401,0)),"")</f>
      </c>
      <c r="I324" s="24">
        <f>IFERROR(INDEX(_datos!$H$2:$H$401,MATCH(ROW()-13,_datos!$K$2:$K$401,0)),"")</f>
      </c>
      <c r="J324" s="22">
        <f>IFERROR(INDEX(_datos!$I$2:$I$401,MATCH(ROW()-13,_datos!$K$2:$K$401,0)),"")</f>
      </c>
      <c r="K324" s="44">
        <f>IFERROR(HYPERLINK(INDEX(_datos!$J$2:$J$401,MATCH(ROW()-13,_datos!$K$2:$K$401,0)),"abrir mapa"),"")</f>
      </c>
    </row>
    <row r="325" ht="18.75" customHeight="1" spans="2:11" x14ac:dyDescent="0.25">
      <c r="B325" s="20">
        <f>IFERROR(INDEX(_datos!$A$2:$A$401,MATCH(ROW()-13,_datos!$K$2:$K$401,0)),"")</f>
      </c>
      <c r="C325" s="22">
        <f>IFERROR(INDEX(_datos!$B$2:$B$401,MATCH(ROW()-13,_datos!$K$2:$K$401,0)),"")</f>
      </c>
      <c r="D325" s="43">
        <f>IFERROR(INDEX(_datos!$C$2:$C$401,MATCH(ROW()-13,_datos!$K$2:$K$401,0)),"")</f>
      </c>
      <c r="E325" s="22">
        <f>IFERROR(INDEX(_datos!$D$2:$D$401,MATCH(ROW()-13,_datos!$K$2:$K$401,0)),"")</f>
      </c>
      <c r="F325" s="21">
        <f>IFERROR(INDEX(_datos!$E$2:$E$401,MATCH(ROW()-13,_datos!$K$2:$K$401,0)),"")</f>
      </c>
      <c r="G325" s="23">
        <f>IFERROR(INDEX(_datos!$F$2:$F$401,MATCH(ROW()-13,_datos!$K$2:$K$401,0)),"")</f>
      </c>
      <c r="H325" s="21">
        <f>IFERROR(INDEX(_datos!$G$2:$G$401,MATCH(ROW()-13,_datos!$K$2:$K$401,0)),"")</f>
      </c>
      <c r="I325" s="24">
        <f>IFERROR(INDEX(_datos!$H$2:$H$401,MATCH(ROW()-13,_datos!$K$2:$K$401,0)),"")</f>
      </c>
      <c r="J325" s="22">
        <f>IFERROR(INDEX(_datos!$I$2:$I$401,MATCH(ROW()-13,_datos!$K$2:$K$401,0)),"")</f>
      </c>
      <c r="K325" s="44">
        <f>IFERROR(HYPERLINK(INDEX(_datos!$J$2:$J$401,MATCH(ROW()-13,_datos!$K$2:$K$401,0)),"abrir mapa"),"")</f>
      </c>
    </row>
    <row r="326" ht="18.75" customHeight="1" spans="2:11" x14ac:dyDescent="0.25">
      <c r="B326" s="20">
        <f>IFERROR(INDEX(_datos!$A$2:$A$401,MATCH(ROW()-13,_datos!$K$2:$K$401,0)),"")</f>
      </c>
      <c r="C326" s="22">
        <f>IFERROR(INDEX(_datos!$B$2:$B$401,MATCH(ROW()-13,_datos!$K$2:$K$401,0)),"")</f>
      </c>
      <c r="D326" s="43">
        <f>IFERROR(INDEX(_datos!$C$2:$C$401,MATCH(ROW()-13,_datos!$K$2:$K$401,0)),"")</f>
      </c>
      <c r="E326" s="22">
        <f>IFERROR(INDEX(_datos!$D$2:$D$401,MATCH(ROW()-13,_datos!$K$2:$K$401,0)),"")</f>
      </c>
      <c r="F326" s="21">
        <f>IFERROR(INDEX(_datos!$E$2:$E$401,MATCH(ROW()-13,_datos!$K$2:$K$401,0)),"")</f>
      </c>
      <c r="G326" s="23">
        <f>IFERROR(INDEX(_datos!$F$2:$F$401,MATCH(ROW()-13,_datos!$K$2:$K$401,0)),"")</f>
      </c>
      <c r="H326" s="21">
        <f>IFERROR(INDEX(_datos!$G$2:$G$401,MATCH(ROW()-13,_datos!$K$2:$K$401,0)),"")</f>
      </c>
      <c r="I326" s="24">
        <f>IFERROR(INDEX(_datos!$H$2:$H$401,MATCH(ROW()-13,_datos!$K$2:$K$401,0)),"")</f>
      </c>
      <c r="J326" s="22">
        <f>IFERROR(INDEX(_datos!$I$2:$I$401,MATCH(ROW()-13,_datos!$K$2:$K$401,0)),"")</f>
      </c>
      <c r="K326" s="44">
        <f>IFERROR(HYPERLINK(INDEX(_datos!$J$2:$J$401,MATCH(ROW()-13,_datos!$K$2:$K$401,0)),"abrir mapa"),"")</f>
      </c>
    </row>
    <row r="327" ht="18.75" customHeight="1" spans="2:11" x14ac:dyDescent="0.25">
      <c r="B327" s="20">
        <f>IFERROR(INDEX(_datos!$A$2:$A$401,MATCH(ROW()-13,_datos!$K$2:$K$401,0)),"")</f>
      </c>
      <c r="C327" s="22">
        <f>IFERROR(INDEX(_datos!$B$2:$B$401,MATCH(ROW()-13,_datos!$K$2:$K$401,0)),"")</f>
      </c>
      <c r="D327" s="43">
        <f>IFERROR(INDEX(_datos!$C$2:$C$401,MATCH(ROW()-13,_datos!$K$2:$K$401,0)),"")</f>
      </c>
      <c r="E327" s="22">
        <f>IFERROR(INDEX(_datos!$D$2:$D$401,MATCH(ROW()-13,_datos!$K$2:$K$401,0)),"")</f>
      </c>
      <c r="F327" s="21">
        <f>IFERROR(INDEX(_datos!$E$2:$E$401,MATCH(ROW()-13,_datos!$K$2:$K$401,0)),"")</f>
      </c>
      <c r="G327" s="23">
        <f>IFERROR(INDEX(_datos!$F$2:$F$401,MATCH(ROW()-13,_datos!$K$2:$K$401,0)),"")</f>
      </c>
      <c r="H327" s="21">
        <f>IFERROR(INDEX(_datos!$G$2:$G$401,MATCH(ROW()-13,_datos!$K$2:$K$401,0)),"")</f>
      </c>
      <c r="I327" s="24">
        <f>IFERROR(INDEX(_datos!$H$2:$H$401,MATCH(ROW()-13,_datos!$K$2:$K$401,0)),"")</f>
      </c>
      <c r="J327" s="22">
        <f>IFERROR(INDEX(_datos!$I$2:$I$401,MATCH(ROW()-13,_datos!$K$2:$K$401,0)),"")</f>
      </c>
      <c r="K327" s="44">
        <f>IFERROR(HYPERLINK(INDEX(_datos!$J$2:$J$401,MATCH(ROW()-13,_datos!$K$2:$K$401,0)),"abrir mapa"),"")</f>
      </c>
    </row>
    <row r="328" ht="18.75" customHeight="1" spans="2:11" x14ac:dyDescent="0.25">
      <c r="B328" s="20">
        <f>IFERROR(INDEX(_datos!$A$2:$A$401,MATCH(ROW()-13,_datos!$K$2:$K$401,0)),"")</f>
      </c>
      <c r="C328" s="22">
        <f>IFERROR(INDEX(_datos!$B$2:$B$401,MATCH(ROW()-13,_datos!$K$2:$K$401,0)),"")</f>
      </c>
      <c r="D328" s="43">
        <f>IFERROR(INDEX(_datos!$C$2:$C$401,MATCH(ROW()-13,_datos!$K$2:$K$401,0)),"")</f>
      </c>
      <c r="E328" s="22">
        <f>IFERROR(INDEX(_datos!$D$2:$D$401,MATCH(ROW()-13,_datos!$K$2:$K$401,0)),"")</f>
      </c>
      <c r="F328" s="21">
        <f>IFERROR(INDEX(_datos!$E$2:$E$401,MATCH(ROW()-13,_datos!$K$2:$K$401,0)),"")</f>
      </c>
      <c r="G328" s="23">
        <f>IFERROR(INDEX(_datos!$F$2:$F$401,MATCH(ROW()-13,_datos!$K$2:$K$401,0)),"")</f>
      </c>
      <c r="H328" s="21">
        <f>IFERROR(INDEX(_datos!$G$2:$G$401,MATCH(ROW()-13,_datos!$K$2:$K$401,0)),"")</f>
      </c>
      <c r="I328" s="24">
        <f>IFERROR(INDEX(_datos!$H$2:$H$401,MATCH(ROW()-13,_datos!$K$2:$K$401,0)),"")</f>
      </c>
      <c r="J328" s="22">
        <f>IFERROR(INDEX(_datos!$I$2:$I$401,MATCH(ROW()-13,_datos!$K$2:$K$401,0)),"")</f>
      </c>
      <c r="K328" s="44">
        <f>IFERROR(HYPERLINK(INDEX(_datos!$J$2:$J$401,MATCH(ROW()-13,_datos!$K$2:$K$401,0)),"abrir mapa"),"")</f>
      </c>
    </row>
    <row r="329" ht="18.75" customHeight="1" spans="2:11" x14ac:dyDescent="0.25">
      <c r="B329" s="20">
        <f>IFERROR(INDEX(_datos!$A$2:$A$401,MATCH(ROW()-13,_datos!$K$2:$K$401,0)),"")</f>
      </c>
      <c r="C329" s="22">
        <f>IFERROR(INDEX(_datos!$B$2:$B$401,MATCH(ROW()-13,_datos!$K$2:$K$401,0)),"")</f>
      </c>
      <c r="D329" s="43">
        <f>IFERROR(INDEX(_datos!$C$2:$C$401,MATCH(ROW()-13,_datos!$K$2:$K$401,0)),"")</f>
      </c>
      <c r="E329" s="22">
        <f>IFERROR(INDEX(_datos!$D$2:$D$401,MATCH(ROW()-13,_datos!$K$2:$K$401,0)),"")</f>
      </c>
      <c r="F329" s="21">
        <f>IFERROR(INDEX(_datos!$E$2:$E$401,MATCH(ROW()-13,_datos!$K$2:$K$401,0)),"")</f>
      </c>
      <c r="G329" s="23">
        <f>IFERROR(INDEX(_datos!$F$2:$F$401,MATCH(ROW()-13,_datos!$K$2:$K$401,0)),"")</f>
      </c>
      <c r="H329" s="21">
        <f>IFERROR(INDEX(_datos!$G$2:$G$401,MATCH(ROW()-13,_datos!$K$2:$K$401,0)),"")</f>
      </c>
      <c r="I329" s="24">
        <f>IFERROR(INDEX(_datos!$H$2:$H$401,MATCH(ROW()-13,_datos!$K$2:$K$401,0)),"")</f>
      </c>
      <c r="J329" s="22">
        <f>IFERROR(INDEX(_datos!$I$2:$I$401,MATCH(ROW()-13,_datos!$K$2:$K$401,0)),"")</f>
      </c>
      <c r="K329" s="44">
        <f>IFERROR(HYPERLINK(INDEX(_datos!$J$2:$J$401,MATCH(ROW()-13,_datos!$K$2:$K$401,0)),"abrir mapa"),"")</f>
      </c>
    </row>
    <row r="330" ht="18.75" customHeight="1" spans="2:11" x14ac:dyDescent="0.25">
      <c r="B330" s="20">
        <f>IFERROR(INDEX(_datos!$A$2:$A$401,MATCH(ROW()-13,_datos!$K$2:$K$401,0)),"")</f>
      </c>
      <c r="C330" s="22">
        <f>IFERROR(INDEX(_datos!$B$2:$B$401,MATCH(ROW()-13,_datos!$K$2:$K$401,0)),"")</f>
      </c>
      <c r="D330" s="43">
        <f>IFERROR(INDEX(_datos!$C$2:$C$401,MATCH(ROW()-13,_datos!$K$2:$K$401,0)),"")</f>
      </c>
      <c r="E330" s="22">
        <f>IFERROR(INDEX(_datos!$D$2:$D$401,MATCH(ROW()-13,_datos!$K$2:$K$401,0)),"")</f>
      </c>
      <c r="F330" s="21">
        <f>IFERROR(INDEX(_datos!$E$2:$E$401,MATCH(ROW()-13,_datos!$K$2:$K$401,0)),"")</f>
      </c>
      <c r="G330" s="23">
        <f>IFERROR(INDEX(_datos!$F$2:$F$401,MATCH(ROW()-13,_datos!$K$2:$K$401,0)),"")</f>
      </c>
      <c r="H330" s="21">
        <f>IFERROR(INDEX(_datos!$G$2:$G$401,MATCH(ROW()-13,_datos!$K$2:$K$401,0)),"")</f>
      </c>
      <c r="I330" s="24">
        <f>IFERROR(INDEX(_datos!$H$2:$H$401,MATCH(ROW()-13,_datos!$K$2:$K$401,0)),"")</f>
      </c>
      <c r="J330" s="22">
        <f>IFERROR(INDEX(_datos!$I$2:$I$401,MATCH(ROW()-13,_datos!$K$2:$K$401,0)),"")</f>
      </c>
      <c r="K330" s="44">
        <f>IFERROR(HYPERLINK(INDEX(_datos!$J$2:$J$401,MATCH(ROW()-13,_datos!$K$2:$K$401,0)),"abrir mapa"),"")</f>
      </c>
    </row>
    <row r="331" ht="18.75" customHeight="1" spans="2:11" x14ac:dyDescent="0.25">
      <c r="B331" s="20">
        <f>IFERROR(INDEX(_datos!$A$2:$A$401,MATCH(ROW()-13,_datos!$K$2:$K$401,0)),"")</f>
      </c>
      <c r="C331" s="22">
        <f>IFERROR(INDEX(_datos!$B$2:$B$401,MATCH(ROW()-13,_datos!$K$2:$K$401,0)),"")</f>
      </c>
      <c r="D331" s="43">
        <f>IFERROR(INDEX(_datos!$C$2:$C$401,MATCH(ROW()-13,_datos!$K$2:$K$401,0)),"")</f>
      </c>
      <c r="E331" s="22">
        <f>IFERROR(INDEX(_datos!$D$2:$D$401,MATCH(ROW()-13,_datos!$K$2:$K$401,0)),"")</f>
      </c>
      <c r="F331" s="21">
        <f>IFERROR(INDEX(_datos!$E$2:$E$401,MATCH(ROW()-13,_datos!$K$2:$K$401,0)),"")</f>
      </c>
      <c r="G331" s="23">
        <f>IFERROR(INDEX(_datos!$F$2:$F$401,MATCH(ROW()-13,_datos!$K$2:$K$401,0)),"")</f>
      </c>
      <c r="H331" s="21">
        <f>IFERROR(INDEX(_datos!$G$2:$G$401,MATCH(ROW()-13,_datos!$K$2:$K$401,0)),"")</f>
      </c>
      <c r="I331" s="24">
        <f>IFERROR(INDEX(_datos!$H$2:$H$401,MATCH(ROW()-13,_datos!$K$2:$K$401,0)),"")</f>
      </c>
      <c r="J331" s="22">
        <f>IFERROR(INDEX(_datos!$I$2:$I$401,MATCH(ROW()-13,_datos!$K$2:$K$401,0)),"")</f>
      </c>
      <c r="K331" s="44">
        <f>IFERROR(HYPERLINK(INDEX(_datos!$J$2:$J$401,MATCH(ROW()-13,_datos!$K$2:$K$401,0)),"abrir mapa"),"")</f>
      </c>
    </row>
    <row r="332" ht="18.75" customHeight="1" spans="2:11" x14ac:dyDescent="0.25">
      <c r="B332" s="20">
        <f>IFERROR(INDEX(_datos!$A$2:$A$401,MATCH(ROW()-13,_datos!$K$2:$K$401,0)),"")</f>
      </c>
      <c r="C332" s="22">
        <f>IFERROR(INDEX(_datos!$B$2:$B$401,MATCH(ROW()-13,_datos!$K$2:$K$401,0)),"")</f>
      </c>
      <c r="D332" s="43">
        <f>IFERROR(INDEX(_datos!$C$2:$C$401,MATCH(ROW()-13,_datos!$K$2:$K$401,0)),"")</f>
      </c>
      <c r="E332" s="22">
        <f>IFERROR(INDEX(_datos!$D$2:$D$401,MATCH(ROW()-13,_datos!$K$2:$K$401,0)),"")</f>
      </c>
      <c r="F332" s="21">
        <f>IFERROR(INDEX(_datos!$E$2:$E$401,MATCH(ROW()-13,_datos!$K$2:$K$401,0)),"")</f>
      </c>
      <c r="G332" s="23">
        <f>IFERROR(INDEX(_datos!$F$2:$F$401,MATCH(ROW()-13,_datos!$K$2:$K$401,0)),"")</f>
      </c>
      <c r="H332" s="21">
        <f>IFERROR(INDEX(_datos!$G$2:$G$401,MATCH(ROW()-13,_datos!$K$2:$K$401,0)),"")</f>
      </c>
      <c r="I332" s="24">
        <f>IFERROR(INDEX(_datos!$H$2:$H$401,MATCH(ROW()-13,_datos!$K$2:$K$401,0)),"")</f>
      </c>
      <c r="J332" s="22">
        <f>IFERROR(INDEX(_datos!$I$2:$I$401,MATCH(ROW()-13,_datos!$K$2:$K$401,0)),"")</f>
      </c>
      <c r="K332" s="44">
        <f>IFERROR(HYPERLINK(INDEX(_datos!$J$2:$J$401,MATCH(ROW()-13,_datos!$K$2:$K$401,0)),"abrir mapa"),"")</f>
      </c>
    </row>
    <row r="333" ht="18.75" customHeight="1" spans="2:11" x14ac:dyDescent="0.25">
      <c r="B333" s="20">
        <f>IFERROR(INDEX(_datos!$A$2:$A$401,MATCH(ROW()-13,_datos!$K$2:$K$401,0)),"")</f>
      </c>
      <c r="C333" s="22">
        <f>IFERROR(INDEX(_datos!$B$2:$B$401,MATCH(ROW()-13,_datos!$K$2:$K$401,0)),"")</f>
      </c>
      <c r="D333" s="43">
        <f>IFERROR(INDEX(_datos!$C$2:$C$401,MATCH(ROW()-13,_datos!$K$2:$K$401,0)),"")</f>
      </c>
      <c r="E333" s="22">
        <f>IFERROR(INDEX(_datos!$D$2:$D$401,MATCH(ROW()-13,_datos!$K$2:$K$401,0)),"")</f>
      </c>
      <c r="F333" s="21">
        <f>IFERROR(INDEX(_datos!$E$2:$E$401,MATCH(ROW()-13,_datos!$K$2:$K$401,0)),"")</f>
      </c>
      <c r="G333" s="23">
        <f>IFERROR(INDEX(_datos!$F$2:$F$401,MATCH(ROW()-13,_datos!$K$2:$K$401,0)),"")</f>
      </c>
      <c r="H333" s="21">
        <f>IFERROR(INDEX(_datos!$G$2:$G$401,MATCH(ROW()-13,_datos!$K$2:$K$401,0)),"")</f>
      </c>
      <c r="I333" s="24">
        <f>IFERROR(INDEX(_datos!$H$2:$H$401,MATCH(ROW()-13,_datos!$K$2:$K$401,0)),"")</f>
      </c>
      <c r="J333" s="22">
        <f>IFERROR(INDEX(_datos!$I$2:$I$401,MATCH(ROW()-13,_datos!$K$2:$K$401,0)),"")</f>
      </c>
      <c r="K333" s="44">
        <f>IFERROR(HYPERLINK(INDEX(_datos!$J$2:$J$401,MATCH(ROW()-13,_datos!$K$2:$K$401,0)),"abrir mapa"),"")</f>
      </c>
    </row>
    <row r="334" ht="18.75" customHeight="1" spans="2:11" x14ac:dyDescent="0.25">
      <c r="B334" s="20">
        <f>IFERROR(INDEX(_datos!$A$2:$A$401,MATCH(ROW()-13,_datos!$K$2:$K$401,0)),"")</f>
      </c>
      <c r="C334" s="22">
        <f>IFERROR(INDEX(_datos!$B$2:$B$401,MATCH(ROW()-13,_datos!$K$2:$K$401,0)),"")</f>
      </c>
      <c r="D334" s="43">
        <f>IFERROR(INDEX(_datos!$C$2:$C$401,MATCH(ROW()-13,_datos!$K$2:$K$401,0)),"")</f>
      </c>
      <c r="E334" s="22">
        <f>IFERROR(INDEX(_datos!$D$2:$D$401,MATCH(ROW()-13,_datos!$K$2:$K$401,0)),"")</f>
      </c>
      <c r="F334" s="21">
        <f>IFERROR(INDEX(_datos!$E$2:$E$401,MATCH(ROW()-13,_datos!$K$2:$K$401,0)),"")</f>
      </c>
      <c r="G334" s="23">
        <f>IFERROR(INDEX(_datos!$F$2:$F$401,MATCH(ROW()-13,_datos!$K$2:$K$401,0)),"")</f>
      </c>
      <c r="H334" s="21">
        <f>IFERROR(INDEX(_datos!$G$2:$G$401,MATCH(ROW()-13,_datos!$K$2:$K$401,0)),"")</f>
      </c>
      <c r="I334" s="24">
        <f>IFERROR(INDEX(_datos!$H$2:$H$401,MATCH(ROW()-13,_datos!$K$2:$K$401,0)),"")</f>
      </c>
      <c r="J334" s="22">
        <f>IFERROR(INDEX(_datos!$I$2:$I$401,MATCH(ROW()-13,_datos!$K$2:$K$401,0)),"")</f>
      </c>
      <c r="K334" s="44">
        <f>IFERROR(HYPERLINK(INDEX(_datos!$J$2:$J$401,MATCH(ROW()-13,_datos!$K$2:$K$401,0)),"abrir mapa"),"")</f>
      </c>
    </row>
    <row r="335" ht="18.75" customHeight="1" spans="2:11" x14ac:dyDescent="0.25">
      <c r="B335" s="20">
        <f>IFERROR(INDEX(_datos!$A$2:$A$401,MATCH(ROW()-13,_datos!$K$2:$K$401,0)),"")</f>
      </c>
      <c r="C335" s="22">
        <f>IFERROR(INDEX(_datos!$B$2:$B$401,MATCH(ROW()-13,_datos!$K$2:$K$401,0)),"")</f>
      </c>
      <c r="D335" s="43">
        <f>IFERROR(INDEX(_datos!$C$2:$C$401,MATCH(ROW()-13,_datos!$K$2:$K$401,0)),"")</f>
      </c>
      <c r="E335" s="22">
        <f>IFERROR(INDEX(_datos!$D$2:$D$401,MATCH(ROW()-13,_datos!$K$2:$K$401,0)),"")</f>
      </c>
      <c r="F335" s="21">
        <f>IFERROR(INDEX(_datos!$E$2:$E$401,MATCH(ROW()-13,_datos!$K$2:$K$401,0)),"")</f>
      </c>
      <c r="G335" s="23">
        <f>IFERROR(INDEX(_datos!$F$2:$F$401,MATCH(ROW()-13,_datos!$K$2:$K$401,0)),"")</f>
      </c>
      <c r="H335" s="21">
        <f>IFERROR(INDEX(_datos!$G$2:$G$401,MATCH(ROW()-13,_datos!$K$2:$K$401,0)),"")</f>
      </c>
      <c r="I335" s="24">
        <f>IFERROR(INDEX(_datos!$H$2:$H$401,MATCH(ROW()-13,_datos!$K$2:$K$401,0)),"")</f>
      </c>
      <c r="J335" s="22">
        <f>IFERROR(INDEX(_datos!$I$2:$I$401,MATCH(ROW()-13,_datos!$K$2:$K$401,0)),"")</f>
      </c>
      <c r="K335" s="44">
        <f>IFERROR(HYPERLINK(INDEX(_datos!$J$2:$J$401,MATCH(ROW()-13,_datos!$K$2:$K$401,0)),"abrir mapa"),"")</f>
      </c>
    </row>
    <row r="336" ht="18.75" customHeight="1" spans="2:11" x14ac:dyDescent="0.25">
      <c r="B336" s="20">
        <f>IFERROR(INDEX(_datos!$A$2:$A$401,MATCH(ROW()-13,_datos!$K$2:$K$401,0)),"")</f>
      </c>
      <c r="C336" s="22">
        <f>IFERROR(INDEX(_datos!$B$2:$B$401,MATCH(ROW()-13,_datos!$K$2:$K$401,0)),"")</f>
      </c>
      <c r="D336" s="43">
        <f>IFERROR(INDEX(_datos!$C$2:$C$401,MATCH(ROW()-13,_datos!$K$2:$K$401,0)),"")</f>
      </c>
      <c r="E336" s="22">
        <f>IFERROR(INDEX(_datos!$D$2:$D$401,MATCH(ROW()-13,_datos!$K$2:$K$401,0)),"")</f>
      </c>
      <c r="F336" s="21">
        <f>IFERROR(INDEX(_datos!$E$2:$E$401,MATCH(ROW()-13,_datos!$K$2:$K$401,0)),"")</f>
      </c>
      <c r="G336" s="23">
        <f>IFERROR(INDEX(_datos!$F$2:$F$401,MATCH(ROW()-13,_datos!$K$2:$K$401,0)),"")</f>
      </c>
      <c r="H336" s="21">
        <f>IFERROR(INDEX(_datos!$G$2:$G$401,MATCH(ROW()-13,_datos!$K$2:$K$401,0)),"")</f>
      </c>
      <c r="I336" s="24">
        <f>IFERROR(INDEX(_datos!$H$2:$H$401,MATCH(ROW()-13,_datos!$K$2:$K$401,0)),"")</f>
      </c>
      <c r="J336" s="22">
        <f>IFERROR(INDEX(_datos!$I$2:$I$401,MATCH(ROW()-13,_datos!$K$2:$K$401,0)),"")</f>
      </c>
      <c r="K336" s="44">
        <f>IFERROR(HYPERLINK(INDEX(_datos!$J$2:$J$401,MATCH(ROW()-13,_datos!$K$2:$K$401,0)),"abrir mapa"),"")</f>
      </c>
    </row>
    <row r="337" ht="18.75" customHeight="1" spans="2:11" x14ac:dyDescent="0.25">
      <c r="B337" s="20">
        <f>IFERROR(INDEX(_datos!$A$2:$A$401,MATCH(ROW()-13,_datos!$K$2:$K$401,0)),"")</f>
      </c>
      <c r="C337" s="22">
        <f>IFERROR(INDEX(_datos!$B$2:$B$401,MATCH(ROW()-13,_datos!$K$2:$K$401,0)),"")</f>
      </c>
      <c r="D337" s="43">
        <f>IFERROR(INDEX(_datos!$C$2:$C$401,MATCH(ROW()-13,_datos!$K$2:$K$401,0)),"")</f>
      </c>
      <c r="E337" s="22">
        <f>IFERROR(INDEX(_datos!$D$2:$D$401,MATCH(ROW()-13,_datos!$K$2:$K$401,0)),"")</f>
      </c>
      <c r="F337" s="21">
        <f>IFERROR(INDEX(_datos!$E$2:$E$401,MATCH(ROW()-13,_datos!$K$2:$K$401,0)),"")</f>
      </c>
      <c r="G337" s="23">
        <f>IFERROR(INDEX(_datos!$F$2:$F$401,MATCH(ROW()-13,_datos!$K$2:$K$401,0)),"")</f>
      </c>
      <c r="H337" s="21">
        <f>IFERROR(INDEX(_datos!$G$2:$G$401,MATCH(ROW()-13,_datos!$K$2:$K$401,0)),"")</f>
      </c>
      <c r="I337" s="24">
        <f>IFERROR(INDEX(_datos!$H$2:$H$401,MATCH(ROW()-13,_datos!$K$2:$K$401,0)),"")</f>
      </c>
      <c r="J337" s="22">
        <f>IFERROR(INDEX(_datos!$I$2:$I$401,MATCH(ROW()-13,_datos!$K$2:$K$401,0)),"")</f>
      </c>
      <c r="K337" s="44">
        <f>IFERROR(HYPERLINK(INDEX(_datos!$J$2:$J$401,MATCH(ROW()-13,_datos!$K$2:$K$401,0)),"abrir mapa"),"")</f>
      </c>
    </row>
    <row r="338" ht="18.75" customHeight="1" spans="2:11" x14ac:dyDescent="0.25">
      <c r="B338" s="20">
        <f>IFERROR(INDEX(_datos!$A$2:$A$401,MATCH(ROW()-13,_datos!$K$2:$K$401,0)),"")</f>
      </c>
      <c r="C338" s="22">
        <f>IFERROR(INDEX(_datos!$B$2:$B$401,MATCH(ROW()-13,_datos!$K$2:$K$401,0)),"")</f>
      </c>
      <c r="D338" s="43">
        <f>IFERROR(INDEX(_datos!$C$2:$C$401,MATCH(ROW()-13,_datos!$K$2:$K$401,0)),"")</f>
      </c>
      <c r="E338" s="22">
        <f>IFERROR(INDEX(_datos!$D$2:$D$401,MATCH(ROW()-13,_datos!$K$2:$K$401,0)),"")</f>
      </c>
      <c r="F338" s="21">
        <f>IFERROR(INDEX(_datos!$E$2:$E$401,MATCH(ROW()-13,_datos!$K$2:$K$401,0)),"")</f>
      </c>
      <c r="G338" s="23">
        <f>IFERROR(INDEX(_datos!$F$2:$F$401,MATCH(ROW()-13,_datos!$K$2:$K$401,0)),"")</f>
      </c>
      <c r="H338" s="21">
        <f>IFERROR(INDEX(_datos!$G$2:$G$401,MATCH(ROW()-13,_datos!$K$2:$K$401,0)),"")</f>
      </c>
      <c r="I338" s="24">
        <f>IFERROR(INDEX(_datos!$H$2:$H$401,MATCH(ROW()-13,_datos!$K$2:$K$401,0)),"")</f>
      </c>
      <c r="J338" s="22">
        <f>IFERROR(INDEX(_datos!$I$2:$I$401,MATCH(ROW()-13,_datos!$K$2:$K$401,0)),"")</f>
      </c>
      <c r="K338" s="44">
        <f>IFERROR(HYPERLINK(INDEX(_datos!$J$2:$J$401,MATCH(ROW()-13,_datos!$K$2:$K$401,0)),"abrir mapa"),"")</f>
      </c>
    </row>
    <row r="339" ht="18.75" customHeight="1" spans="2:11" x14ac:dyDescent="0.25">
      <c r="B339" s="20">
        <f>IFERROR(INDEX(_datos!$A$2:$A$401,MATCH(ROW()-13,_datos!$K$2:$K$401,0)),"")</f>
      </c>
      <c r="C339" s="22">
        <f>IFERROR(INDEX(_datos!$B$2:$B$401,MATCH(ROW()-13,_datos!$K$2:$K$401,0)),"")</f>
      </c>
      <c r="D339" s="43">
        <f>IFERROR(INDEX(_datos!$C$2:$C$401,MATCH(ROW()-13,_datos!$K$2:$K$401,0)),"")</f>
      </c>
      <c r="E339" s="22">
        <f>IFERROR(INDEX(_datos!$D$2:$D$401,MATCH(ROW()-13,_datos!$K$2:$K$401,0)),"")</f>
      </c>
      <c r="F339" s="21">
        <f>IFERROR(INDEX(_datos!$E$2:$E$401,MATCH(ROW()-13,_datos!$K$2:$K$401,0)),"")</f>
      </c>
      <c r="G339" s="23">
        <f>IFERROR(INDEX(_datos!$F$2:$F$401,MATCH(ROW()-13,_datos!$K$2:$K$401,0)),"")</f>
      </c>
      <c r="H339" s="21">
        <f>IFERROR(INDEX(_datos!$G$2:$G$401,MATCH(ROW()-13,_datos!$K$2:$K$401,0)),"")</f>
      </c>
      <c r="I339" s="24">
        <f>IFERROR(INDEX(_datos!$H$2:$H$401,MATCH(ROW()-13,_datos!$K$2:$K$401,0)),"")</f>
      </c>
      <c r="J339" s="22">
        <f>IFERROR(INDEX(_datos!$I$2:$I$401,MATCH(ROW()-13,_datos!$K$2:$K$401,0)),"")</f>
      </c>
      <c r="K339" s="44">
        <f>IFERROR(HYPERLINK(INDEX(_datos!$J$2:$J$401,MATCH(ROW()-13,_datos!$K$2:$K$401,0)),"abrir mapa"),"")</f>
      </c>
    </row>
    <row r="340" ht="18.75" customHeight="1" spans="2:11" x14ac:dyDescent="0.25">
      <c r="B340" s="20">
        <f>IFERROR(INDEX(_datos!$A$2:$A$401,MATCH(ROW()-13,_datos!$K$2:$K$401,0)),"")</f>
      </c>
      <c r="C340" s="22">
        <f>IFERROR(INDEX(_datos!$B$2:$B$401,MATCH(ROW()-13,_datos!$K$2:$K$401,0)),"")</f>
      </c>
      <c r="D340" s="43">
        <f>IFERROR(INDEX(_datos!$C$2:$C$401,MATCH(ROW()-13,_datos!$K$2:$K$401,0)),"")</f>
      </c>
      <c r="E340" s="22">
        <f>IFERROR(INDEX(_datos!$D$2:$D$401,MATCH(ROW()-13,_datos!$K$2:$K$401,0)),"")</f>
      </c>
      <c r="F340" s="21">
        <f>IFERROR(INDEX(_datos!$E$2:$E$401,MATCH(ROW()-13,_datos!$K$2:$K$401,0)),"")</f>
      </c>
      <c r="G340" s="23">
        <f>IFERROR(INDEX(_datos!$F$2:$F$401,MATCH(ROW()-13,_datos!$K$2:$K$401,0)),"")</f>
      </c>
      <c r="H340" s="21">
        <f>IFERROR(INDEX(_datos!$G$2:$G$401,MATCH(ROW()-13,_datos!$K$2:$K$401,0)),"")</f>
      </c>
      <c r="I340" s="24">
        <f>IFERROR(INDEX(_datos!$H$2:$H$401,MATCH(ROW()-13,_datos!$K$2:$K$401,0)),"")</f>
      </c>
      <c r="J340" s="22">
        <f>IFERROR(INDEX(_datos!$I$2:$I$401,MATCH(ROW()-13,_datos!$K$2:$K$401,0)),"")</f>
      </c>
      <c r="K340" s="44">
        <f>IFERROR(HYPERLINK(INDEX(_datos!$J$2:$J$401,MATCH(ROW()-13,_datos!$K$2:$K$401,0)),"abrir mapa"),"")</f>
      </c>
    </row>
    <row r="341" ht="18.75" customHeight="1" spans="2:11" x14ac:dyDescent="0.25">
      <c r="B341" s="20">
        <f>IFERROR(INDEX(_datos!$A$2:$A$401,MATCH(ROW()-13,_datos!$K$2:$K$401,0)),"")</f>
      </c>
      <c r="C341" s="22">
        <f>IFERROR(INDEX(_datos!$B$2:$B$401,MATCH(ROW()-13,_datos!$K$2:$K$401,0)),"")</f>
      </c>
      <c r="D341" s="43">
        <f>IFERROR(INDEX(_datos!$C$2:$C$401,MATCH(ROW()-13,_datos!$K$2:$K$401,0)),"")</f>
      </c>
      <c r="E341" s="22">
        <f>IFERROR(INDEX(_datos!$D$2:$D$401,MATCH(ROW()-13,_datos!$K$2:$K$401,0)),"")</f>
      </c>
      <c r="F341" s="21">
        <f>IFERROR(INDEX(_datos!$E$2:$E$401,MATCH(ROW()-13,_datos!$K$2:$K$401,0)),"")</f>
      </c>
      <c r="G341" s="23">
        <f>IFERROR(INDEX(_datos!$F$2:$F$401,MATCH(ROW()-13,_datos!$K$2:$K$401,0)),"")</f>
      </c>
      <c r="H341" s="21">
        <f>IFERROR(INDEX(_datos!$G$2:$G$401,MATCH(ROW()-13,_datos!$K$2:$K$401,0)),"")</f>
      </c>
      <c r="I341" s="24">
        <f>IFERROR(INDEX(_datos!$H$2:$H$401,MATCH(ROW()-13,_datos!$K$2:$K$401,0)),"")</f>
      </c>
      <c r="J341" s="22">
        <f>IFERROR(INDEX(_datos!$I$2:$I$401,MATCH(ROW()-13,_datos!$K$2:$K$401,0)),"")</f>
      </c>
      <c r="K341" s="44">
        <f>IFERROR(HYPERLINK(INDEX(_datos!$J$2:$J$401,MATCH(ROW()-13,_datos!$K$2:$K$401,0)),"abrir mapa"),"")</f>
      </c>
    </row>
    <row r="342" ht="18.75" customHeight="1" spans="2:11" x14ac:dyDescent="0.25">
      <c r="B342" s="20">
        <f>IFERROR(INDEX(_datos!$A$2:$A$401,MATCH(ROW()-13,_datos!$K$2:$K$401,0)),"")</f>
      </c>
      <c r="C342" s="22">
        <f>IFERROR(INDEX(_datos!$B$2:$B$401,MATCH(ROW()-13,_datos!$K$2:$K$401,0)),"")</f>
      </c>
      <c r="D342" s="43">
        <f>IFERROR(INDEX(_datos!$C$2:$C$401,MATCH(ROW()-13,_datos!$K$2:$K$401,0)),"")</f>
      </c>
      <c r="E342" s="22">
        <f>IFERROR(INDEX(_datos!$D$2:$D$401,MATCH(ROW()-13,_datos!$K$2:$K$401,0)),"")</f>
      </c>
      <c r="F342" s="21">
        <f>IFERROR(INDEX(_datos!$E$2:$E$401,MATCH(ROW()-13,_datos!$K$2:$K$401,0)),"")</f>
      </c>
      <c r="G342" s="23">
        <f>IFERROR(INDEX(_datos!$F$2:$F$401,MATCH(ROW()-13,_datos!$K$2:$K$401,0)),"")</f>
      </c>
      <c r="H342" s="21">
        <f>IFERROR(INDEX(_datos!$G$2:$G$401,MATCH(ROW()-13,_datos!$K$2:$K$401,0)),"")</f>
      </c>
      <c r="I342" s="24">
        <f>IFERROR(INDEX(_datos!$H$2:$H$401,MATCH(ROW()-13,_datos!$K$2:$K$401,0)),"")</f>
      </c>
      <c r="J342" s="22">
        <f>IFERROR(INDEX(_datos!$I$2:$I$401,MATCH(ROW()-13,_datos!$K$2:$K$401,0)),"")</f>
      </c>
      <c r="K342" s="44">
        <f>IFERROR(HYPERLINK(INDEX(_datos!$J$2:$J$401,MATCH(ROW()-13,_datos!$K$2:$K$401,0)),"abrir mapa"),"")</f>
      </c>
    </row>
    <row r="343" ht="18.75" customHeight="1" spans="2:11" x14ac:dyDescent="0.25">
      <c r="B343" s="20">
        <f>IFERROR(INDEX(_datos!$A$2:$A$401,MATCH(ROW()-13,_datos!$K$2:$K$401,0)),"")</f>
      </c>
      <c r="C343" s="22">
        <f>IFERROR(INDEX(_datos!$B$2:$B$401,MATCH(ROW()-13,_datos!$K$2:$K$401,0)),"")</f>
      </c>
      <c r="D343" s="43">
        <f>IFERROR(INDEX(_datos!$C$2:$C$401,MATCH(ROW()-13,_datos!$K$2:$K$401,0)),"")</f>
      </c>
      <c r="E343" s="22">
        <f>IFERROR(INDEX(_datos!$D$2:$D$401,MATCH(ROW()-13,_datos!$K$2:$K$401,0)),"")</f>
      </c>
      <c r="F343" s="21">
        <f>IFERROR(INDEX(_datos!$E$2:$E$401,MATCH(ROW()-13,_datos!$K$2:$K$401,0)),"")</f>
      </c>
      <c r="G343" s="23">
        <f>IFERROR(INDEX(_datos!$F$2:$F$401,MATCH(ROW()-13,_datos!$K$2:$K$401,0)),"")</f>
      </c>
      <c r="H343" s="21">
        <f>IFERROR(INDEX(_datos!$G$2:$G$401,MATCH(ROW()-13,_datos!$K$2:$K$401,0)),"")</f>
      </c>
      <c r="I343" s="24">
        <f>IFERROR(INDEX(_datos!$H$2:$H$401,MATCH(ROW()-13,_datos!$K$2:$K$401,0)),"")</f>
      </c>
      <c r="J343" s="22">
        <f>IFERROR(INDEX(_datos!$I$2:$I$401,MATCH(ROW()-13,_datos!$K$2:$K$401,0)),"")</f>
      </c>
      <c r="K343" s="44">
        <f>IFERROR(HYPERLINK(INDEX(_datos!$J$2:$J$401,MATCH(ROW()-13,_datos!$K$2:$K$401,0)),"abrir mapa"),"")</f>
      </c>
    </row>
    <row r="344" ht="18.75" customHeight="1" spans="2:11" x14ac:dyDescent="0.25">
      <c r="B344" s="20">
        <f>IFERROR(INDEX(_datos!$A$2:$A$401,MATCH(ROW()-13,_datos!$K$2:$K$401,0)),"")</f>
      </c>
      <c r="C344" s="22">
        <f>IFERROR(INDEX(_datos!$B$2:$B$401,MATCH(ROW()-13,_datos!$K$2:$K$401,0)),"")</f>
      </c>
      <c r="D344" s="43">
        <f>IFERROR(INDEX(_datos!$C$2:$C$401,MATCH(ROW()-13,_datos!$K$2:$K$401,0)),"")</f>
      </c>
      <c r="E344" s="22">
        <f>IFERROR(INDEX(_datos!$D$2:$D$401,MATCH(ROW()-13,_datos!$K$2:$K$401,0)),"")</f>
      </c>
      <c r="F344" s="21">
        <f>IFERROR(INDEX(_datos!$E$2:$E$401,MATCH(ROW()-13,_datos!$K$2:$K$401,0)),"")</f>
      </c>
      <c r="G344" s="23">
        <f>IFERROR(INDEX(_datos!$F$2:$F$401,MATCH(ROW()-13,_datos!$K$2:$K$401,0)),"")</f>
      </c>
      <c r="H344" s="21">
        <f>IFERROR(INDEX(_datos!$G$2:$G$401,MATCH(ROW()-13,_datos!$K$2:$K$401,0)),"")</f>
      </c>
      <c r="I344" s="24">
        <f>IFERROR(INDEX(_datos!$H$2:$H$401,MATCH(ROW()-13,_datos!$K$2:$K$401,0)),"")</f>
      </c>
      <c r="J344" s="22">
        <f>IFERROR(INDEX(_datos!$I$2:$I$401,MATCH(ROW()-13,_datos!$K$2:$K$401,0)),"")</f>
      </c>
      <c r="K344" s="44">
        <f>IFERROR(HYPERLINK(INDEX(_datos!$J$2:$J$401,MATCH(ROW()-13,_datos!$K$2:$K$401,0)),"abrir mapa"),"")</f>
      </c>
    </row>
    <row r="345" ht="18.75" customHeight="1" spans="2:11" x14ac:dyDescent="0.25">
      <c r="B345" s="20">
        <f>IFERROR(INDEX(_datos!$A$2:$A$401,MATCH(ROW()-13,_datos!$K$2:$K$401,0)),"")</f>
      </c>
      <c r="C345" s="22">
        <f>IFERROR(INDEX(_datos!$B$2:$B$401,MATCH(ROW()-13,_datos!$K$2:$K$401,0)),"")</f>
      </c>
      <c r="D345" s="43">
        <f>IFERROR(INDEX(_datos!$C$2:$C$401,MATCH(ROW()-13,_datos!$K$2:$K$401,0)),"")</f>
      </c>
      <c r="E345" s="22">
        <f>IFERROR(INDEX(_datos!$D$2:$D$401,MATCH(ROW()-13,_datos!$K$2:$K$401,0)),"")</f>
      </c>
      <c r="F345" s="21">
        <f>IFERROR(INDEX(_datos!$E$2:$E$401,MATCH(ROW()-13,_datos!$K$2:$K$401,0)),"")</f>
      </c>
      <c r="G345" s="23">
        <f>IFERROR(INDEX(_datos!$F$2:$F$401,MATCH(ROW()-13,_datos!$K$2:$K$401,0)),"")</f>
      </c>
      <c r="H345" s="21">
        <f>IFERROR(INDEX(_datos!$G$2:$G$401,MATCH(ROW()-13,_datos!$K$2:$K$401,0)),"")</f>
      </c>
      <c r="I345" s="24">
        <f>IFERROR(INDEX(_datos!$H$2:$H$401,MATCH(ROW()-13,_datos!$K$2:$K$401,0)),"")</f>
      </c>
      <c r="J345" s="22">
        <f>IFERROR(INDEX(_datos!$I$2:$I$401,MATCH(ROW()-13,_datos!$K$2:$K$401,0)),"")</f>
      </c>
      <c r="K345" s="44">
        <f>IFERROR(HYPERLINK(INDEX(_datos!$J$2:$J$401,MATCH(ROW()-13,_datos!$K$2:$K$401,0)),"abrir mapa"),"")</f>
      </c>
    </row>
    <row r="346" ht="18.75" customHeight="1" spans="2:11" x14ac:dyDescent="0.25">
      <c r="B346" s="20">
        <f>IFERROR(INDEX(_datos!$A$2:$A$401,MATCH(ROW()-13,_datos!$K$2:$K$401,0)),"")</f>
      </c>
      <c r="C346" s="22">
        <f>IFERROR(INDEX(_datos!$B$2:$B$401,MATCH(ROW()-13,_datos!$K$2:$K$401,0)),"")</f>
      </c>
      <c r="D346" s="43">
        <f>IFERROR(INDEX(_datos!$C$2:$C$401,MATCH(ROW()-13,_datos!$K$2:$K$401,0)),"")</f>
      </c>
      <c r="E346" s="22">
        <f>IFERROR(INDEX(_datos!$D$2:$D$401,MATCH(ROW()-13,_datos!$K$2:$K$401,0)),"")</f>
      </c>
      <c r="F346" s="21">
        <f>IFERROR(INDEX(_datos!$E$2:$E$401,MATCH(ROW()-13,_datos!$K$2:$K$401,0)),"")</f>
      </c>
      <c r="G346" s="23">
        <f>IFERROR(INDEX(_datos!$F$2:$F$401,MATCH(ROW()-13,_datos!$K$2:$K$401,0)),"")</f>
      </c>
      <c r="H346" s="21">
        <f>IFERROR(INDEX(_datos!$G$2:$G$401,MATCH(ROW()-13,_datos!$K$2:$K$401,0)),"")</f>
      </c>
      <c r="I346" s="24">
        <f>IFERROR(INDEX(_datos!$H$2:$H$401,MATCH(ROW()-13,_datos!$K$2:$K$401,0)),"")</f>
      </c>
      <c r="J346" s="22">
        <f>IFERROR(INDEX(_datos!$I$2:$I$401,MATCH(ROW()-13,_datos!$K$2:$K$401,0)),"")</f>
      </c>
      <c r="K346" s="44">
        <f>IFERROR(HYPERLINK(INDEX(_datos!$J$2:$J$401,MATCH(ROW()-13,_datos!$K$2:$K$401,0)),"abrir mapa"),"")</f>
      </c>
    </row>
    <row r="347" ht="18.75" customHeight="1" spans="2:11" x14ac:dyDescent="0.25">
      <c r="B347" s="20">
        <f>IFERROR(INDEX(_datos!$A$2:$A$401,MATCH(ROW()-13,_datos!$K$2:$K$401,0)),"")</f>
      </c>
      <c r="C347" s="22">
        <f>IFERROR(INDEX(_datos!$B$2:$B$401,MATCH(ROW()-13,_datos!$K$2:$K$401,0)),"")</f>
      </c>
      <c r="D347" s="43">
        <f>IFERROR(INDEX(_datos!$C$2:$C$401,MATCH(ROW()-13,_datos!$K$2:$K$401,0)),"")</f>
      </c>
      <c r="E347" s="22">
        <f>IFERROR(INDEX(_datos!$D$2:$D$401,MATCH(ROW()-13,_datos!$K$2:$K$401,0)),"")</f>
      </c>
      <c r="F347" s="21">
        <f>IFERROR(INDEX(_datos!$E$2:$E$401,MATCH(ROW()-13,_datos!$K$2:$K$401,0)),"")</f>
      </c>
      <c r="G347" s="23">
        <f>IFERROR(INDEX(_datos!$F$2:$F$401,MATCH(ROW()-13,_datos!$K$2:$K$401,0)),"")</f>
      </c>
      <c r="H347" s="21">
        <f>IFERROR(INDEX(_datos!$G$2:$G$401,MATCH(ROW()-13,_datos!$K$2:$K$401,0)),"")</f>
      </c>
      <c r="I347" s="24">
        <f>IFERROR(INDEX(_datos!$H$2:$H$401,MATCH(ROW()-13,_datos!$K$2:$K$401,0)),"")</f>
      </c>
      <c r="J347" s="22">
        <f>IFERROR(INDEX(_datos!$I$2:$I$401,MATCH(ROW()-13,_datos!$K$2:$K$401,0)),"")</f>
      </c>
      <c r="K347" s="44">
        <f>IFERROR(HYPERLINK(INDEX(_datos!$J$2:$J$401,MATCH(ROW()-13,_datos!$K$2:$K$401,0)),"abrir mapa"),"")</f>
      </c>
    </row>
    <row r="348" ht="18.75" customHeight="1" spans="2:11" x14ac:dyDescent="0.25">
      <c r="B348" s="20">
        <f>IFERROR(INDEX(_datos!$A$2:$A$401,MATCH(ROW()-13,_datos!$K$2:$K$401,0)),"")</f>
      </c>
      <c r="C348" s="22">
        <f>IFERROR(INDEX(_datos!$B$2:$B$401,MATCH(ROW()-13,_datos!$K$2:$K$401,0)),"")</f>
      </c>
      <c r="D348" s="43">
        <f>IFERROR(INDEX(_datos!$C$2:$C$401,MATCH(ROW()-13,_datos!$K$2:$K$401,0)),"")</f>
      </c>
      <c r="E348" s="22">
        <f>IFERROR(INDEX(_datos!$D$2:$D$401,MATCH(ROW()-13,_datos!$K$2:$K$401,0)),"")</f>
      </c>
      <c r="F348" s="21">
        <f>IFERROR(INDEX(_datos!$E$2:$E$401,MATCH(ROW()-13,_datos!$K$2:$K$401,0)),"")</f>
      </c>
      <c r="G348" s="23">
        <f>IFERROR(INDEX(_datos!$F$2:$F$401,MATCH(ROW()-13,_datos!$K$2:$K$401,0)),"")</f>
      </c>
      <c r="H348" s="21">
        <f>IFERROR(INDEX(_datos!$G$2:$G$401,MATCH(ROW()-13,_datos!$K$2:$K$401,0)),"")</f>
      </c>
      <c r="I348" s="24">
        <f>IFERROR(INDEX(_datos!$H$2:$H$401,MATCH(ROW()-13,_datos!$K$2:$K$401,0)),"")</f>
      </c>
      <c r="J348" s="22">
        <f>IFERROR(INDEX(_datos!$I$2:$I$401,MATCH(ROW()-13,_datos!$K$2:$K$401,0)),"")</f>
      </c>
      <c r="K348" s="44">
        <f>IFERROR(HYPERLINK(INDEX(_datos!$J$2:$J$401,MATCH(ROW()-13,_datos!$K$2:$K$401,0)),"abrir mapa"),"")</f>
      </c>
    </row>
    <row r="349" ht="18.75" customHeight="1" spans="2:11" x14ac:dyDescent="0.25">
      <c r="B349" s="20">
        <f>IFERROR(INDEX(_datos!$A$2:$A$401,MATCH(ROW()-13,_datos!$K$2:$K$401,0)),"")</f>
      </c>
      <c r="C349" s="22">
        <f>IFERROR(INDEX(_datos!$B$2:$B$401,MATCH(ROW()-13,_datos!$K$2:$K$401,0)),"")</f>
      </c>
      <c r="D349" s="43">
        <f>IFERROR(INDEX(_datos!$C$2:$C$401,MATCH(ROW()-13,_datos!$K$2:$K$401,0)),"")</f>
      </c>
      <c r="E349" s="22">
        <f>IFERROR(INDEX(_datos!$D$2:$D$401,MATCH(ROW()-13,_datos!$K$2:$K$401,0)),"")</f>
      </c>
      <c r="F349" s="21">
        <f>IFERROR(INDEX(_datos!$E$2:$E$401,MATCH(ROW()-13,_datos!$K$2:$K$401,0)),"")</f>
      </c>
      <c r="G349" s="23">
        <f>IFERROR(INDEX(_datos!$F$2:$F$401,MATCH(ROW()-13,_datos!$K$2:$K$401,0)),"")</f>
      </c>
      <c r="H349" s="21">
        <f>IFERROR(INDEX(_datos!$G$2:$G$401,MATCH(ROW()-13,_datos!$K$2:$K$401,0)),"")</f>
      </c>
      <c r="I349" s="24">
        <f>IFERROR(INDEX(_datos!$H$2:$H$401,MATCH(ROW()-13,_datos!$K$2:$K$401,0)),"")</f>
      </c>
      <c r="J349" s="22">
        <f>IFERROR(INDEX(_datos!$I$2:$I$401,MATCH(ROW()-13,_datos!$K$2:$K$401,0)),"")</f>
      </c>
      <c r="K349" s="44">
        <f>IFERROR(HYPERLINK(INDEX(_datos!$J$2:$J$401,MATCH(ROW()-13,_datos!$K$2:$K$401,0)),"abrir mapa"),"")</f>
      </c>
    </row>
    <row r="350" ht="18.75" customHeight="1" spans="2:11" x14ac:dyDescent="0.25">
      <c r="B350" s="20">
        <f>IFERROR(INDEX(_datos!$A$2:$A$401,MATCH(ROW()-13,_datos!$K$2:$K$401,0)),"")</f>
      </c>
      <c r="C350" s="22">
        <f>IFERROR(INDEX(_datos!$B$2:$B$401,MATCH(ROW()-13,_datos!$K$2:$K$401,0)),"")</f>
      </c>
      <c r="D350" s="43">
        <f>IFERROR(INDEX(_datos!$C$2:$C$401,MATCH(ROW()-13,_datos!$K$2:$K$401,0)),"")</f>
      </c>
      <c r="E350" s="22">
        <f>IFERROR(INDEX(_datos!$D$2:$D$401,MATCH(ROW()-13,_datos!$K$2:$K$401,0)),"")</f>
      </c>
      <c r="F350" s="21">
        <f>IFERROR(INDEX(_datos!$E$2:$E$401,MATCH(ROW()-13,_datos!$K$2:$K$401,0)),"")</f>
      </c>
      <c r="G350" s="23">
        <f>IFERROR(INDEX(_datos!$F$2:$F$401,MATCH(ROW()-13,_datos!$K$2:$K$401,0)),"")</f>
      </c>
      <c r="H350" s="21">
        <f>IFERROR(INDEX(_datos!$G$2:$G$401,MATCH(ROW()-13,_datos!$K$2:$K$401,0)),"")</f>
      </c>
      <c r="I350" s="24">
        <f>IFERROR(INDEX(_datos!$H$2:$H$401,MATCH(ROW()-13,_datos!$K$2:$K$401,0)),"")</f>
      </c>
      <c r="J350" s="22">
        <f>IFERROR(INDEX(_datos!$I$2:$I$401,MATCH(ROW()-13,_datos!$K$2:$K$401,0)),"")</f>
      </c>
      <c r="K350" s="44">
        <f>IFERROR(HYPERLINK(INDEX(_datos!$J$2:$J$401,MATCH(ROW()-13,_datos!$K$2:$K$401,0)),"abrir mapa"),"")</f>
      </c>
    </row>
    <row r="351" ht="18.75" customHeight="1" spans="2:11" x14ac:dyDescent="0.25">
      <c r="B351" s="20">
        <f>IFERROR(INDEX(_datos!$A$2:$A$401,MATCH(ROW()-13,_datos!$K$2:$K$401,0)),"")</f>
      </c>
      <c r="C351" s="22">
        <f>IFERROR(INDEX(_datos!$B$2:$B$401,MATCH(ROW()-13,_datos!$K$2:$K$401,0)),"")</f>
      </c>
      <c r="D351" s="43">
        <f>IFERROR(INDEX(_datos!$C$2:$C$401,MATCH(ROW()-13,_datos!$K$2:$K$401,0)),"")</f>
      </c>
      <c r="E351" s="22">
        <f>IFERROR(INDEX(_datos!$D$2:$D$401,MATCH(ROW()-13,_datos!$K$2:$K$401,0)),"")</f>
      </c>
      <c r="F351" s="21">
        <f>IFERROR(INDEX(_datos!$E$2:$E$401,MATCH(ROW()-13,_datos!$K$2:$K$401,0)),"")</f>
      </c>
      <c r="G351" s="23">
        <f>IFERROR(INDEX(_datos!$F$2:$F$401,MATCH(ROW()-13,_datos!$K$2:$K$401,0)),"")</f>
      </c>
      <c r="H351" s="21">
        <f>IFERROR(INDEX(_datos!$G$2:$G$401,MATCH(ROW()-13,_datos!$K$2:$K$401,0)),"")</f>
      </c>
      <c r="I351" s="24">
        <f>IFERROR(INDEX(_datos!$H$2:$H$401,MATCH(ROW()-13,_datos!$K$2:$K$401,0)),"")</f>
      </c>
      <c r="J351" s="22">
        <f>IFERROR(INDEX(_datos!$I$2:$I$401,MATCH(ROW()-13,_datos!$K$2:$K$401,0)),"")</f>
      </c>
      <c r="K351" s="44">
        <f>IFERROR(HYPERLINK(INDEX(_datos!$J$2:$J$401,MATCH(ROW()-13,_datos!$K$2:$K$401,0)),"abrir mapa"),"")</f>
      </c>
    </row>
    <row r="352" ht="18.75" customHeight="1" spans="2:11" x14ac:dyDescent="0.25">
      <c r="B352" s="20">
        <f>IFERROR(INDEX(_datos!$A$2:$A$401,MATCH(ROW()-13,_datos!$K$2:$K$401,0)),"")</f>
      </c>
      <c r="C352" s="22">
        <f>IFERROR(INDEX(_datos!$B$2:$B$401,MATCH(ROW()-13,_datos!$K$2:$K$401,0)),"")</f>
      </c>
      <c r="D352" s="43">
        <f>IFERROR(INDEX(_datos!$C$2:$C$401,MATCH(ROW()-13,_datos!$K$2:$K$401,0)),"")</f>
      </c>
      <c r="E352" s="22">
        <f>IFERROR(INDEX(_datos!$D$2:$D$401,MATCH(ROW()-13,_datos!$K$2:$K$401,0)),"")</f>
      </c>
      <c r="F352" s="21">
        <f>IFERROR(INDEX(_datos!$E$2:$E$401,MATCH(ROW()-13,_datos!$K$2:$K$401,0)),"")</f>
      </c>
      <c r="G352" s="23">
        <f>IFERROR(INDEX(_datos!$F$2:$F$401,MATCH(ROW()-13,_datos!$K$2:$K$401,0)),"")</f>
      </c>
      <c r="H352" s="21">
        <f>IFERROR(INDEX(_datos!$G$2:$G$401,MATCH(ROW()-13,_datos!$K$2:$K$401,0)),"")</f>
      </c>
      <c r="I352" s="24">
        <f>IFERROR(INDEX(_datos!$H$2:$H$401,MATCH(ROW()-13,_datos!$K$2:$K$401,0)),"")</f>
      </c>
      <c r="J352" s="22">
        <f>IFERROR(INDEX(_datos!$I$2:$I$401,MATCH(ROW()-13,_datos!$K$2:$K$401,0)),"")</f>
      </c>
      <c r="K352" s="44">
        <f>IFERROR(HYPERLINK(INDEX(_datos!$J$2:$J$401,MATCH(ROW()-13,_datos!$K$2:$K$401,0)),"abrir mapa"),"")</f>
      </c>
    </row>
    <row r="353" ht="18.75" customHeight="1" spans="2:11" x14ac:dyDescent="0.25">
      <c r="B353" s="20">
        <f>IFERROR(INDEX(_datos!$A$2:$A$401,MATCH(ROW()-13,_datos!$K$2:$K$401,0)),"")</f>
      </c>
      <c r="C353" s="22">
        <f>IFERROR(INDEX(_datos!$B$2:$B$401,MATCH(ROW()-13,_datos!$K$2:$K$401,0)),"")</f>
      </c>
      <c r="D353" s="43">
        <f>IFERROR(INDEX(_datos!$C$2:$C$401,MATCH(ROW()-13,_datos!$K$2:$K$401,0)),"")</f>
      </c>
      <c r="E353" s="22">
        <f>IFERROR(INDEX(_datos!$D$2:$D$401,MATCH(ROW()-13,_datos!$K$2:$K$401,0)),"")</f>
      </c>
      <c r="F353" s="21">
        <f>IFERROR(INDEX(_datos!$E$2:$E$401,MATCH(ROW()-13,_datos!$K$2:$K$401,0)),"")</f>
      </c>
      <c r="G353" s="23">
        <f>IFERROR(INDEX(_datos!$F$2:$F$401,MATCH(ROW()-13,_datos!$K$2:$K$401,0)),"")</f>
      </c>
      <c r="H353" s="21">
        <f>IFERROR(INDEX(_datos!$G$2:$G$401,MATCH(ROW()-13,_datos!$K$2:$K$401,0)),"")</f>
      </c>
      <c r="I353" s="24">
        <f>IFERROR(INDEX(_datos!$H$2:$H$401,MATCH(ROW()-13,_datos!$K$2:$K$401,0)),"")</f>
      </c>
      <c r="J353" s="22">
        <f>IFERROR(INDEX(_datos!$I$2:$I$401,MATCH(ROW()-13,_datos!$K$2:$K$401,0)),"")</f>
      </c>
      <c r="K353" s="44">
        <f>IFERROR(HYPERLINK(INDEX(_datos!$J$2:$J$401,MATCH(ROW()-13,_datos!$K$2:$K$401,0)),"abrir mapa"),"")</f>
      </c>
    </row>
    <row r="354" ht="18.75" customHeight="1" spans="2:11" x14ac:dyDescent="0.25">
      <c r="B354" s="20">
        <f>IFERROR(INDEX(_datos!$A$2:$A$401,MATCH(ROW()-13,_datos!$K$2:$K$401,0)),"")</f>
      </c>
      <c r="C354" s="22">
        <f>IFERROR(INDEX(_datos!$B$2:$B$401,MATCH(ROW()-13,_datos!$K$2:$K$401,0)),"")</f>
      </c>
      <c r="D354" s="43">
        <f>IFERROR(INDEX(_datos!$C$2:$C$401,MATCH(ROW()-13,_datos!$K$2:$K$401,0)),"")</f>
      </c>
      <c r="E354" s="22">
        <f>IFERROR(INDEX(_datos!$D$2:$D$401,MATCH(ROW()-13,_datos!$K$2:$K$401,0)),"")</f>
      </c>
      <c r="F354" s="21">
        <f>IFERROR(INDEX(_datos!$E$2:$E$401,MATCH(ROW()-13,_datos!$K$2:$K$401,0)),"")</f>
      </c>
      <c r="G354" s="23">
        <f>IFERROR(INDEX(_datos!$F$2:$F$401,MATCH(ROW()-13,_datos!$K$2:$K$401,0)),"")</f>
      </c>
      <c r="H354" s="21">
        <f>IFERROR(INDEX(_datos!$G$2:$G$401,MATCH(ROW()-13,_datos!$K$2:$K$401,0)),"")</f>
      </c>
      <c r="I354" s="24">
        <f>IFERROR(INDEX(_datos!$H$2:$H$401,MATCH(ROW()-13,_datos!$K$2:$K$401,0)),"")</f>
      </c>
      <c r="J354" s="22">
        <f>IFERROR(INDEX(_datos!$I$2:$I$401,MATCH(ROW()-13,_datos!$K$2:$K$401,0)),"")</f>
      </c>
      <c r="K354" s="44">
        <f>IFERROR(HYPERLINK(INDEX(_datos!$J$2:$J$401,MATCH(ROW()-13,_datos!$K$2:$K$401,0)),"abrir mapa"),"")</f>
      </c>
    </row>
    <row r="355" ht="18.75" customHeight="1" spans="2:11" x14ac:dyDescent="0.25">
      <c r="B355" s="20">
        <f>IFERROR(INDEX(_datos!$A$2:$A$401,MATCH(ROW()-13,_datos!$K$2:$K$401,0)),"")</f>
      </c>
      <c r="C355" s="22">
        <f>IFERROR(INDEX(_datos!$B$2:$B$401,MATCH(ROW()-13,_datos!$K$2:$K$401,0)),"")</f>
      </c>
      <c r="D355" s="43">
        <f>IFERROR(INDEX(_datos!$C$2:$C$401,MATCH(ROW()-13,_datos!$K$2:$K$401,0)),"")</f>
      </c>
      <c r="E355" s="22">
        <f>IFERROR(INDEX(_datos!$D$2:$D$401,MATCH(ROW()-13,_datos!$K$2:$K$401,0)),"")</f>
      </c>
      <c r="F355" s="21">
        <f>IFERROR(INDEX(_datos!$E$2:$E$401,MATCH(ROW()-13,_datos!$K$2:$K$401,0)),"")</f>
      </c>
      <c r="G355" s="23">
        <f>IFERROR(INDEX(_datos!$F$2:$F$401,MATCH(ROW()-13,_datos!$K$2:$K$401,0)),"")</f>
      </c>
      <c r="H355" s="21">
        <f>IFERROR(INDEX(_datos!$G$2:$G$401,MATCH(ROW()-13,_datos!$K$2:$K$401,0)),"")</f>
      </c>
      <c r="I355" s="24">
        <f>IFERROR(INDEX(_datos!$H$2:$H$401,MATCH(ROW()-13,_datos!$K$2:$K$401,0)),"")</f>
      </c>
      <c r="J355" s="22">
        <f>IFERROR(INDEX(_datos!$I$2:$I$401,MATCH(ROW()-13,_datos!$K$2:$K$401,0)),"")</f>
      </c>
      <c r="K355" s="44">
        <f>IFERROR(HYPERLINK(INDEX(_datos!$J$2:$J$401,MATCH(ROW()-13,_datos!$K$2:$K$401,0)),"abrir mapa"),"")</f>
      </c>
    </row>
    <row r="356" ht="18.75" customHeight="1" spans="2:11" x14ac:dyDescent="0.25">
      <c r="B356" s="20">
        <f>IFERROR(INDEX(_datos!$A$2:$A$401,MATCH(ROW()-13,_datos!$K$2:$K$401,0)),"")</f>
      </c>
      <c r="C356" s="22">
        <f>IFERROR(INDEX(_datos!$B$2:$B$401,MATCH(ROW()-13,_datos!$K$2:$K$401,0)),"")</f>
      </c>
      <c r="D356" s="43">
        <f>IFERROR(INDEX(_datos!$C$2:$C$401,MATCH(ROW()-13,_datos!$K$2:$K$401,0)),"")</f>
      </c>
      <c r="E356" s="22">
        <f>IFERROR(INDEX(_datos!$D$2:$D$401,MATCH(ROW()-13,_datos!$K$2:$K$401,0)),"")</f>
      </c>
      <c r="F356" s="21">
        <f>IFERROR(INDEX(_datos!$E$2:$E$401,MATCH(ROW()-13,_datos!$K$2:$K$401,0)),"")</f>
      </c>
      <c r="G356" s="23">
        <f>IFERROR(INDEX(_datos!$F$2:$F$401,MATCH(ROW()-13,_datos!$K$2:$K$401,0)),"")</f>
      </c>
      <c r="H356" s="21">
        <f>IFERROR(INDEX(_datos!$G$2:$G$401,MATCH(ROW()-13,_datos!$K$2:$K$401,0)),"")</f>
      </c>
      <c r="I356" s="24">
        <f>IFERROR(INDEX(_datos!$H$2:$H$401,MATCH(ROW()-13,_datos!$K$2:$K$401,0)),"")</f>
      </c>
      <c r="J356" s="22">
        <f>IFERROR(INDEX(_datos!$I$2:$I$401,MATCH(ROW()-13,_datos!$K$2:$K$401,0)),"")</f>
      </c>
      <c r="K356" s="44">
        <f>IFERROR(HYPERLINK(INDEX(_datos!$J$2:$J$401,MATCH(ROW()-13,_datos!$K$2:$K$401,0)),"abrir mapa"),"")</f>
      </c>
    </row>
    <row r="357" ht="18.75" customHeight="1" spans="2:11" x14ac:dyDescent="0.25">
      <c r="B357" s="20">
        <f>IFERROR(INDEX(_datos!$A$2:$A$401,MATCH(ROW()-13,_datos!$K$2:$K$401,0)),"")</f>
      </c>
      <c r="C357" s="22">
        <f>IFERROR(INDEX(_datos!$B$2:$B$401,MATCH(ROW()-13,_datos!$K$2:$K$401,0)),"")</f>
      </c>
      <c r="D357" s="43">
        <f>IFERROR(INDEX(_datos!$C$2:$C$401,MATCH(ROW()-13,_datos!$K$2:$K$401,0)),"")</f>
      </c>
      <c r="E357" s="22">
        <f>IFERROR(INDEX(_datos!$D$2:$D$401,MATCH(ROW()-13,_datos!$K$2:$K$401,0)),"")</f>
      </c>
      <c r="F357" s="21">
        <f>IFERROR(INDEX(_datos!$E$2:$E$401,MATCH(ROW()-13,_datos!$K$2:$K$401,0)),"")</f>
      </c>
      <c r="G357" s="23">
        <f>IFERROR(INDEX(_datos!$F$2:$F$401,MATCH(ROW()-13,_datos!$K$2:$K$401,0)),"")</f>
      </c>
      <c r="H357" s="21">
        <f>IFERROR(INDEX(_datos!$G$2:$G$401,MATCH(ROW()-13,_datos!$K$2:$K$401,0)),"")</f>
      </c>
      <c r="I357" s="24">
        <f>IFERROR(INDEX(_datos!$H$2:$H$401,MATCH(ROW()-13,_datos!$K$2:$K$401,0)),"")</f>
      </c>
      <c r="J357" s="22">
        <f>IFERROR(INDEX(_datos!$I$2:$I$401,MATCH(ROW()-13,_datos!$K$2:$K$401,0)),"")</f>
      </c>
      <c r="K357" s="44">
        <f>IFERROR(HYPERLINK(INDEX(_datos!$J$2:$J$401,MATCH(ROW()-13,_datos!$K$2:$K$401,0)),"abrir mapa"),"")</f>
      </c>
    </row>
    <row r="358" ht="18.75" customHeight="1" spans="2:11" x14ac:dyDescent="0.25">
      <c r="B358" s="20">
        <f>IFERROR(INDEX(_datos!$A$2:$A$401,MATCH(ROW()-13,_datos!$K$2:$K$401,0)),"")</f>
      </c>
      <c r="C358" s="22">
        <f>IFERROR(INDEX(_datos!$B$2:$B$401,MATCH(ROW()-13,_datos!$K$2:$K$401,0)),"")</f>
      </c>
      <c r="D358" s="43">
        <f>IFERROR(INDEX(_datos!$C$2:$C$401,MATCH(ROW()-13,_datos!$K$2:$K$401,0)),"")</f>
      </c>
      <c r="E358" s="22">
        <f>IFERROR(INDEX(_datos!$D$2:$D$401,MATCH(ROW()-13,_datos!$K$2:$K$401,0)),"")</f>
      </c>
      <c r="F358" s="21">
        <f>IFERROR(INDEX(_datos!$E$2:$E$401,MATCH(ROW()-13,_datos!$K$2:$K$401,0)),"")</f>
      </c>
      <c r="G358" s="23">
        <f>IFERROR(INDEX(_datos!$F$2:$F$401,MATCH(ROW()-13,_datos!$K$2:$K$401,0)),"")</f>
      </c>
      <c r="H358" s="21">
        <f>IFERROR(INDEX(_datos!$G$2:$G$401,MATCH(ROW()-13,_datos!$K$2:$K$401,0)),"")</f>
      </c>
      <c r="I358" s="24">
        <f>IFERROR(INDEX(_datos!$H$2:$H$401,MATCH(ROW()-13,_datos!$K$2:$K$401,0)),"")</f>
      </c>
      <c r="J358" s="22">
        <f>IFERROR(INDEX(_datos!$I$2:$I$401,MATCH(ROW()-13,_datos!$K$2:$K$401,0)),"")</f>
      </c>
      <c r="K358" s="44">
        <f>IFERROR(HYPERLINK(INDEX(_datos!$J$2:$J$401,MATCH(ROW()-13,_datos!$K$2:$K$401,0)),"abrir mapa"),"")</f>
      </c>
    </row>
    <row r="359" ht="18.75" customHeight="1" spans="2:11" x14ac:dyDescent="0.25">
      <c r="B359" s="20">
        <f>IFERROR(INDEX(_datos!$A$2:$A$401,MATCH(ROW()-13,_datos!$K$2:$K$401,0)),"")</f>
      </c>
      <c r="C359" s="22">
        <f>IFERROR(INDEX(_datos!$B$2:$B$401,MATCH(ROW()-13,_datos!$K$2:$K$401,0)),"")</f>
      </c>
      <c r="D359" s="43">
        <f>IFERROR(INDEX(_datos!$C$2:$C$401,MATCH(ROW()-13,_datos!$K$2:$K$401,0)),"")</f>
      </c>
      <c r="E359" s="22">
        <f>IFERROR(INDEX(_datos!$D$2:$D$401,MATCH(ROW()-13,_datos!$K$2:$K$401,0)),"")</f>
      </c>
      <c r="F359" s="21">
        <f>IFERROR(INDEX(_datos!$E$2:$E$401,MATCH(ROW()-13,_datos!$K$2:$K$401,0)),"")</f>
      </c>
      <c r="G359" s="23">
        <f>IFERROR(INDEX(_datos!$F$2:$F$401,MATCH(ROW()-13,_datos!$K$2:$K$401,0)),"")</f>
      </c>
      <c r="H359" s="21">
        <f>IFERROR(INDEX(_datos!$G$2:$G$401,MATCH(ROW()-13,_datos!$K$2:$K$401,0)),"")</f>
      </c>
      <c r="I359" s="24">
        <f>IFERROR(INDEX(_datos!$H$2:$H$401,MATCH(ROW()-13,_datos!$K$2:$K$401,0)),"")</f>
      </c>
      <c r="J359" s="22">
        <f>IFERROR(INDEX(_datos!$I$2:$I$401,MATCH(ROW()-13,_datos!$K$2:$K$401,0)),"")</f>
      </c>
      <c r="K359" s="44">
        <f>IFERROR(HYPERLINK(INDEX(_datos!$J$2:$J$401,MATCH(ROW()-13,_datos!$K$2:$K$401,0)),"abrir mapa"),"")</f>
      </c>
    </row>
    <row r="360" ht="18.75" customHeight="1" spans="2:11" x14ac:dyDescent="0.25">
      <c r="B360" s="20">
        <f>IFERROR(INDEX(_datos!$A$2:$A$401,MATCH(ROW()-13,_datos!$K$2:$K$401,0)),"")</f>
      </c>
      <c r="C360" s="22">
        <f>IFERROR(INDEX(_datos!$B$2:$B$401,MATCH(ROW()-13,_datos!$K$2:$K$401,0)),"")</f>
      </c>
      <c r="D360" s="43">
        <f>IFERROR(INDEX(_datos!$C$2:$C$401,MATCH(ROW()-13,_datos!$K$2:$K$401,0)),"")</f>
      </c>
      <c r="E360" s="22">
        <f>IFERROR(INDEX(_datos!$D$2:$D$401,MATCH(ROW()-13,_datos!$K$2:$K$401,0)),"")</f>
      </c>
      <c r="F360" s="21">
        <f>IFERROR(INDEX(_datos!$E$2:$E$401,MATCH(ROW()-13,_datos!$K$2:$K$401,0)),"")</f>
      </c>
      <c r="G360" s="23">
        <f>IFERROR(INDEX(_datos!$F$2:$F$401,MATCH(ROW()-13,_datos!$K$2:$K$401,0)),"")</f>
      </c>
      <c r="H360" s="21">
        <f>IFERROR(INDEX(_datos!$G$2:$G$401,MATCH(ROW()-13,_datos!$K$2:$K$401,0)),"")</f>
      </c>
      <c r="I360" s="24">
        <f>IFERROR(INDEX(_datos!$H$2:$H$401,MATCH(ROW()-13,_datos!$K$2:$K$401,0)),"")</f>
      </c>
      <c r="J360" s="22">
        <f>IFERROR(INDEX(_datos!$I$2:$I$401,MATCH(ROW()-13,_datos!$K$2:$K$401,0)),"")</f>
      </c>
      <c r="K360" s="44">
        <f>IFERROR(HYPERLINK(INDEX(_datos!$J$2:$J$401,MATCH(ROW()-13,_datos!$K$2:$K$401,0)),"abrir mapa"),"")</f>
      </c>
    </row>
    <row r="361" ht="18.75" customHeight="1" spans="2:11" x14ac:dyDescent="0.25">
      <c r="B361" s="20">
        <f>IFERROR(INDEX(_datos!$A$2:$A$401,MATCH(ROW()-13,_datos!$K$2:$K$401,0)),"")</f>
      </c>
      <c r="C361" s="22">
        <f>IFERROR(INDEX(_datos!$B$2:$B$401,MATCH(ROW()-13,_datos!$K$2:$K$401,0)),"")</f>
      </c>
      <c r="D361" s="43">
        <f>IFERROR(INDEX(_datos!$C$2:$C$401,MATCH(ROW()-13,_datos!$K$2:$K$401,0)),"")</f>
      </c>
      <c r="E361" s="22">
        <f>IFERROR(INDEX(_datos!$D$2:$D$401,MATCH(ROW()-13,_datos!$K$2:$K$401,0)),"")</f>
      </c>
      <c r="F361" s="21">
        <f>IFERROR(INDEX(_datos!$E$2:$E$401,MATCH(ROW()-13,_datos!$K$2:$K$401,0)),"")</f>
      </c>
      <c r="G361" s="23">
        <f>IFERROR(INDEX(_datos!$F$2:$F$401,MATCH(ROW()-13,_datos!$K$2:$K$401,0)),"")</f>
      </c>
      <c r="H361" s="21">
        <f>IFERROR(INDEX(_datos!$G$2:$G$401,MATCH(ROW()-13,_datos!$K$2:$K$401,0)),"")</f>
      </c>
      <c r="I361" s="24">
        <f>IFERROR(INDEX(_datos!$H$2:$H$401,MATCH(ROW()-13,_datos!$K$2:$K$401,0)),"")</f>
      </c>
      <c r="J361" s="22">
        <f>IFERROR(INDEX(_datos!$I$2:$I$401,MATCH(ROW()-13,_datos!$K$2:$K$401,0)),"")</f>
      </c>
      <c r="K361" s="44">
        <f>IFERROR(HYPERLINK(INDEX(_datos!$J$2:$J$401,MATCH(ROW()-13,_datos!$K$2:$K$401,0)),"abrir mapa"),"")</f>
      </c>
    </row>
    <row r="362" ht="18.75" customHeight="1" spans="2:11" x14ac:dyDescent="0.25">
      <c r="B362" s="20">
        <f>IFERROR(INDEX(_datos!$A$2:$A$401,MATCH(ROW()-13,_datos!$K$2:$K$401,0)),"")</f>
      </c>
      <c r="C362" s="22">
        <f>IFERROR(INDEX(_datos!$B$2:$B$401,MATCH(ROW()-13,_datos!$K$2:$K$401,0)),"")</f>
      </c>
      <c r="D362" s="43">
        <f>IFERROR(INDEX(_datos!$C$2:$C$401,MATCH(ROW()-13,_datos!$K$2:$K$401,0)),"")</f>
      </c>
      <c r="E362" s="22">
        <f>IFERROR(INDEX(_datos!$D$2:$D$401,MATCH(ROW()-13,_datos!$K$2:$K$401,0)),"")</f>
      </c>
      <c r="F362" s="21">
        <f>IFERROR(INDEX(_datos!$E$2:$E$401,MATCH(ROW()-13,_datos!$K$2:$K$401,0)),"")</f>
      </c>
      <c r="G362" s="23">
        <f>IFERROR(INDEX(_datos!$F$2:$F$401,MATCH(ROW()-13,_datos!$K$2:$K$401,0)),"")</f>
      </c>
      <c r="H362" s="21">
        <f>IFERROR(INDEX(_datos!$G$2:$G$401,MATCH(ROW()-13,_datos!$K$2:$K$401,0)),"")</f>
      </c>
      <c r="I362" s="24">
        <f>IFERROR(INDEX(_datos!$H$2:$H$401,MATCH(ROW()-13,_datos!$K$2:$K$401,0)),"")</f>
      </c>
      <c r="J362" s="22">
        <f>IFERROR(INDEX(_datos!$I$2:$I$401,MATCH(ROW()-13,_datos!$K$2:$K$401,0)),"")</f>
      </c>
      <c r="K362" s="44">
        <f>IFERROR(HYPERLINK(INDEX(_datos!$J$2:$J$401,MATCH(ROW()-13,_datos!$K$2:$K$401,0)),"abrir mapa"),"")</f>
      </c>
    </row>
    <row r="363" ht="18.75" customHeight="1" spans="2:11" x14ac:dyDescent="0.25">
      <c r="B363" s="20">
        <f>IFERROR(INDEX(_datos!$A$2:$A$401,MATCH(ROW()-13,_datos!$K$2:$K$401,0)),"")</f>
      </c>
      <c r="C363" s="22">
        <f>IFERROR(INDEX(_datos!$B$2:$B$401,MATCH(ROW()-13,_datos!$K$2:$K$401,0)),"")</f>
      </c>
      <c r="D363" s="43">
        <f>IFERROR(INDEX(_datos!$C$2:$C$401,MATCH(ROW()-13,_datos!$K$2:$K$401,0)),"")</f>
      </c>
      <c r="E363" s="22">
        <f>IFERROR(INDEX(_datos!$D$2:$D$401,MATCH(ROW()-13,_datos!$K$2:$K$401,0)),"")</f>
      </c>
      <c r="F363" s="21">
        <f>IFERROR(INDEX(_datos!$E$2:$E$401,MATCH(ROW()-13,_datos!$K$2:$K$401,0)),"")</f>
      </c>
      <c r="G363" s="23">
        <f>IFERROR(INDEX(_datos!$F$2:$F$401,MATCH(ROW()-13,_datos!$K$2:$K$401,0)),"")</f>
      </c>
      <c r="H363" s="21">
        <f>IFERROR(INDEX(_datos!$G$2:$G$401,MATCH(ROW()-13,_datos!$K$2:$K$401,0)),"")</f>
      </c>
      <c r="I363" s="24">
        <f>IFERROR(INDEX(_datos!$H$2:$H$401,MATCH(ROW()-13,_datos!$K$2:$K$401,0)),"")</f>
      </c>
      <c r="J363" s="22">
        <f>IFERROR(INDEX(_datos!$I$2:$I$401,MATCH(ROW()-13,_datos!$K$2:$K$401,0)),"")</f>
      </c>
      <c r="K363" s="44">
        <f>IFERROR(HYPERLINK(INDEX(_datos!$J$2:$J$401,MATCH(ROW()-13,_datos!$K$2:$K$401,0)),"abrir mapa"),"")</f>
      </c>
    </row>
    <row r="364" ht="18.75" customHeight="1" spans="2:11" x14ac:dyDescent="0.25">
      <c r="B364" s="20">
        <f>IFERROR(INDEX(_datos!$A$2:$A$401,MATCH(ROW()-13,_datos!$K$2:$K$401,0)),"")</f>
      </c>
      <c r="C364" s="22">
        <f>IFERROR(INDEX(_datos!$B$2:$B$401,MATCH(ROW()-13,_datos!$K$2:$K$401,0)),"")</f>
      </c>
      <c r="D364" s="43">
        <f>IFERROR(INDEX(_datos!$C$2:$C$401,MATCH(ROW()-13,_datos!$K$2:$K$401,0)),"")</f>
      </c>
      <c r="E364" s="22">
        <f>IFERROR(INDEX(_datos!$D$2:$D$401,MATCH(ROW()-13,_datos!$K$2:$K$401,0)),"")</f>
      </c>
      <c r="F364" s="21">
        <f>IFERROR(INDEX(_datos!$E$2:$E$401,MATCH(ROW()-13,_datos!$K$2:$K$401,0)),"")</f>
      </c>
      <c r="G364" s="23">
        <f>IFERROR(INDEX(_datos!$F$2:$F$401,MATCH(ROW()-13,_datos!$K$2:$K$401,0)),"")</f>
      </c>
      <c r="H364" s="21">
        <f>IFERROR(INDEX(_datos!$G$2:$G$401,MATCH(ROW()-13,_datos!$K$2:$K$401,0)),"")</f>
      </c>
      <c r="I364" s="24">
        <f>IFERROR(INDEX(_datos!$H$2:$H$401,MATCH(ROW()-13,_datos!$K$2:$K$401,0)),"")</f>
      </c>
      <c r="J364" s="22">
        <f>IFERROR(INDEX(_datos!$I$2:$I$401,MATCH(ROW()-13,_datos!$K$2:$K$401,0)),"")</f>
      </c>
      <c r="K364" s="44">
        <f>IFERROR(HYPERLINK(INDEX(_datos!$J$2:$J$401,MATCH(ROW()-13,_datos!$K$2:$K$401,0)),"abrir mapa"),"")</f>
      </c>
    </row>
    <row r="365" ht="18.75" customHeight="1" spans="2:11" x14ac:dyDescent="0.25">
      <c r="B365" s="20">
        <f>IFERROR(INDEX(_datos!$A$2:$A$401,MATCH(ROW()-13,_datos!$K$2:$K$401,0)),"")</f>
      </c>
      <c r="C365" s="22">
        <f>IFERROR(INDEX(_datos!$B$2:$B$401,MATCH(ROW()-13,_datos!$K$2:$K$401,0)),"")</f>
      </c>
      <c r="D365" s="43">
        <f>IFERROR(INDEX(_datos!$C$2:$C$401,MATCH(ROW()-13,_datos!$K$2:$K$401,0)),"")</f>
      </c>
      <c r="E365" s="22">
        <f>IFERROR(INDEX(_datos!$D$2:$D$401,MATCH(ROW()-13,_datos!$K$2:$K$401,0)),"")</f>
      </c>
      <c r="F365" s="21">
        <f>IFERROR(INDEX(_datos!$E$2:$E$401,MATCH(ROW()-13,_datos!$K$2:$K$401,0)),"")</f>
      </c>
      <c r="G365" s="23">
        <f>IFERROR(INDEX(_datos!$F$2:$F$401,MATCH(ROW()-13,_datos!$K$2:$K$401,0)),"")</f>
      </c>
      <c r="H365" s="21">
        <f>IFERROR(INDEX(_datos!$G$2:$G$401,MATCH(ROW()-13,_datos!$K$2:$K$401,0)),"")</f>
      </c>
      <c r="I365" s="24">
        <f>IFERROR(INDEX(_datos!$H$2:$H$401,MATCH(ROW()-13,_datos!$K$2:$K$401,0)),"")</f>
      </c>
      <c r="J365" s="22">
        <f>IFERROR(INDEX(_datos!$I$2:$I$401,MATCH(ROW()-13,_datos!$K$2:$K$401,0)),"")</f>
      </c>
      <c r="K365" s="44">
        <f>IFERROR(HYPERLINK(INDEX(_datos!$J$2:$J$401,MATCH(ROW()-13,_datos!$K$2:$K$401,0)),"abrir mapa"),"")</f>
      </c>
    </row>
    <row r="366" ht="18.75" customHeight="1" spans="2:11" x14ac:dyDescent="0.25">
      <c r="B366" s="20">
        <f>IFERROR(INDEX(_datos!$A$2:$A$401,MATCH(ROW()-13,_datos!$K$2:$K$401,0)),"")</f>
      </c>
      <c r="C366" s="22">
        <f>IFERROR(INDEX(_datos!$B$2:$B$401,MATCH(ROW()-13,_datos!$K$2:$K$401,0)),"")</f>
      </c>
      <c r="D366" s="43">
        <f>IFERROR(INDEX(_datos!$C$2:$C$401,MATCH(ROW()-13,_datos!$K$2:$K$401,0)),"")</f>
      </c>
      <c r="E366" s="22">
        <f>IFERROR(INDEX(_datos!$D$2:$D$401,MATCH(ROW()-13,_datos!$K$2:$K$401,0)),"")</f>
      </c>
      <c r="F366" s="21">
        <f>IFERROR(INDEX(_datos!$E$2:$E$401,MATCH(ROW()-13,_datos!$K$2:$K$401,0)),"")</f>
      </c>
      <c r="G366" s="23">
        <f>IFERROR(INDEX(_datos!$F$2:$F$401,MATCH(ROW()-13,_datos!$K$2:$K$401,0)),"")</f>
      </c>
      <c r="H366" s="21">
        <f>IFERROR(INDEX(_datos!$G$2:$G$401,MATCH(ROW()-13,_datos!$K$2:$K$401,0)),"")</f>
      </c>
      <c r="I366" s="24">
        <f>IFERROR(INDEX(_datos!$H$2:$H$401,MATCH(ROW()-13,_datos!$K$2:$K$401,0)),"")</f>
      </c>
      <c r="J366" s="22">
        <f>IFERROR(INDEX(_datos!$I$2:$I$401,MATCH(ROW()-13,_datos!$K$2:$K$401,0)),"")</f>
      </c>
      <c r="K366" s="44">
        <f>IFERROR(HYPERLINK(INDEX(_datos!$J$2:$J$401,MATCH(ROW()-13,_datos!$K$2:$K$401,0)),"abrir mapa"),"")</f>
      </c>
    </row>
    <row r="367" ht="18.75" customHeight="1" spans="2:11" x14ac:dyDescent="0.25">
      <c r="B367" s="20">
        <f>IFERROR(INDEX(_datos!$A$2:$A$401,MATCH(ROW()-13,_datos!$K$2:$K$401,0)),"")</f>
      </c>
      <c r="C367" s="22">
        <f>IFERROR(INDEX(_datos!$B$2:$B$401,MATCH(ROW()-13,_datos!$K$2:$K$401,0)),"")</f>
      </c>
      <c r="D367" s="43">
        <f>IFERROR(INDEX(_datos!$C$2:$C$401,MATCH(ROW()-13,_datos!$K$2:$K$401,0)),"")</f>
      </c>
      <c r="E367" s="22">
        <f>IFERROR(INDEX(_datos!$D$2:$D$401,MATCH(ROW()-13,_datos!$K$2:$K$401,0)),"")</f>
      </c>
      <c r="F367" s="21">
        <f>IFERROR(INDEX(_datos!$E$2:$E$401,MATCH(ROW()-13,_datos!$K$2:$K$401,0)),"")</f>
      </c>
      <c r="G367" s="23">
        <f>IFERROR(INDEX(_datos!$F$2:$F$401,MATCH(ROW()-13,_datos!$K$2:$K$401,0)),"")</f>
      </c>
      <c r="H367" s="21">
        <f>IFERROR(INDEX(_datos!$G$2:$G$401,MATCH(ROW()-13,_datos!$K$2:$K$401,0)),"")</f>
      </c>
      <c r="I367" s="24">
        <f>IFERROR(INDEX(_datos!$H$2:$H$401,MATCH(ROW()-13,_datos!$K$2:$K$401,0)),"")</f>
      </c>
      <c r="J367" s="22">
        <f>IFERROR(INDEX(_datos!$I$2:$I$401,MATCH(ROW()-13,_datos!$K$2:$K$401,0)),"")</f>
      </c>
      <c r="K367" s="44">
        <f>IFERROR(HYPERLINK(INDEX(_datos!$J$2:$J$401,MATCH(ROW()-13,_datos!$K$2:$K$401,0)),"abrir mapa"),"")</f>
      </c>
    </row>
    <row r="368" ht="18.75" customHeight="1" spans="2:11" x14ac:dyDescent="0.25">
      <c r="B368" s="20">
        <f>IFERROR(INDEX(_datos!$A$2:$A$401,MATCH(ROW()-13,_datos!$K$2:$K$401,0)),"")</f>
      </c>
      <c r="C368" s="22">
        <f>IFERROR(INDEX(_datos!$B$2:$B$401,MATCH(ROW()-13,_datos!$K$2:$K$401,0)),"")</f>
      </c>
      <c r="D368" s="43">
        <f>IFERROR(INDEX(_datos!$C$2:$C$401,MATCH(ROW()-13,_datos!$K$2:$K$401,0)),"")</f>
      </c>
      <c r="E368" s="22">
        <f>IFERROR(INDEX(_datos!$D$2:$D$401,MATCH(ROW()-13,_datos!$K$2:$K$401,0)),"")</f>
      </c>
      <c r="F368" s="21">
        <f>IFERROR(INDEX(_datos!$E$2:$E$401,MATCH(ROW()-13,_datos!$K$2:$K$401,0)),"")</f>
      </c>
      <c r="G368" s="23">
        <f>IFERROR(INDEX(_datos!$F$2:$F$401,MATCH(ROW()-13,_datos!$K$2:$K$401,0)),"")</f>
      </c>
      <c r="H368" s="21">
        <f>IFERROR(INDEX(_datos!$G$2:$G$401,MATCH(ROW()-13,_datos!$K$2:$K$401,0)),"")</f>
      </c>
      <c r="I368" s="24">
        <f>IFERROR(INDEX(_datos!$H$2:$H$401,MATCH(ROW()-13,_datos!$K$2:$K$401,0)),"")</f>
      </c>
      <c r="J368" s="22">
        <f>IFERROR(INDEX(_datos!$I$2:$I$401,MATCH(ROW()-13,_datos!$K$2:$K$401,0)),"")</f>
      </c>
      <c r="K368" s="44">
        <f>IFERROR(HYPERLINK(INDEX(_datos!$J$2:$J$401,MATCH(ROW()-13,_datos!$K$2:$K$401,0)),"abrir mapa"),"")</f>
      </c>
    </row>
    <row r="369" ht="18.75" customHeight="1" spans="2:11" x14ac:dyDescent="0.25">
      <c r="B369" s="20">
        <f>IFERROR(INDEX(_datos!$A$2:$A$401,MATCH(ROW()-13,_datos!$K$2:$K$401,0)),"")</f>
      </c>
      <c r="C369" s="22">
        <f>IFERROR(INDEX(_datos!$B$2:$B$401,MATCH(ROW()-13,_datos!$K$2:$K$401,0)),"")</f>
      </c>
      <c r="D369" s="43">
        <f>IFERROR(INDEX(_datos!$C$2:$C$401,MATCH(ROW()-13,_datos!$K$2:$K$401,0)),"")</f>
      </c>
      <c r="E369" s="22">
        <f>IFERROR(INDEX(_datos!$D$2:$D$401,MATCH(ROW()-13,_datos!$K$2:$K$401,0)),"")</f>
      </c>
      <c r="F369" s="21">
        <f>IFERROR(INDEX(_datos!$E$2:$E$401,MATCH(ROW()-13,_datos!$K$2:$K$401,0)),"")</f>
      </c>
      <c r="G369" s="23">
        <f>IFERROR(INDEX(_datos!$F$2:$F$401,MATCH(ROW()-13,_datos!$K$2:$K$401,0)),"")</f>
      </c>
      <c r="H369" s="21">
        <f>IFERROR(INDEX(_datos!$G$2:$G$401,MATCH(ROW()-13,_datos!$K$2:$K$401,0)),"")</f>
      </c>
      <c r="I369" s="24">
        <f>IFERROR(INDEX(_datos!$H$2:$H$401,MATCH(ROW()-13,_datos!$K$2:$K$401,0)),"")</f>
      </c>
      <c r="J369" s="22">
        <f>IFERROR(INDEX(_datos!$I$2:$I$401,MATCH(ROW()-13,_datos!$K$2:$K$401,0)),"")</f>
      </c>
      <c r="K369" s="44">
        <f>IFERROR(HYPERLINK(INDEX(_datos!$J$2:$J$401,MATCH(ROW()-13,_datos!$K$2:$K$401,0)),"abrir mapa"),"")</f>
      </c>
    </row>
    <row r="370" ht="18.75" customHeight="1" spans="2:11" x14ac:dyDescent="0.25">
      <c r="B370" s="20">
        <f>IFERROR(INDEX(_datos!$A$2:$A$401,MATCH(ROW()-13,_datos!$K$2:$K$401,0)),"")</f>
      </c>
      <c r="C370" s="22">
        <f>IFERROR(INDEX(_datos!$B$2:$B$401,MATCH(ROW()-13,_datos!$K$2:$K$401,0)),"")</f>
      </c>
      <c r="D370" s="43">
        <f>IFERROR(INDEX(_datos!$C$2:$C$401,MATCH(ROW()-13,_datos!$K$2:$K$401,0)),"")</f>
      </c>
      <c r="E370" s="22">
        <f>IFERROR(INDEX(_datos!$D$2:$D$401,MATCH(ROW()-13,_datos!$K$2:$K$401,0)),"")</f>
      </c>
      <c r="F370" s="21">
        <f>IFERROR(INDEX(_datos!$E$2:$E$401,MATCH(ROW()-13,_datos!$K$2:$K$401,0)),"")</f>
      </c>
      <c r="G370" s="23">
        <f>IFERROR(INDEX(_datos!$F$2:$F$401,MATCH(ROW()-13,_datos!$K$2:$K$401,0)),"")</f>
      </c>
      <c r="H370" s="21">
        <f>IFERROR(INDEX(_datos!$G$2:$G$401,MATCH(ROW()-13,_datos!$K$2:$K$401,0)),"")</f>
      </c>
      <c r="I370" s="24">
        <f>IFERROR(INDEX(_datos!$H$2:$H$401,MATCH(ROW()-13,_datos!$K$2:$K$401,0)),"")</f>
      </c>
      <c r="J370" s="22">
        <f>IFERROR(INDEX(_datos!$I$2:$I$401,MATCH(ROW()-13,_datos!$K$2:$K$401,0)),"")</f>
      </c>
      <c r="K370" s="44">
        <f>IFERROR(HYPERLINK(INDEX(_datos!$J$2:$J$401,MATCH(ROW()-13,_datos!$K$2:$K$401,0)),"abrir mapa"),"")</f>
      </c>
    </row>
    <row r="371" ht="18.75" customHeight="1" spans="2:11" x14ac:dyDescent="0.25">
      <c r="B371" s="20">
        <f>IFERROR(INDEX(_datos!$A$2:$A$401,MATCH(ROW()-13,_datos!$K$2:$K$401,0)),"")</f>
      </c>
      <c r="C371" s="22">
        <f>IFERROR(INDEX(_datos!$B$2:$B$401,MATCH(ROW()-13,_datos!$K$2:$K$401,0)),"")</f>
      </c>
      <c r="D371" s="43">
        <f>IFERROR(INDEX(_datos!$C$2:$C$401,MATCH(ROW()-13,_datos!$K$2:$K$401,0)),"")</f>
      </c>
      <c r="E371" s="22">
        <f>IFERROR(INDEX(_datos!$D$2:$D$401,MATCH(ROW()-13,_datos!$K$2:$K$401,0)),"")</f>
      </c>
      <c r="F371" s="21">
        <f>IFERROR(INDEX(_datos!$E$2:$E$401,MATCH(ROW()-13,_datos!$K$2:$K$401,0)),"")</f>
      </c>
      <c r="G371" s="23">
        <f>IFERROR(INDEX(_datos!$F$2:$F$401,MATCH(ROW()-13,_datos!$K$2:$K$401,0)),"")</f>
      </c>
      <c r="H371" s="21">
        <f>IFERROR(INDEX(_datos!$G$2:$G$401,MATCH(ROW()-13,_datos!$K$2:$K$401,0)),"")</f>
      </c>
      <c r="I371" s="24">
        <f>IFERROR(INDEX(_datos!$H$2:$H$401,MATCH(ROW()-13,_datos!$K$2:$K$401,0)),"")</f>
      </c>
      <c r="J371" s="22">
        <f>IFERROR(INDEX(_datos!$I$2:$I$401,MATCH(ROW()-13,_datos!$K$2:$K$401,0)),"")</f>
      </c>
      <c r="K371" s="44">
        <f>IFERROR(HYPERLINK(INDEX(_datos!$J$2:$J$401,MATCH(ROW()-13,_datos!$K$2:$K$401,0)),"abrir mapa"),"")</f>
      </c>
    </row>
    <row r="372" ht="18.75" customHeight="1" spans="2:11" x14ac:dyDescent="0.25">
      <c r="B372" s="20">
        <f>IFERROR(INDEX(_datos!$A$2:$A$401,MATCH(ROW()-13,_datos!$K$2:$K$401,0)),"")</f>
      </c>
      <c r="C372" s="22">
        <f>IFERROR(INDEX(_datos!$B$2:$B$401,MATCH(ROW()-13,_datos!$K$2:$K$401,0)),"")</f>
      </c>
      <c r="D372" s="43">
        <f>IFERROR(INDEX(_datos!$C$2:$C$401,MATCH(ROW()-13,_datos!$K$2:$K$401,0)),"")</f>
      </c>
      <c r="E372" s="22">
        <f>IFERROR(INDEX(_datos!$D$2:$D$401,MATCH(ROW()-13,_datos!$K$2:$K$401,0)),"")</f>
      </c>
      <c r="F372" s="21">
        <f>IFERROR(INDEX(_datos!$E$2:$E$401,MATCH(ROW()-13,_datos!$K$2:$K$401,0)),"")</f>
      </c>
      <c r="G372" s="23">
        <f>IFERROR(INDEX(_datos!$F$2:$F$401,MATCH(ROW()-13,_datos!$K$2:$K$401,0)),"")</f>
      </c>
      <c r="H372" s="21">
        <f>IFERROR(INDEX(_datos!$G$2:$G$401,MATCH(ROW()-13,_datos!$K$2:$K$401,0)),"")</f>
      </c>
      <c r="I372" s="24">
        <f>IFERROR(INDEX(_datos!$H$2:$H$401,MATCH(ROW()-13,_datos!$K$2:$K$401,0)),"")</f>
      </c>
      <c r="J372" s="22">
        <f>IFERROR(INDEX(_datos!$I$2:$I$401,MATCH(ROW()-13,_datos!$K$2:$K$401,0)),"")</f>
      </c>
      <c r="K372" s="44">
        <f>IFERROR(HYPERLINK(INDEX(_datos!$J$2:$J$401,MATCH(ROW()-13,_datos!$K$2:$K$401,0)),"abrir mapa"),"")</f>
      </c>
    </row>
    <row r="373" ht="18.75" customHeight="1" spans="2:11" x14ac:dyDescent="0.25">
      <c r="B373" s="20">
        <f>IFERROR(INDEX(_datos!$A$2:$A$401,MATCH(ROW()-13,_datos!$K$2:$K$401,0)),"")</f>
      </c>
      <c r="C373" s="22">
        <f>IFERROR(INDEX(_datos!$B$2:$B$401,MATCH(ROW()-13,_datos!$K$2:$K$401,0)),"")</f>
      </c>
      <c r="D373" s="43">
        <f>IFERROR(INDEX(_datos!$C$2:$C$401,MATCH(ROW()-13,_datos!$K$2:$K$401,0)),"")</f>
      </c>
      <c r="E373" s="22">
        <f>IFERROR(INDEX(_datos!$D$2:$D$401,MATCH(ROW()-13,_datos!$K$2:$K$401,0)),"")</f>
      </c>
      <c r="F373" s="21">
        <f>IFERROR(INDEX(_datos!$E$2:$E$401,MATCH(ROW()-13,_datos!$K$2:$K$401,0)),"")</f>
      </c>
      <c r="G373" s="23">
        <f>IFERROR(INDEX(_datos!$F$2:$F$401,MATCH(ROW()-13,_datos!$K$2:$K$401,0)),"")</f>
      </c>
      <c r="H373" s="21">
        <f>IFERROR(INDEX(_datos!$G$2:$G$401,MATCH(ROW()-13,_datos!$K$2:$K$401,0)),"")</f>
      </c>
      <c r="I373" s="24">
        <f>IFERROR(INDEX(_datos!$H$2:$H$401,MATCH(ROW()-13,_datos!$K$2:$K$401,0)),"")</f>
      </c>
      <c r="J373" s="22">
        <f>IFERROR(INDEX(_datos!$I$2:$I$401,MATCH(ROW()-13,_datos!$K$2:$K$401,0)),"")</f>
      </c>
      <c r="K373" s="44">
        <f>IFERROR(HYPERLINK(INDEX(_datos!$J$2:$J$401,MATCH(ROW()-13,_datos!$K$2:$K$401,0)),"abrir mapa"),"")</f>
      </c>
    </row>
    <row r="374" ht="18.75" customHeight="1" spans="2:11" x14ac:dyDescent="0.25">
      <c r="B374" s="20">
        <f>IFERROR(INDEX(_datos!$A$2:$A$401,MATCH(ROW()-13,_datos!$K$2:$K$401,0)),"")</f>
      </c>
      <c r="C374" s="22">
        <f>IFERROR(INDEX(_datos!$B$2:$B$401,MATCH(ROW()-13,_datos!$K$2:$K$401,0)),"")</f>
      </c>
      <c r="D374" s="43">
        <f>IFERROR(INDEX(_datos!$C$2:$C$401,MATCH(ROW()-13,_datos!$K$2:$K$401,0)),"")</f>
      </c>
      <c r="E374" s="22">
        <f>IFERROR(INDEX(_datos!$D$2:$D$401,MATCH(ROW()-13,_datos!$K$2:$K$401,0)),"")</f>
      </c>
      <c r="F374" s="21">
        <f>IFERROR(INDEX(_datos!$E$2:$E$401,MATCH(ROW()-13,_datos!$K$2:$K$401,0)),"")</f>
      </c>
      <c r="G374" s="23">
        <f>IFERROR(INDEX(_datos!$F$2:$F$401,MATCH(ROW()-13,_datos!$K$2:$K$401,0)),"")</f>
      </c>
      <c r="H374" s="21">
        <f>IFERROR(INDEX(_datos!$G$2:$G$401,MATCH(ROW()-13,_datos!$K$2:$K$401,0)),"")</f>
      </c>
      <c r="I374" s="24">
        <f>IFERROR(INDEX(_datos!$H$2:$H$401,MATCH(ROW()-13,_datos!$K$2:$K$401,0)),"")</f>
      </c>
      <c r="J374" s="22">
        <f>IFERROR(INDEX(_datos!$I$2:$I$401,MATCH(ROW()-13,_datos!$K$2:$K$401,0)),"")</f>
      </c>
      <c r="K374" s="44">
        <f>IFERROR(HYPERLINK(INDEX(_datos!$J$2:$J$401,MATCH(ROW()-13,_datos!$K$2:$K$401,0)),"abrir mapa"),"")</f>
      </c>
    </row>
    <row r="375" ht="18.75" customHeight="1" spans="2:11" x14ac:dyDescent="0.25">
      <c r="B375" s="20">
        <f>IFERROR(INDEX(_datos!$A$2:$A$401,MATCH(ROW()-13,_datos!$K$2:$K$401,0)),"")</f>
      </c>
      <c r="C375" s="22">
        <f>IFERROR(INDEX(_datos!$B$2:$B$401,MATCH(ROW()-13,_datos!$K$2:$K$401,0)),"")</f>
      </c>
      <c r="D375" s="43">
        <f>IFERROR(INDEX(_datos!$C$2:$C$401,MATCH(ROW()-13,_datos!$K$2:$K$401,0)),"")</f>
      </c>
      <c r="E375" s="22">
        <f>IFERROR(INDEX(_datos!$D$2:$D$401,MATCH(ROW()-13,_datos!$K$2:$K$401,0)),"")</f>
      </c>
      <c r="F375" s="21">
        <f>IFERROR(INDEX(_datos!$E$2:$E$401,MATCH(ROW()-13,_datos!$K$2:$K$401,0)),"")</f>
      </c>
      <c r="G375" s="23">
        <f>IFERROR(INDEX(_datos!$F$2:$F$401,MATCH(ROW()-13,_datos!$K$2:$K$401,0)),"")</f>
      </c>
      <c r="H375" s="21">
        <f>IFERROR(INDEX(_datos!$G$2:$G$401,MATCH(ROW()-13,_datos!$K$2:$K$401,0)),"")</f>
      </c>
      <c r="I375" s="24">
        <f>IFERROR(INDEX(_datos!$H$2:$H$401,MATCH(ROW()-13,_datos!$K$2:$K$401,0)),"")</f>
      </c>
      <c r="J375" s="22">
        <f>IFERROR(INDEX(_datos!$I$2:$I$401,MATCH(ROW()-13,_datos!$K$2:$K$401,0)),"")</f>
      </c>
      <c r="K375" s="44">
        <f>IFERROR(HYPERLINK(INDEX(_datos!$J$2:$J$401,MATCH(ROW()-13,_datos!$K$2:$K$401,0)),"abrir mapa"),"")</f>
      </c>
    </row>
    <row r="376" ht="18.75" customHeight="1" spans="2:11" x14ac:dyDescent="0.25">
      <c r="B376" s="20">
        <f>IFERROR(INDEX(_datos!$A$2:$A$401,MATCH(ROW()-13,_datos!$K$2:$K$401,0)),"")</f>
      </c>
      <c r="C376" s="22">
        <f>IFERROR(INDEX(_datos!$B$2:$B$401,MATCH(ROW()-13,_datos!$K$2:$K$401,0)),"")</f>
      </c>
      <c r="D376" s="43">
        <f>IFERROR(INDEX(_datos!$C$2:$C$401,MATCH(ROW()-13,_datos!$K$2:$K$401,0)),"")</f>
      </c>
      <c r="E376" s="22">
        <f>IFERROR(INDEX(_datos!$D$2:$D$401,MATCH(ROW()-13,_datos!$K$2:$K$401,0)),"")</f>
      </c>
      <c r="F376" s="21">
        <f>IFERROR(INDEX(_datos!$E$2:$E$401,MATCH(ROW()-13,_datos!$K$2:$K$401,0)),"")</f>
      </c>
      <c r="G376" s="23">
        <f>IFERROR(INDEX(_datos!$F$2:$F$401,MATCH(ROW()-13,_datos!$K$2:$K$401,0)),"")</f>
      </c>
      <c r="H376" s="21">
        <f>IFERROR(INDEX(_datos!$G$2:$G$401,MATCH(ROW()-13,_datos!$K$2:$K$401,0)),"")</f>
      </c>
      <c r="I376" s="24">
        <f>IFERROR(INDEX(_datos!$H$2:$H$401,MATCH(ROW()-13,_datos!$K$2:$K$401,0)),"")</f>
      </c>
      <c r="J376" s="22">
        <f>IFERROR(INDEX(_datos!$I$2:$I$401,MATCH(ROW()-13,_datos!$K$2:$K$401,0)),"")</f>
      </c>
      <c r="K376" s="44">
        <f>IFERROR(HYPERLINK(INDEX(_datos!$J$2:$J$401,MATCH(ROW()-13,_datos!$K$2:$K$401,0)),"abrir mapa"),"")</f>
      </c>
    </row>
    <row r="377" ht="18.75" customHeight="1" spans="2:11" x14ac:dyDescent="0.25">
      <c r="B377" s="20">
        <f>IFERROR(INDEX(_datos!$A$2:$A$401,MATCH(ROW()-13,_datos!$K$2:$K$401,0)),"")</f>
      </c>
      <c r="C377" s="22">
        <f>IFERROR(INDEX(_datos!$B$2:$B$401,MATCH(ROW()-13,_datos!$K$2:$K$401,0)),"")</f>
      </c>
      <c r="D377" s="43">
        <f>IFERROR(INDEX(_datos!$C$2:$C$401,MATCH(ROW()-13,_datos!$K$2:$K$401,0)),"")</f>
      </c>
      <c r="E377" s="22">
        <f>IFERROR(INDEX(_datos!$D$2:$D$401,MATCH(ROW()-13,_datos!$K$2:$K$401,0)),"")</f>
      </c>
      <c r="F377" s="21">
        <f>IFERROR(INDEX(_datos!$E$2:$E$401,MATCH(ROW()-13,_datos!$K$2:$K$401,0)),"")</f>
      </c>
      <c r="G377" s="23">
        <f>IFERROR(INDEX(_datos!$F$2:$F$401,MATCH(ROW()-13,_datos!$K$2:$K$401,0)),"")</f>
      </c>
      <c r="H377" s="21">
        <f>IFERROR(INDEX(_datos!$G$2:$G$401,MATCH(ROW()-13,_datos!$K$2:$K$401,0)),"")</f>
      </c>
      <c r="I377" s="24">
        <f>IFERROR(INDEX(_datos!$H$2:$H$401,MATCH(ROW()-13,_datos!$K$2:$K$401,0)),"")</f>
      </c>
      <c r="J377" s="22">
        <f>IFERROR(INDEX(_datos!$I$2:$I$401,MATCH(ROW()-13,_datos!$K$2:$K$401,0)),"")</f>
      </c>
      <c r="K377" s="44">
        <f>IFERROR(HYPERLINK(INDEX(_datos!$J$2:$J$401,MATCH(ROW()-13,_datos!$K$2:$K$401,0)),"abrir mapa"),"")</f>
      </c>
    </row>
    <row r="378" ht="18.75" customHeight="1" spans="2:11" x14ac:dyDescent="0.25">
      <c r="B378" s="20">
        <f>IFERROR(INDEX(_datos!$A$2:$A$401,MATCH(ROW()-13,_datos!$K$2:$K$401,0)),"")</f>
      </c>
      <c r="C378" s="22">
        <f>IFERROR(INDEX(_datos!$B$2:$B$401,MATCH(ROW()-13,_datos!$K$2:$K$401,0)),"")</f>
      </c>
      <c r="D378" s="43">
        <f>IFERROR(INDEX(_datos!$C$2:$C$401,MATCH(ROW()-13,_datos!$K$2:$K$401,0)),"")</f>
      </c>
      <c r="E378" s="22">
        <f>IFERROR(INDEX(_datos!$D$2:$D$401,MATCH(ROW()-13,_datos!$K$2:$K$401,0)),"")</f>
      </c>
      <c r="F378" s="21">
        <f>IFERROR(INDEX(_datos!$E$2:$E$401,MATCH(ROW()-13,_datos!$K$2:$K$401,0)),"")</f>
      </c>
      <c r="G378" s="23">
        <f>IFERROR(INDEX(_datos!$F$2:$F$401,MATCH(ROW()-13,_datos!$K$2:$K$401,0)),"")</f>
      </c>
      <c r="H378" s="21">
        <f>IFERROR(INDEX(_datos!$G$2:$G$401,MATCH(ROW()-13,_datos!$K$2:$K$401,0)),"")</f>
      </c>
      <c r="I378" s="24">
        <f>IFERROR(INDEX(_datos!$H$2:$H$401,MATCH(ROW()-13,_datos!$K$2:$K$401,0)),"")</f>
      </c>
      <c r="J378" s="22">
        <f>IFERROR(INDEX(_datos!$I$2:$I$401,MATCH(ROW()-13,_datos!$K$2:$K$401,0)),"")</f>
      </c>
      <c r="K378" s="44">
        <f>IFERROR(HYPERLINK(INDEX(_datos!$J$2:$J$401,MATCH(ROW()-13,_datos!$K$2:$K$401,0)),"abrir mapa"),"")</f>
      </c>
    </row>
    <row r="379" ht="18.75" customHeight="1" spans="2:11" x14ac:dyDescent="0.25">
      <c r="B379" s="20">
        <f>IFERROR(INDEX(_datos!$A$2:$A$401,MATCH(ROW()-13,_datos!$K$2:$K$401,0)),"")</f>
      </c>
      <c r="C379" s="22">
        <f>IFERROR(INDEX(_datos!$B$2:$B$401,MATCH(ROW()-13,_datos!$K$2:$K$401,0)),"")</f>
      </c>
      <c r="D379" s="43">
        <f>IFERROR(INDEX(_datos!$C$2:$C$401,MATCH(ROW()-13,_datos!$K$2:$K$401,0)),"")</f>
      </c>
      <c r="E379" s="22">
        <f>IFERROR(INDEX(_datos!$D$2:$D$401,MATCH(ROW()-13,_datos!$K$2:$K$401,0)),"")</f>
      </c>
      <c r="F379" s="21">
        <f>IFERROR(INDEX(_datos!$E$2:$E$401,MATCH(ROW()-13,_datos!$K$2:$K$401,0)),"")</f>
      </c>
      <c r="G379" s="23">
        <f>IFERROR(INDEX(_datos!$F$2:$F$401,MATCH(ROW()-13,_datos!$K$2:$K$401,0)),"")</f>
      </c>
      <c r="H379" s="21">
        <f>IFERROR(INDEX(_datos!$G$2:$G$401,MATCH(ROW()-13,_datos!$K$2:$K$401,0)),"")</f>
      </c>
      <c r="I379" s="24">
        <f>IFERROR(INDEX(_datos!$H$2:$H$401,MATCH(ROW()-13,_datos!$K$2:$K$401,0)),"")</f>
      </c>
      <c r="J379" s="22">
        <f>IFERROR(INDEX(_datos!$I$2:$I$401,MATCH(ROW()-13,_datos!$K$2:$K$401,0)),"")</f>
      </c>
      <c r="K379" s="44">
        <f>IFERROR(HYPERLINK(INDEX(_datos!$J$2:$J$401,MATCH(ROW()-13,_datos!$K$2:$K$401,0)),"abrir mapa"),"")</f>
      </c>
    </row>
    <row r="380" ht="18.75" customHeight="1" spans="2:11" x14ac:dyDescent="0.25">
      <c r="B380" s="20">
        <f>IFERROR(INDEX(_datos!$A$2:$A$401,MATCH(ROW()-13,_datos!$K$2:$K$401,0)),"")</f>
      </c>
      <c r="C380" s="22">
        <f>IFERROR(INDEX(_datos!$B$2:$B$401,MATCH(ROW()-13,_datos!$K$2:$K$401,0)),"")</f>
      </c>
      <c r="D380" s="43">
        <f>IFERROR(INDEX(_datos!$C$2:$C$401,MATCH(ROW()-13,_datos!$K$2:$K$401,0)),"")</f>
      </c>
      <c r="E380" s="22">
        <f>IFERROR(INDEX(_datos!$D$2:$D$401,MATCH(ROW()-13,_datos!$K$2:$K$401,0)),"")</f>
      </c>
      <c r="F380" s="21">
        <f>IFERROR(INDEX(_datos!$E$2:$E$401,MATCH(ROW()-13,_datos!$K$2:$K$401,0)),"")</f>
      </c>
      <c r="G380" s="23">
        <f>IFERROR(INDEX(_datos!$F$2:$F$401,MATCH(ROW()-13,_datos!$K$2:$K$401,0)),"")</f>
      </c>
      <c r="H380" s="21">
        <f>IFERROR(INDEX(_datos!$G$2:$G$401,MATCH(ROW()-13,_datos!$K$2:$K$401,0)),"")</f>
      </c>
      <c r="I380" s="24">
        <f>IFERROR(INDEX(_datos!$H$2:$H$401,MATCH(ROW()-13,_datos!$K$2:$K$401,0)),"")</f>
      </c>
      <c r="J380" s="22">
        <f>IFERROR(INDEX(_datos!$I$2:$I$401,MATCH(ROW()-13,_datos!$K$2:$K$401,0)),"")</f>
      </c>
      <c r="K380" s="44">
        <f>IFERROR(HYPERLINK(INDEX(_datos!$J$2:$J$401,MATCH(ROW()-13,_datos!$K$2:$K$401,0)),"abrir mapa"),"")</f>
      </c>
    </row>
    <row r="381" ht="18.75" customHeight="1" spans="2:11" x14ac:dyDescent="0.25">
      <c r="B381" s="20">
        <f>IFERROR(INDEX(_datos!$A$2:$A$401,MATCH(ROW()-13,_datos!$K$2:$K$401,0)),"")</f>
      </c>
      <c r="C381" s="22">
        <f>IFERROR(INDEX(_datos!$B$2:$B$401,MATCH(ROW()-13,_datos!$K$2:$K$401,0)),"")</f>
      </c>
      <c r="D381" s="43">
        <f>IFERROR(INDEX(_datos!$C$2:$C$401,MATCH(ROW()-13,_datos!$K$2:$K$401,0)),"")</f>
      </c>
      <c r="E381" s="22">
        <f>IFERROR(INDEX(_datos!$D$2:$D$401,MATCH(ROW()-13,_datos!$K$2:$K$401,0)),"")</f>
      </c>
      <c r="F381" s="21">
        <f>IFERROR(INDEX(_datos!$E$2:$E$401,MATCH(ROW()-13,_datos!$K$2:$K$401,0)),"")</f>
      </c>
      <c r="G381" s="23">
        <f>IFERROR(INDEX(_datos!$F$2:$F$401,MATCH(ROW()-13,_datos!$K$2:$K$401,0)),"")</f>
      </c>
      <c r="H381" s="21">
        <f>IFERROR(INDEX(_datos!$G$2:$G$401,MATCH(ROW()-13,_datos!$K$2:$K$401,0)),"")</f>
      </c>
      <c r="I381" s="24">
        <f>IFERROR(INDEX(_datos!$H$2:$H$401,MATCH(ROW()-13,_datos!$K$2:$K$401,0)),"")</f>
      </c>
      <c r="J381" s="22">
        <f>IFERROR(INDEX(_datos!$I$2:$I$401,MATCH(ROW()-13,_datos!$K$2:$K$401,0)),"")</f>
      </c>
      <c r="K381" s="44">
        <f>IFERROR(HYPERLINK(INDEX(_datos!$J$2:$J$401,MATCH(ROW()-13,_datos!$K$2:$K$401,0)),"abrir mapa"),"")</f>
      </c>
    </row>
    <row r="382" ht="18.75" customHeight="1" spans="2:11" x14ac:dyDescent="0.25">
      <c r="B382" s="20">
        <f>IFERROR(INDEX(_datos!$A$2:$A$401,MATCH(ROW()-13,_datos!$K$2:$K$401,0)),"")</f>
      </c>
      <c r="C382" s="22">
        <f>IFERROR(INDEX(_datos!$B$2:$B$401,MATCH(ROW()-13,_datos!$K$2:$K$401,0)),"")</f>
      </c>
      <c r="D382" s="43">
        <f>IFERROR(INDEX(_datos!$C$2:$C$401,MATCH(ROW()-13,_datos!$K$2:$K$401,0)),"")</f>
      </c>
      <c r="E382" s="22">
        <f>IFERROR(INDEX(_datos!$D$2:$D$401,MATCH(ROW()-13,_datos!$K$2:$K$401,0)),"")</f>
      </c>
      <c r="F382" s="21">
        <f>IFERROR(INDEX(_datos!$E$2:$E$401,MATCH(ROW()-13,_datos!$K$2:$K$401,0)),"")</f>
      </c>
      <c r="G382" s="23">
        <f>IFERROR(INDEX(_datos!$F$2:$F$401,MATCH(ROW()-13,_datos!$K$2:$K$401,0)),"")</f>
      </c>
      <c r="H382" s="21">
        <f>IFERROR(INDEX(_datos!$G$2:$G$401,MATCH(ROW()-13,_datos!$K$2:$K$401,0)),"")</f>
      </c>
      <c r="I382" s="24">
        <f>IFERROR(INDEX(_datos!$H$2:$H$401,MATCH(ROW()-13,_datos!$K$2:$K$401,0)),"")</f>
      </c>
      <c r="J382" s="22">
        <f>IFERROR(INDEX(_datos!$I$2:$I$401,MATCH(ROW()-13,_datos!$K$2:$K$401,0)),"")</f>
      </c>
      <c r="K382" s="44">
        <f>IFERROR(HYPERLINK(INDEX(_datos!$J$2:$J$401,MATCH(ROW()-13,_datos!$K$2:$K$401,0)),"abrir mapa"),"")</f>
      </c>
    </row>
    <row r="383" ht="18.75" customHeight="1" spans="2:11" x14ac:dyDescent="0.25">
      <c r="B383" s="20">
        <f>IFERROR(INDEX(_datos!$A$2:$A$401,MATCH(ROW()-13,_datos!$K$2:$K$401,0)),"")</f>
      </c>
      <c r="C383" s="22">
        <f>IFERROR(INDEX(_datos!$B$2:$B$401,MATCH(ROW()-13,_datos!$K$2:$K$401,0)),"")</f>
      </c>
      <c r="D383" s="43">
        <f>IFERROR(INDEX(_datos!$C$2:$C$401,MATCH(ROW()-13,_datos!$K$2:$K$401,0)),"")</f>
      </c>
      <c r="E383" s="22">
        <f>IFERROR(INDEX(_datos!$D$2:$D$401,MATCH(ROW()-13,_datos!$K$2:$K$401,0)),"")</f>
      </c>
      <c r="F383" s="21">
        <f>IFERROR(INDEX(_datos!$E$2:$E$401,MATCH(ROW()-13,_datos!$K$2:$K$401,0)),"")</f>
      </c>
      <c r="G383" s="23">
        <f>IFERROR(INDEX(_datos!$F$2:$F$401,MATCH(ROW()-13,_datos!$K$2:$K$401,0)),"")</f>
      </c>
      <c r="H383" s="21">
        <f>IFERROR(INDEX(_datos!$G$2:$G$401,MATCH(ROW()-13,_datos!$K$2:$K$401,0)),"")</f>
      </c>
      <c r="I383" s="24">
        <f>IFERROR(INDEX(_datos!$H$2:$H$401,MATCH(ROW()-13,_datos!$K$2:$K$401,0)),"")</f>
      </c>
      <c r="J383" s="22">
        <f>IFERROR(INDEX(_datos!$I$2:$I$401,MATCH(ROW()-13,_datos!$K$2:$K$401,0)),"")</f>
      </c>
      <c r="K383" s="44">
        <f>IFERROR(HYPERLINK(INDEX(_datos!$J$2:$J$401,MATCH(ROW()-13,_datos!$K$2:$K$401,0)),"abrir mapa"),"")</f>
      </c>
    </row>
    <row r="384" ht="18.75" customHeight="1" spans="2:11" x14ac:dyDescent="0.25">
      <c r="B384" s="20">
        <f>IFERROR(INDEX(_datos!$A$2:$A$401,MATCH(ROW()-13,_datos!$K$2:$K$401,0)),"")</f>
      </c>
      <c r="C384" s="22">
        <f>IFERROR(INDEX(_datos!$B$2:$B$401,MATCH(ROW()-13,_datos!$K$2:$K$401,0)),"")</f>
      </c>
      <c r="D384" s="43">
        <f>IFERROR(INDEX(_datos!$C$2:$C$401,MATCH(ROW()-13,_datos!$K$2:$K$401,0)),"")</f>
      </c>
      <c r="E384" s="22">
        <f>IFERROR(INDEX(_datos!$D$2:$D$401,MATCH(ROW()-13,_datos!$K$2:$K$401,0)),"")</f>
      </c>
      <c r="F384" s="21">
        <f>IFERROR(INDEX(_datos!$E$2:$E$401,MATCH(ROW()-13,_datos!$K$2:$K$401,0)),"")</f>
      </c>
      <c r="G384" s="23">
        <f>IFERROR(INDEX(_datos!$F$2:$F$401,MATCH(ROW()-13,_datos!$K$2:$K$401,0)),"")</f>
      </c>
      <c r="H384" s="21">
        <f>IFERROR(INDEX(_datos!$G$2:$G$401,MATCH(ROW()-13,_datos!$K$2:$K$401,0)),"")</f>
      </c>
      <c r="I384" s="24">
        <f>IFERROR(INDEX(_datos!$H$2:$H$401,MATCH(ROW()-13,_datos!$K$2:$K$401,0)),"")</f>
      </c>
      <c r="J384" s="22">
        <f>IFERROR(INDEX(_datos!$I$2:$I$401,MATCH(ROW()-13,_datos!$K$2:$K$401,0)),"")</f>
      </c>
      <c r="K384" s="44">
        <f>IFERROR(HYPERLINK(INDEX(_datos!$J$2:$J$401,MATCH(ROW()-13,_datos!$K$2:$K$401,0)),"abrir mapa"),"")</f>
      </c>
    </row>
    <row r="385" ht="18.75" customHeight="1" spans="2:11" x14ac:dyDescent="0.25">
      <c r="B385" s="20">
        <f>IFERROR(INDEX(_datos!$A$2:$A$401,MATCH(ROW()-13,_datos!$K$2:$K$401,0)),"")</f>
      </c>
      <c r="C385" s="22">
        <f>IFERROR(INDEX(_datos!$B$2:$B$401,MATCH(ROW()-13,_datos!$K$2:$K$401,0)),"")</f>
      </c>
      <c r="D385" s="43">
        <f>IFERROR(INDEX(_datos!$C$2:$C$401,MATCH(ROW()-13,_datos!$K$2:$K$401,0)),"")</f>
      </c>
      <c r="E385" s="22">
        <f>IFERROR(INDEX(_datos!$D$2:$D$401,MATCH(ROW()-13,_datos!$K$2:$K$401,0)),"")</f>
      </c>
      <c r="F385" s="21">
        <f>IFERROR(INDEX(_datos!$E$2:$E$401,MATCH(ROW()-13,_datos!$K$2:$K$401,0)),"")</f>
      </c>
      <c r="G385" s="23">
        <f>IFERROR(INDEX(_datos!$F$2:$F$401,MATCH(ROW()-13,_datos!$K$2:$K$401,0)),"")</f>
      </c>
      <c r="H385" s="21">
        <f>IFERROR(INDEX(_datos!$G$2:$G$401,MATCH(ROW()-13,_datos!$K$2:$K$401,0)),"")</f>
      </c>
      <c r="I385" s="24">
        <f>IFERROR(INDEX(_datos!$H$2:$H$401,MATCH(ROW()-13,_datos!$K$2:$K$401,0)),"")</f>
      </c>
      <c r="J385" s="22">
        <f>IFERROR(INDEX(_datos!$I$2:$I$401,MATCH(ROW()-13,_datos!$K$2:$K$401,0)),"")</f>
      </c>
      <c r="K385" s="44">
        <f>IFERROR(HYPERLINK(INDEX(_datos!$J$2:$J$401,MATCH(ROW()-13,_datos!$K$2:$K$401,0)),"abrir mapa"),"")</f>
      </c>
    </row>
    <row r="386" ht="18.75" customHeight="1" spans="2:11" x14ac:dyDescent="0.25">
      <c r="B386" s="20">
        <f>IFERROR(INDEX(_datos!$A$2:$A$401,MATCH(ROW()-13,_datos!$K$2:$K$401,0)),"")</f>
      </c>
      <c r="C386" s="22">
        <f>IFERROR(INDEX(_datos!$B$2:$B$401,MATCH(ROW()-13,_datos!$K$2:$K$401,0)),"")</f>
      </c>
      <c r="D386" s="43">
        <f>IFERROR(INDEX(_datos!$C$2:$C$401,MATCH(ROW()-13,_datos!$K$2:$K$401,0)),"")</f>
      </c>
      <c r="E386" s="22">
        <f>IFERROR(INDEX(_datos!$D$2:$D$401,MATCH(ROW()-13,_datos!$K$2:$K$401,0)),"")</f>
      </c>
      <c r="F386" s="21">
        <f>IFERROR(INDEX(_datos!$E$2:$E$401,MATCH(ROW()-13,_datos!$K$2:$K$401,0)),"")</f>
      </c>
      <c r="G386" s="23">
        <f>IFERROR(INDEX(_datos!$F$2:$F$401,MATCH(ROW()-13,_datos!$K$2:$K$401,0)),"")</f>
      </c>
      <c r="H386" s="21">
        <f>IFERROR(INDEX(_datos!$G$2:$G$401,MATCH(ROW()-13,_datos!$K$2:$K$401,0)),"")</f>
      </c>
      <c r="I386" s="24">
        <f>IFERROR(INDEX(_datos!$H$2:$H$401,MATCH(ROW()-13,_datos!$K$2:$K$401,0)),"")</f>
      </c>
      <c r="J386" s="22">
        <f>IFERROR(INDEX(_datos!$I$2:$I$401,MATCH(ROW()-13,_datos!$K$2:$K$401,0)),"")</f>
      </c>
      <c r="K386" s="44">
        <f>IFERROR(HYPERLINK(INDEX(_datos!$J$2:$J$401,MATCH(ROW()-13,_datos!$K$2:$K$401,0)),"abrir mapa"),"")</f>
      </c>
    </row>
    <row r="387" ht="18.75" customHeight="1" spans="2:11" x14ac:dyDescent="0.25">
      <c r="B387" s="20">
        <f>IFERROR(INDEX(_datos!$A$2:$A$401,MATCH(ROW()-13,_datos!$K$2:$K$401,0)),"")</f>
      </c>
      <c r="C387" s="22">
        <f>IFERROR(INDEX(_datos!$B$2:$B$401,MATCH(ROW()-13,_datos!$K$2:$K$401,0)),"")</f>
      </c>
      <c r="D387" s="43">
        <f>IFERROR(INDEX(_datos!$C$2:$C$401,MATCH(ROW()-13,_datos!$K$2:$K$401,0)),"")</f>
      </c>
      <c r="E387" s="22">
        <f>IFERROR(INDEX(_datos!$D$2:$D$401,MATCH(ROW()-13,_datos!$K$2:$K$401,0)),"")</f>
      </c>
      <c r="F387" s="21">
        <f>IFERROR(INDEX(_datos!$E$2:$E$401,MATCH(ROW()-13,_datos!$K$2:$K$401,0)),"")</f>
      </c>
      <c r="G387" s="23">
        <f>IFERROR(INDEX(_datos!$F$2:$F$401,MATCH(ROW()-13,_datos!$K$2:$K$401,0)),"")</f>
      </c>
      <c r="H387" s="21">
        <f>IFERROR(INDEX(_datos!$G$2:$G$401,MATCH(ROW()-13,_datos!$K$2:$K$401,0)),"")</f>
      </c>
      <c r="I387" s="24">
        <f>IFERROR(INDEX(_datos!$H$2:$H$401,MATCH(ROW()-13,_datos!$K$2:$K$401,0)),"")</f>
      </c>
      <c r="J387" s="22">
        <f>IFERROR(INDEX(_datos!$I$2:$I$401,MATCH(ROW()-13,_datos!$K$2:$K$401,0)),"")</f>
      </c>
      <c r="K387" s="44">
        <f>IFERROR(HYPERLINK(INDEX(_datos!$J$2:$J$401,MATCH(ROW()-13,_datos!$K$2:$K$401,0)),"abrir mapa"),"")</f>
      </c>
    </row>
    <row r="388" ht="18.75" customHeight="1" spans="2:11" x14ac:dyDescent="0.25">
      <c r="B388" s="20">
        <f>IFERROR(INDEX(_datos!$A$2:$A$401,MATCH(ROW()-13,_datos!$K$2:$K$401,0)),"")</f>
      </c>
      <c r="C388" s="22">
        <f>IFERROR(INDEX(_datos!$B$2:$B$401,MATCH(ROW()-13,_datos!$K$2:$K$401,0)),"")</f>
      </c>
      <c r="D388" s="43">
        <f>IFERROR(INDEX(_datos!$C$2:$C$401,MATCH(ROW()-13,_datos!$K$2:$K$401,0)),"")</f>
      </c>
      <c r="E388" s="22">
        <f>IFERROR(INDEX(_datos!$D$2:$D$401,MATCH(ROW()-13,_datos!$K$2:$K$401,0)),"")</f>
      </c>
      <c r="F388" s="21">
        <f>IFERROR(INDEX(_datos!$E$2:$E$401,MATCH(ROW()-13,_datos!$K$2:$K$401,0)),"")</f>
      </c>
      <c r="G388" s="23">
        <f>IFERROR(INDEX(_datos!$F$2:$F$401,MATCH(ROW()-13,_datos!$K$2:$K$401,0)),"")</f>
      </c>
      <c r="H388" s="21">
        <f>IFERROR(INDEX(_datos!$G$2:$G$401,MATCH(ROW()-13,_datos!$K$2:$K$401,0)),"")</f>
      </c>
      <c r="I388" s="24">
        <f>IFERROR(INDEX(_datos!$H$2:$H$401,MATCH(ROW()-13,_datos!$K$2:$K$401,0)),"")</f>
      </c>
      <c r="J388" s="22">
        <f>IFERROR(INDEX(_datos!$I$2:$I$401,MATCH(ROW()-13,_datos!$K$2:$K$401,0)),"")</f>
      </c>
      <c r="K388" s="44">
        <f>IFERROR(HYPERLINK(INDEX(_datos!$J$2:$J$401,MATCH(ROW()-13,_datos!$K$2:$K$401,0)),"abrir mapa"),"")</f>
      </c>
    </row>
    <row r="389" ht="18.75" customHeight="1" spans="2:11" x14ac:dyDescent="0.25">
      <c r="B389" s="20">
        <f>IFERROR(INDEX(_datos!$A$2:$A$401,MATCH(ROW()-13,_datos!$K$2:$K$401,0)),"")</f>
      </c>
      <c r="C389" s="22">
        <f>IFERROR(INDEX(_datos!$B$2:$B$401,MATCH(ROW()-13,_datos!$K$2:$K$401,0)),"")</f>
      </c>
      <c r="D389" s="43">
        <f>IFERROR(INDEX(_datos!$C$2:$C$401,MATCH(ROW()-13,_datos!$K$2:$K$401,0)),"")</f>
      </c>
      <c r="E389" s="22">
        <f>IFERROR(INDEX(_datos!$D$2:$D$401,MATCH(ROW()-13,_datos!$K$2:$K$401,0)),"")</f>
      </c>
      <c r="F389" s="21">
        <f>IFERROR(INDEX(_datos!$E$2:$E$401,MATCH(ROW()-13,_datos!$K$2:$K$401,0)),"")</f>
      </c>
      <c r="G389" s="23">
        <f>IFERROR(INDEX(_datos!$F$2:$F$401,MATCH(ROW()-13,_datos!$K$2:$K$401,0)),"")</f>
      </c>
      <c r="H389" s="21">
        <f>IFERROR(INDEX(_datos!$G$2:$G$401,MATCH(ROW()-13,_datos!$K$2:$K$401,0)),"")</f>
      </c>
      <c r="I389" s="24">
        <f>IFERROR(INDEX(_datos!$H$2:$H$401,MATCH(ROW()-13,_datos!$K$2:$K$401,0)),"")</f>
      </c>
      <c r="J389" s="22">
        <f>IFERROR(INDEX(_datos!$I$2:$I$401,MATCH(ROW()-13,_datos!$K$2:$K$401,0)),"")</f>
      </c>
      <c r="K389" s="44">
        <f>IFERROR(HYPERLINK(INDEX(_datos!$J$2:$J$401,MATCH(ROW()-13,_datos!$K$2:$K$401,0)),"abrir mapa"),"")</f>
      </c>
    </row>
    <row r="390" ht="18.75" customHeight="1" spans="2:11" x14ac:dyDescent="0.25">
      <c r="B390" s="20">
        <f>IFERROR(INDEX(_datos!$A$2:$A$401,MATCH(ROW()-13,_datos!$K$2:$K$401,0)),"")</f>
      </c>
      <c r="C390" s="22">
        <f>IFERROR(INDEX(_datos!$B$2:$B$401,MATCH(ROW()-13,_datos!$K$2:$K$401,0)),"")</f>
      </c>
      <c r="D390" s="43">
        <f>IFERROR(INDEX(_datos!$C$2:$C$401,MATCH(ROW()-13,_datos!$K$2:$K$401,0)),"")</f>
      </c>
      <c r="E390" s="22">
        <f>IFERROR(INDEX(_datos!$D$2:$D$401,MATCH(ROW()-13,_datos!$K$2:$K$401,0)),"")</f>
      </c>
      <c r="F390" s="21">
        <f>IFERROR(INDEX(_datos!$E$2:$E$401,MATCH(ROW()-13,_datos!$K$2:$K$401,0)),"")</f>
      </c>
      <c r="G390" s="23">
        <f>IFERROR(INDEX(_datos!$F$2:$F$401,MATCH(ROW()-13,_datos!$K$2:$K$401,0)),"")</f>
      </c>
      <c r="H390" s="21">
        <f>IFERROR(INDEX(_datos!$G$2:$G$401,MATCH(ROW()-13,_datos!$K$2:$K$401,0)),"")</f>
      </c>
      <c r="I390" s="24">
        <f>IFERROR(INDEX(_datos!$H$2:$H$401,MATCH(ROW()-13,_datos!$K$2:$K$401,0)),"")</f>
      </c>
      <c r="J390" s="22">
        <f>IFERROR(INDEX(_datos!$I$2:$I$401,MATCH(ROW()-13,_datos!$K$2:$K$401,0)),"")</f>
      </c>
      <c r="K390" s="44">
        <f>IFERROR(HYPERLINK(INDEX(_datos!$J$2:$J$401,MATCH(ROW()-13,_datos!$K$2:$K$401,0)),"abrir mapa"),"")</f>
      </c>
    </row>
    <row r="391" ht="18.75" customHeight="1" spans="2:11" x14ac:dyDescent="0.25">
      <c r="B391" s="20">
        <f>IFERROR(INDEX(_datos!$A$2:$A$401,MATCH(ROW()-13,_datos!$K$2:$K$401,0)),"")</f>
      </c>
      <c r="C391" s="22">
        <f>IFERROR(INDEX(_datos!$B$2:$B$401,MATCH(ROW()-13,_datos!$K$2:$K$401,0)),"")</f>
      </c>
      <c r="D391" s="43">
        <f>IFERROR(INDEX(_datos!$C$2:$C$401,MATCH(ROW()-13,_datos!$K$2:$K$401,0)),"")</f>
      </c>
      <c r="E391" s="22">
        <f>IFERROR(INDEX(_datos!$D$2:$D$401,MATCH(ROW()-13,_datos!$K$2:$K$401,0)),"")</f>
      </c>
      <c r="F391" s="21">
        <f>IFERROR(INDEX(_datos!$E$2:$E$401,MATCH(ROW()-13,_datos!$K$2:$K$401,0)),"")</f>
      </c>
      <c r="G391" s="23">
        <f>IFERROR(INDEX(_datos!$F$2:$F$401,MATCH(ROW()-13,_datos!$K$2:$K$401,0)),"")</f>
      </c>
      <c r="H391" s="21">
        <f>IFERROR(INDEX(_datos!$G$2:$G$401,MATCH(ROW()-13,_datos!$K$2:$K$401,0)),"")</f>
      </c>
      <c r="I391" s="24">
        <f>IFERROR(INDEX(_datos!$H$2:$H$401,MATCH(ROW()-13,_datos!$K$2:$K$401,0)),"")</f>
      </c>
      <c r="J391" s="22">
        <f>IFERROR(INDEX(_datos!$I$2:$I$401,MATCH(ROW()-13,_datos!$K$2:$K$401,0)),"")</f>
      </c>
      <c r="K391" s="44">
        <f>IFERROR(HYPERLINK(INDEX(_datos!$J$2:$J$401,MATCH(ROW()-13,_datos!$K$2:$K$401,0)),"abrir mapa"),"")</f>
      </c>
    </row>
    <row r="392" ht="18.75" customHeight="1" spans="2:11" x14ac:dyDescent="0.25">
      <c r="B392" s="20">
        <f>IFERROR(INDEX(_datos!$A$2:$A$401,MATCH(ROW()-13,_datos!$K$2:$K$401,0)),"")</f>
      </c>
      <c r="C392" s="22">
        <f>IFERROR(INDEX(_datos!$B$2:$B$401,MATCH(ROW()-13,_datos!$K$2:$K$401,0)),"")</f>
      </c>
      <c r="D392" s="43">
        <f>IFERROR(INDEX(_datos!$C$2:$C$401,MATCH(ROW()-13,_datos!$K$2:$K$401,0)),"")</f>
      </c>
      <c r="E392" s="22">
        <f>IFERROR(INDEX(_datos!$D$2:$D$401,MATCH(ROW()-13,_datos!$K$2:$K$401,0)),"")</f>
      </c>
      <c r="F392" s="21">
        <f>IFERROR(INDEX(_datos!$E$2:$E$401,MATCH(ROW()-13,_datos!$K$2:$K$401,0)),"")</f>
      </c>
      <c r="G392" s="23">
        <f>IFERROR(INDEX(_datos!$F$2:$F$401,MATCH(ROW()-13,_datos!$K$2:$K$401,0)),"")</f>
      </c>
      <c r="H392" s="21">
        <f>IFERROR(INDEX(_datos!$G$2:$G$401,MATCH(ROW()-13,_datos!$K$2:$K$401,0)),"")</f>
      </c>
      <c r="I392" s="24">
        <f>IFERROR(INDEX(_datos!$H$2:$H$401,MATCH(ROW()-13,_datos!$K$2:$K$401,0)),"")</f>
      </c>
      <c r="J392" s="22">
        <f>IFERROR(INDEX(_datos!$I$2:$I$401,MATCH(ROW()-13,_datos!$K$2:$K$401,0)),"")</f>
      </c>
      <c r="K392" s="44">
        <f>IFERROR(HYPERLINK(INDEX(_datos!$J$2:$J$401,MATCH(ROW()-13,_datos!$K$2:$K$401,0)),"abrir mapa"),"")</f>
      </c>
    </row>
    <row r="393" ht="18.75" customHeight="1" spans="2:11" x14ac:dyDescent="0.25">
      <c r="B393" s="20">
        <f>IFERROR(INDEX(_datos!$A$2:$A$401,MATCH(ROW()-13,_datos!$K$2:$K$401,0)),"")</f>
      </c>
      <c r="C393" s="22">
        <f>IFERROR(INDEX(_datos!$B$2:$B$401,MATCH(ROW()-13,_datos!$K$2:$K$401,0)),"")</f>
      </c>
      <c r="D393" s="43">
        <f>IFERROR(INDEX(_datos!$C$2:$C$401,MATCH(ROW()-13,_datos!$K$2:$K$401,0)),"")</f>
      </c>
      <c r="E393" s="22">
        <f>IFERROR(INDEX(_datos!$D$2:$D$401,MATCH(ROW()-13,_datos!$K$2:$K$401,0)),"")</f>
      </c>
      <c r="F393" s="21">
        <f>IFERROR(INDEX(_datos!$E$2:$E$401,MATCH(ROW()-13,_datos!$K$2:$K$401,0)),"")</f>
      </c>
      <c r="G393" s="23">
        <f>IFERROR(INDEX(_datos!$F$2:$F$401,MATCH(ROW()-13,_datos!$K$2:$K$401,0)),"")</f>
      </c>
      <c r="H393" s="21">
        <f>IFERROR(INDEX(_datos!$G$2:$G$401,MATCH(ROW()-13,_datos!$K$2:$K$401,0)),"")</f>
      </c>
      <c r="I393" s="24">
        <f>IFERROR(INDEX(_datos!$H$2:$H$401,MATCH(ROW()-13,_datos!$K$2:$K$401,0)),"")</f>
      </c>
      <c r="J393" s="22">
        <f>IFERROR(INDEX(_datos!$I$2:$I$401,MATCH(ROW()-13,_datos!$K$2:$K$401,0)),"")</f>
      </c>
      <c r="K393" s="44">
        <f>IFERROR(HYPERLINK(INDEX(_datos!$J$2:$J$401,MATCH(ROW()-13,_datos!$K$2:$K$401,0)),"abrir mapa"),"")</f>
      </c>
    </row>
    <row r="394" ht="18.75" customHeight="1" spans="2:11" x14ac:dyDescent="0.25">
      <c r="B394" s="20">
        <f>IFERROR(INDEX(_datos!$A$2:$A$401,MATCH(ROW()-13,_datos!$K$2:$K$401,0)),"")</f>
      </c>
      <c r="C394" s="22">
        <f>IFERROR(INDEX(_datos!$B$2:$B$401,MATCH(ROW()-13,_datos!$K$2:$K$401,0)),"")</f>
      </c>
      <c r="D394" s="43">
        <f>IFERROR(INDEX(_datos!$C$2:$C$401,MATCH(ROW()-13,_datos!$K$2:$K$401,0)),"")</f>
      </c>
      <c r="E394" s="22">
        <f>IFERROR(INDEX(_datos!$D$2:$D$401,MATCH(ROW()-13,_datos!$K$2:$K$401,0)),"")</f>
      </c>
      <c r="F394" s="21">
        <f>IFERROR(INDEX(_datos!$E$2:$E$401,MATCH(ROW()-13,_datos!$K$2:$K$401,0)),"")</f>
      </c>
      <c r="G394" s="23">
        <f>IFERROR(INDEX(_datos!$F$2:$F$401,MATCH(ROW()-13,_datos!$K$2:$K$401,0)),"")</f>
      </c>
      <c r="H394" s="21">
        <f>IFERROR(INDEX(_datos!$G$2:$G$401,MATCH(ROW()-13,_datos!$K$2:$K$401,0)),"")</f>
      </c>
      <c r="I394" s="24">
        <f>IFERROR(INDEX(_datos!$H$2:$H$401,MATCH(ROW()-13,_datos!$K$2:$K$401,0)),"")</f>
      </c>
      <c r="J394" s="22">
        <f>IFERROR(INDEX(_datos!$I$2:$I$401,MATCH(ROW()-13,_datos!$K$2:$K$401,0)),"")</f>
      </c>
      <c r="K394" s="44">
        <f>IFERROR(HYPERLINK(INDEX(_datos!$J$2:$J$401,MATCH(ROW()-13,_datos!$K$2:$K$401,0)),"abrir mapa"),"")</f>
      </c>
    </row>
    <row r="395" ht="18.75" customHeight="1" spans="2:11" x14ac:dyDescent="0.25">
      <c r="B395" s="20">
        <f>IFERROR(INDEX(_datos!$A$2:$A$401,MATCH(ROW()-13,_datos!$K$2:$K$401,0)),"")</f>
      </c>
      <c r="C395" s="22">
        <f>IFERROR(INDEX(_datos!$B$2:$B$401,MATCH(ROW()-13,_datos!$K$2:$K$401,0)),"")</f>
      </c>
      <c r="D395" s="43">
        <f>IFERROR(INDEX(_datos!$C$2:$C$401,MATCH(ROW()-13,_datos!$K$2:$K$401,0)),"")</f>
      </c>
      <c r="E395" s="22">
        <f>IFERROR(INDEX(_datos!$D$2:$D$401,MATCH(ROW()-13,_datos!$K$2:$K$401,0)),"")</f>
      </c>
      <c r="F395" s="21">
        <f>IFERROR(INDEX(_datos!$E$2:$E$401,MATCH(ROW()-13,_datos!$K$2:$K$401,0)),"")</f>
      </c>
      <c r="G395" s="23">
        <f>IFERROR(INDEX(_datos!$F$2:$F$401,MATCH(ROW()-13,_datos!$K$2:$K$401,0)),"")</f>
      </c>
      <c r="H395" s="21">
        <f>IFERROR(INDEX(_datos!$G$2:$G$401,MATCH(ROW()-13,_datos!$K$2:$K$401,0)),"")</f>
      </c>
      <c r="I395" s="24">
        <f>IFERROR(INDEX(_datos!$H$2:$H$401,MATCH(ROW()-13,_datos!$K$2:$K$401,0)),"")</f>
      </c>
      <c r="J395" s="22">
        <f>IFERROR(INDEX(_datos!$I$2:$I$401,MATCH(ROW()-13,_datos!$K$2:$K$401,0)),"")</f>
      </c>
      <c r="K395" s="44">
        <f>IFERROR(HYPERLINK(INDEX(_datos!$J$2:$J$401,MATCH(ROW()-13,_datos!$K$2:$K$401,0)),"abrir mapa"),"")</f>
      </c>
    </row>
    <row r="396" ht="18.75" customHeight="1" spans="2:11" x14ac:dyDescent="0.25">
      <c r="B396" s="20">
        <f>IFERROR(INDEX(_datos!$A$2:$A$401,MATCH(ROW()-13,_datos!$K$2:$K$401,0)),"")</f>
      </c>
      <c r="C396" s="22">
        <f>IFERROR(INDEX(_datos!$B$2:$B$401,MATCH(ROW()-13,_datos!$K$2:$K$401,0)),"")</f>
      </c>
      <c r="D396" s="43">
        <f>IFERROR(INDEX(_datos!$C$2:$C$401,MATCH(ROW()-13,_datos!$K$2:$K$401,0)),"")</f>
      </c>
      <c r="E396" s="22">
        <f>IFERROR(INDEX(_datos!$D$2:$D$401,MATCH(ROW()-13,_datos!$K$2:$K$401,0)),"")</f>
      </c>
      <c r="F396" s="21">
        <f>IFERROR(INDEX(_datos!$E$2:$E$401,MATCH(ROW()-13,_datos!$K$2:$K$401,0)),"")</f>
      </c>
      <c r="G396" s="23">
        <f>IFERROR(INDEX(_datos!$F$2:$F$401,MATCH(ROW()-13,_datos!$K$2:$K$401,0)),"")</f>
      </c>
      <c r="H396" s="21">
        <f>IFERROR(INDEX(_datos!$G$2:$G$401,MATCH(ROW()-13,_datos!$K$2:$K$401,0)),"")</f>
      </c>
      <c r="I396" s="24">
        <f>IFERROR(INDEX(_datos!$H$2:$H$401,MATCH(ROW()-13,_datos!$K$2:$K$401,0)),"")</f>
      </c>
      <c r="J396" s="22">
        <f>IFERROR(INDEX(_datos!$I$2:$I$401,MATCH(ROW()-13,_datos!$K$2:$K$401,0)),"")</f>
      </c>
      <c r="K396" s="44">
        <f>IFERROR(HYPERLINK(INDEX(_datos!$J$2:$J$401,MATCH(ROW()-13,_datos!$K$2:$K$401,0)),"abrir mapa"),"")</f>
      </c>
    </row>
    <row r="397" ht="18.75" customHeight="1" spans="2:11" x14ac:dyDescent="0.25">
      <c r="B397" s="20">
        <f>IFERROR(INDEX(_datos!$A$2:$A$401,MATCH(ROW()-13,_datos!$K$2:$K$401,0)),"")</f>
      </c>
      <c r="C397" s="22">
        <f>IFERROR(INDEX(_datos!$B$2:$B$401,MATCH(ROW()-13,_datos!$K$2:$K$401,0)),"")</f>
      </c>
      <c r="D397" s="43">
        <f>IFERROR(INDEX(_datos!$C$2:$C$401,MATCH(ROW()-13,_datos!$K$2:$K$401,0)),"")</f>
      </c>
      <c r="E397" s="22">
        <f>IFERROR(INDEX(_datos!$D$2:$D$401,MATCH(ROW()-13,_datos!$K$2:$K$401,0)),"")</f>
      </c>
      <c r="F397" s="21">
        <f>IFERROR(INDEX(_datos!$E$2:$E$401,MATCH(ROW()-13,_datos!$K$2:$K$401,0)),"")</f>
      </c>
      <c r="G397" s="23">
        <f>IFERROR(INDEX(_datos!$F$2:$F$401,MATCH(ROW()-13,_datos!$K$2:$K$401,0)),"")</f>
      </c>
      <c r="H397" s="21">
        <f>IFERROR(INDEX(_datos!$G$2:$G$401,MATCH(ROW()-13,_datos!$K$2:$K$401,0)),"")</f>
      </c>
      <c r="I397" s="24">
        <f>IFERROR(INDEX(_datos!$H$2:$H$401,MATCH(ROW()-13,_datos!$K$2:$K$401,0)),"")</f>
      </c>
      <c r="J397" s="22">
        <f>IFERROR(INDEX(_datos!$I$2:$I$401,MATCH(ROW()-13,_datos!$K$2:$K$401,0)),"")</f>
      </c>
      <c r="K397" s="44">
        <f>IFERROR(HYPERLINK(INDEX(_datos!$J$2:$J$401,MATCH(ROW()-13,_datos!$K$2:$K$401,0)),"abrir mapa"),"")</f>
      </c>
    </row>
    <row r="398" ht="18.75" customHeight="1" spans="2:11" x14ac:dyDescent="0.25">
      <c r="B398" s="20">
        <f>IFERROR(INDEX(_datos!$A$2:$A$401,MATCH(ROW()-13,_datos!$K$2:$K$401,0)),"")</f>
      </c>
      <c r="C398" s="22">
        <f>IFERROR(INDEX(_datos!$B$2:$B$401,MATCH(ROW()-13,_datos!$K$2:$K$401,0)),"")</f>
      </c>
      <c r="D398" s="43">
        <f>IFERROR(INDEX(_datos!$C$2:$C$401,MATCH(ROW()-13,_datos!$K$2:$K$401,0)),"")</f>
      </c>
      <c r="E398" s="22">
        <f>IFERROR(INDEX(_datos!$D$2:$D$401,MATCH(ROW()-13,_datos!$K$2:$K$401,0)),"")</f>
      </c>
      <c r="F398" s="21">
        <f>IFERROR(INDEX(_datos!$E$2:$E$401,MATCH(ROW()-13,_datos!$K$2:$K$401,0)),"")</f>
      </c>
      <c r="G398" s="23">
        <f>IFERROR(INDEX(_datos!$F$2:$F$401,MATCH(ROW()-13,_datos!$K$2:$K$401,0)),"")</f>
      </c>
      <c r="H398" s="21">
        <f>IFERROR(INDEX(_datos!$G$2:$G$401,MATCH(ROW()-13,_datos!$K$2:$K$401,0)),"")</f>
      </c>
      <c r="I398" s="24">
        <f>IFERROR(INDEX(_datos!$H$2:$H$401,MATCH(ROW()-13,_datos!$K$2:$K$401,0)),"")</f>
      </c>
      <c r="J398" s="22">
        <f>IFERROR(INDEX(_datos!$I$2:$I$401,MATCH(ROW()-13,_datos!$K$2:$K$401,0)),"")</f>
      </c>
      <c r="K398" s="44">
        <f>IFERROR(HYPERLINK(INDEX(_datos!$J$2:$J$401,MATCH(ROW()-13,_datos!$K$2:$K$401,0)),"abrir mapa"),"")</f>
      </c>
    </row>
    <row r="399" ht="18.75" customHeight="1" spans="2:11" x14ac:dyDescent="0.25">
      <c r="B399" s="20">
        <f>IFERROR(INDEX(_datos!$A$2:$A$401,MATCH(ROW()-13,_datos!$K$2:$K$401,0)),"")</f>
      </c>
      <c r="C399" s="22">
        <f>IFERROR(INDEX(_datos!$B$2:$B$401,MATCH(ROW()-13,_datos!$K$2:$K$401,0)),"")</f>
      </c>
      <c r="D399" s="43">
        <f>IFERROR(INDEX(_datos!$C$2:$C$401,MATCH(ROW()-13,_datos!$K$2:$K$401,0)),"")</f>
      </c>
      <c r="E399" s="22">
        <f>IFERROR(INDEX(_datos!$D$2:$D$401,MATCH(ROW()-13,_datos!$K$2:$K$401,0)),"")</f>
      </c>
      <c r="F399" s="21">
        <f>IFERROR(INDEX(_datos!$E$2:$E$401,MATCH(ROW()-13,_datos!$K$2:$K$401,0)),"")</f>
      </c>
      <c r="G399" s="23">
        <f>IFERROR(INDEX(_datos!$F$2:$F$401,MATCH(ROW()-13,_datos!$K$2:$K$401,0)),"")</f>
      </c>
      <c r="H399" s="21">
        <f>IFERROR(INDEX(_datos!$G$2:$G$401,MATCH(ROW()-13,_datos!$K$2:$K$401,0)),"")</f>
      </c>
      <c r="I399" s="24">
        <f>IFERROR(INDEX(_datos!$H$2:$H$401,MATCH(ROW()-13,_datos!$K$2:$K$401,0)),"")</f>
      </c>
      <c r="J399" s="22">
        <f>IFERROR(INDEX(_datos!$I$2:$I$401,MATCH(ROW()-13,_datos!$K$2:$K$401,0)),"")</f>
      </c>
      <c r="K399" s="44">
        <f>IFERROR(HYPERLINK(INDEX(_datos!$J$2:$J$401,MATCH(ROW()-13,_datos!$K$2:$K$401,0)),"abrir mapa"),"")</f>
      </c>
    </row>
    <row r="400" ht="18.75" customHeight="1" spans="2:11" x14ac:dyDescent="0.25">
      <c r="B400" s="20">
        <f>IFERROR(INDEX(_datos!$A$2:$A$401,MATCH(ROW()-13,_datos!$K$2:$K$401,0)),"")</f>
      </c>
      <c r="C400" s="22">
        <f>IFERROR(INDEX(_datos!$B$2:$B$401,MATCH(ROW()-13,_datos!$K$2:$K$401,0)),"")</f>
      </c>
      <c r="D400" s="43">
        <f>IFERROR(INDEX(_datos!$C$2:$C$401,MATCH(ROW()-13,_datos!$K$2:$K$401,0)),"")</f>
      </c>
      <c r="E400" s="22">
        <f>IFERROR(INDEX(_datos!$D$2:$D$401,MATCH(ROW()-13,_datos!$K$2:$K$401,0)),"")</f>
      </c>
      <c r="F400" s="21">
        <f>IFERROR(INDEX(_datos!$E$2:$E$401,MATCH(ROW()-13,_datos!$K$2:$K$401,0)),"")</f>
      </c>
      <c r="G400" s="23">
        <f>IFERROR(INDEX(_datos!$F$2:$F$401,MATCH(ROW()-13,_datos!$K$2:$K$401,0)),"")</f>
      </c>
      <c r="H400" s="21">
        <f>IFERROR(INDEX(_datos!$G$2:$G$401,MATCH(ROW()-13,_datos!$K$2:$K$401,0)),"")</f>
      </c>
      <c r="I400" s="24">
        <f>IFERROR(INDEX(_datos!$H$2:$H$401,MATCH(ROW()-13,_datos!$K$2:$K$401,0)),"")</f>
      </c>
      <c r="J400" s="22">
        <f>IFERROR(INDEX(_datos!$I$2:$I$401,MATCH(ROW()-13,_datos!$K$2:$K$401,0)),"")</f>
      </c>
      <c r="K400" s="44">
        <f>IFERROR(HYPERLINK(INDEX(_datos!$J$2:$J$401,MATCH(ROW()-13,_datos!$K$2:$K$401,0)),"abrir mapa"),"")</f>
      </c>
    </row>
    <row r="401" ht="18.75" customHeight="1" spans="2:11" x14ac:dyDescent="0.25">
      <c r="B401" s="20">
        <f>IFERROR(INDEX(_datos!$A$2:$A$401,MATCH(ROW()-13,_datos!$K$2:$K$401,0)),"")</f>
      </c>
      <c r="C401" s="22">
        <f>IFERROR(INDEX(_datos!$B$2:$B$401,MATCH(ROW()-13,_datos!$K$2:$K$401,0)),"")</f>
      </c>
      <c r="D401" s="43">
        <f>IFERROR(INDEX(_datos!$C$2:$C$401,MATCH(ROW()-13,_datos!$K$2:$K$401,0)),"")</f>
      </c>
      <c r="E401" s="22">
        <f>IFERROR(INDEX(_datos!$D$2:$D$401,MATCH(ROW()-13,_datos!$K$2:$K$401,0)),"")</f>
      </c>
      <c r="F401" s="21">
        <f>IFERROR(INDEX(_datos!$E$2:$E$401,MATCH(ROW()-13,_datos!$K$2:$K$401,0)),"")</f>
      </c>
      <c r="G401" s="23">
        <f>IFERROR(INDEX(_datos!$F$2:$F$401,MATCH(ROW()-13,_datos!$K$2:$K$401,0)),"")</f>
      </c>
      <c r="H401" s="21">
        <f>IFERROR(INDEX(_datos!$G$2:$G$401,MATCH(ROW()-13,_datos!$K$2:$K$401,0)),"")</f>
      </c>
      <c r="I401" s="24">
        <f>IFERROR(INDEX(_datos!$H$2:$H$401,MATCH(ROW()-13,_datos!$K$2:$K$401,0)),"")</f>
      </c>
      <c r="J401" s="22">
        <f>IFERROR(INDEX(_datos!$I$2:$I$401,MATCH(ROW()-13,_datos!$K$2:$K$401,0)),"")</f>
      </c>
      <c r="K401" s="44">
        <f>IFERROR(HYPERLINK(INDEX(_datos!$J$2:$J$401,MATCH(ROW()-13,_datos!$K$2:$K$401,0)),"abrir mapa"),"")</f>
      </c>
    </row>
    <row r="402" ht="18.75" customHeight="1" spans="2:11" x14ac:dyDescent="0.25">
      <c r="B402" s="20">
        <f>IFERROR(INDEX(_datos!$A$2:$A$401,MATCH(ROW()-13,_datos!$K$2:$K$401,0)),"")</f>
      </c>
      <c r="C402" s="22">
        <f>IFERROR(INDEX(_datos!$B$2:$B$401,MATCH(ROW()-13,_datos!$K$2:$K$401,0)),"")</f>
      </c>
      <c r="D402" s="43">
        <f>IFERROR(INDEX(_datos!$C$2:$C$401,MATCH(ROW()-13,_datos!$K$2:$K$401,0)),"")</f>
      </c>
      <c r="E402" s="22">
        <f>IFERROR(INDEX(_datos!$D$2:$D$401,MATCH(ROW()-13,_datos!$K$2:$K$401,0)),"")</f>
      </c>
      <c r="F402" s="21">
        <f>IFERROR(INDEX(_datos!$E$2:$E$401,MATCH(ROW()-13,_datos!$K$2:$K$401,0)),"")</f>
      </c>
      <c r="G402" s="23">
        <f>IFERROR(INDEX(_datos!$F$2:$F$401,MATCH(ROW()-13,_datos!$K$2:$K$401,0)),"")</f>
      </c>
      <c r="H402" s="21">
        <f>IFERROR(INDEX(_datos!$G$2:$G$401,MATCH(ROW()-13,_datos!$K$2:$K$401,0)),"")</f>
      </c>
      <c r="I402" s="24">
        <f>IFERROR(INDEX(_datos!$H$2:$H$401,MATCH(ROW()-13,_datos!$K$2:$K$401,0)),"")</f>
      </c>
      <c r="J402" s="22">
        <f>IFERROR(INDEX(_datos!$I$2:$I$401,MATCH(ROW()-13,_datos!$K$2:$K$401,0)),"")</f>
      </c>
      <c r="K402" s="44">
        <f>IFERROR(HYPERLINK(INDEX(_datos!$J$2:$J$401,MATCH(ROW()-13,_datos!$K$2:$K$401,0)),"abrir mapa"),"")</f>
      </c>
    </row>
    <row r="403" ht="18.75" customHeight="1" spans="2:11" x14ac:dyDescent="0.25">
      <c r="B403" s="20">
        <f>IFERROR(INDEX(_datos!$A$2:$A$401,MATCH(ROW()-13,_datos!$K$2:$K$401,0)),"")</f>
      </c>
      <c r="C403" s="22">
        <f>IFERROR(INDEX(_datos!$B$2:$B$401,MATCH(ROW()-13,_datos!$K$2:$K$401,0)),"")</f>
      </c>
      <c r="D403" s="43">
        <f>IFERROR(INDEX(_datos!$C$2:$C$401,MATCH(ROW()-13,_datos!$K$2:$K$401,0)),"")</f>
      </c>
      <c r="E403" s="22">
        <f>IFERROR(INDEX(_datos!$D$2:$D$401,MATCH(ROW()-13,_datos!$K$2:$K$401,0)),"")</f>
      </c>
      <c r="F403" s="21">
        <f>IFERROR(INDEX(_datos!$E$2:$E$401,MATCH(ROW()-13,_datos!$K$2:$K$401,0)),"")</f>
      </c>
      <c r="G403" s="23">
        <f>IFERROR(INDEX(_datos!$F$2:$F$401,MATCH(ROW()-13,_datos!$K$2:$K$401,0)),"")</f>
      </c>
      <c r="H403" s="21">
        <f>IFERROR(INDEX(_datos!$G$2:$G$401,MATCH(ROW()-13,_datos!$K$2:$K$401,0)),"")</f>
      </c>
      <c r="I403" s="24">
        <f>IFERROR(INDEX(_datos!$H$2:$H$401,MATCH(ROW()-13,_datos!$K$2:$K$401,0)),"")</f>
      </c>
      <c r="J403" s="22">
        <f>IFERROR(INDEX(_datos!$I$2:$I$401,MATCH(ROW()-13,_datos!$K$2:$K$401,0)),"")</f>
      </c>
      <c r="K403" s="44">
        <f>IFERROR(HYPERLINK(INDEX(_datos!$J$2:$J$401,MATCH(ROW()-13,_datos!$K$2:$K$401,0)),"abrir mapa"),"")</f>
      </c>
    </row>
    <row r="404" ht="18.75" customHeight="1" spans="2:11" x14ac:dyDescent="0.25">
      <c r="B404" s="20">
        <f>IFERROR(INDEX(_datos!$A$2:$A$401,MATCH(ROW()-13,_datos!$K$2:$K$401,0)),"")</f>
      </c>
      <c r="C404" s="22">
        <f>IFERROR(INDEX(_datos!$B$2:$B$401,MATCH(ROW()-13,_datos!$K$2:$K$401,0)),"")</f>
      </c>
      <c r="D404" s="43">
        <f>IFERROR(INDEX(_datos!$C$2:$C$401,MATCH(ROW()-13,_datos!$K$2:$K$401,0)),"")</f>
      </c>
      <c r="E404" s="22">
        <f>IFERROR(INDEX(_datos!$D$2:$D$401,MATCH(ROW()-13,_datos!$K$2:$K$401,0)),"")</f>
      </c>
      <c r="F404" s="21">
        <f>IFERROR(INDEX(_datos!$E$2:$E$401,MATCH(ROW()-13,_datos!$K$2:$K$401,0)),"")</f>
      </c>
      <c r="G404" s="23">
        <f>IFERROR(INDEX(_datos!$F$2:$F$401,MATCH(ROW()-13,_datos!$K$2:$K$401,0)),"")</f>
      </c>
      <c r="H404" s="21">
        <f>IFERROR(INDEX(_datos!$G$2:$G$401,MATCH(ROW()-13,_datos!$K$2:$K$401,0)),"")</f>
      </c>
      <c r="I404" s="24">
        <f>IFERROR(INDEX(_datos!$H$2:$H$401,MATCH(ROW()-13,_datos!$K$2:$K$401,0)),"")</f>
      </c>
      <c r="J404" s="22">
        <f>IFERROR(INDEX(_datos!$I$2:$I$401,MATCH(ROW()-13,_datos!$K$2:$K$401,0)),"")</f>
      </c>
      <c r="K404" s="44">
        <f>IFERROR(HYPERLINK(INDEX(_datos!$J$2:$J$401,MATCH(ROW()-13,_datos!$K$2:$K$401,0)),"abrir mapa"),"")</f>
      </c>
    </row>
    <row r="405" ht="18.75" customHeight="1" spans="2:11" x14ac:dyDescent="0.25">
      <c r="B405" s="20">
        <f>IFERROR(INDEX(_datos!$A$2:$A$401,MATCH(ROW()-13,_datos!$K$2:$K$401,0)),"")</f>
      </c>
      <c r="C405" s="22">
        <f>IFERROR(INDEX(_datos!$B$2:$B$401,MATCH(ROW()-13,_datos!$K$2:$K$401,0)),"")</f>
      </c>
      <c r="D405" s="43">
        <f>IFERROR(INDEX(_datos!$C$2:$C$401,MATCH(ROW()-13,_datos!$K$2:$K$401,0)),"")</f>
      </c>
      <c r="E405" s="22">
        <f>IFERROR(INDEX(_datos!$D$2:$D$401,MATCH(ROW()-13,_datos!$K$2:$K$401,0)),"")</f>
      </c>
      <c r="F405" s="21">
        <f>IFERROR(INDEX(_datos!$E$2:$E$401,MATCH(ROW()-13,_datos!$K$2:$K$401,0)),"")</f>
      </c>
      <c r="G405" s="23">
        <f>IFERROR(INDEX(_datos!$F$2:$F$401,MATCH(ROW()-13,_datos!$K$2:$K$401,0)),"")</f>
      </c>
      <c r="H405" s="21">
        <f>IFERROR(INDEX(_datos!$G$2:$G$401,MATCH(ROW()-13,_datos!$K$2:$K$401,0)),"")</f>
      </c>
      <c r="I405" s="24">
        <f>IFERROR(INDEX(_datos!$H$2:$H$401,MATCH(ROW()-13,_datos!$K$2:$K$401,0)),"")</f>
      </c>
      <c r="J405" s="22">
        <f>IFERROR(INDEX(_datos!$I$2:$I$401,MATCH(ROW()-13,_datos!$K$2:$K$401,0)),"")</f>
      </c>
      <c r="K405" s="44">
        <f>IFERROR(HYPERLINK(INDEX(_datos!$J$2:$J$401,MATCH(ROW()-13,_datos!$K$2:$K$401,0)),"abrir mapa"),"")</f>
      </c>
    </row>
    <row r="406" ht="18.75" customHeight="1" spans="2:11" x14ac:dyDescent="0.25">
      <c r="B406" s="20">
        <f>IFERROR(INDEX(_datos!$A$2:$A$401,MATCH(ROW()-13,_datos!$K$2:$K$401,0)),"")</f>
      </c>
      <c r="C406" s="22">
        <f>IFERROR(INDEX(_datos!$B$2:$B$401,MATCH(ROW()-13,_datos!$K$2:$K$401,0)),"")</f>
      </c>
      <c r="D406" s="43">
        <f>IFERROR(INDEX(_datos!$C$2:$C$401,MATCH(ROW()-13,_datos!$K$2:$K$401,0)),"")</f>
      </c>
      <c r="E406" s="22">
        <f>IFERROR(INDEX(_datos!$D$2:$D$401,MATCH(ROW()-13,_datos!$K$2:$K$401,0)),"")</f>
      </c>
      <c r="F406" s="21">
        <f>IFERROR(INDEX(_datos!$E$2:$E$401,MATCH(ROW()-13,_datos!$K$2:$K$401,0)),"")</f>
      </c>
      <c r="G406" s="23">
        <f>IFERROR(INDEX(_datos!$F$2:$F$401,MATCH(ROW()-13,_datos!$K$2:$K$401,0)),"")</f>
      </c>
      <c r="H406" s="21">
        <f>IFERROR(INDEX(_datos!$G$2:$G$401,MATCH(ROW()-13,_datos!$K$2:$K$401,0)),"")</f>
      </c>
      <c r="I406" s="24">
        <f>IFERROR(INDEX(_datos!$H$2:$H$401,MATCH(ROW()-13,_datos!$K$2:$K$401,0)),"")</f>
      </c>
      <c r="J406" s="22">
        <f>IFERROR(INDEX(_datos!$I$2:$I$401,MATCH(ROW()-13,_datos!$K$2:$K$401,0)),"")</f>
      </c>
      <c r="K406" s="44">
        <f>IFERROR(HYPERLINK(INDEX(_datos!$J$2:$J$401,MATCH(ROW()-13,_datos!$K$2:$K$401,0)),"abrir mapa"),"")</f>
      </c>
    </row>
    <row r="407" ht="18.75" customHeight="1" spans="2:11" x14ac:dyDescent="0.25">
      <c r="B407" s="20">
        <f>IFERROR(INDEX(_datos!$A$2:$A$401,MATCH(ROW()-13,_datos!$K$2:$K$401,0)),"")</f>
      </c>
      <c r="C407" s="22">
        <f>IFERROR(INDEX(_datos!$B$2:$B$401,MATCH(ROW()-13,_datos!$K$2:$K$401,0)),"")</f>
      </c>
      <c r="D407" s="43">
        <f>IFERROR(INDEX(_datos!$C$2:$C$401,MATCH(ROW()-13,_datos!$K$2:$K$401,0)),"")</f>
      </c>
      <c r="E407" s="22">
        <f>IFERROR(INDEX(_datos!$D$2:$D$401,MATCH(ROW()-13,_datos!$K$2:$K$401,0)),"")</f>
      </c>
      <c r="F407" s="21">
        <f>IFERROR(INDEX(_datos!$E$2:$E$401,MATCH(ROW()-13,_datos!$K$2:$K$401,0)),"")</f>
      </c>
      <c r="G407" s="23">
        <f>IFERROR(INDEX(_datos!$F$2:$F$401,MATCH(ROW()-13,_datos!$K$2:$K$401,0)),"")</f>
      </c>
      <c r="H407" s="21">
        <f>IFERROR(INDEX(_datos!$G$2:$G$401,MATCH(ROW()-13,_datos!$K$2:$K$401,0)),"")</f>
      </c>
      <c r="I407" s="24">
        <f>IFERROR(INDEX(_datos!$H$2:$H$401,MATCH(ROW()-13,_datos!$K$2:$K$401,0)),"")</f>
      </c>
      <c r="J407" s="22">
        <f>IFERROR(INDEX(_datos!$I$2:$I$401,MATCH(ROW()-13,_datos!$K$2:$K$401,0)),"")</f>
      </c>
      <c r="K407" s="44">
        <f>IFERROR(HYPERLINK(INDEX(_datos!$J$2:$J$401,MATCH(ROW()-13,_datos!$K$2:$K$401,0)),"abrir mapa"),"")</f>
      </c>
    </row>
    <row r="408" ht="18.75" customHeight="1" spans="2:11" x14ac:dyDescent="0.25">
      <c r="B408" s="20">
        <f>IFERROR(INDEX(_datos!$A$2:$A$401,MATCH(ROW()-13,_datos!$K$2:$K$401,0)),"")</f>
      </c>
      <c r="C408" s="22">
        <f>IFERROR(INDEX(_datos!$B$2:$B$401,MATCH(ROW()-13,_datos!$K$2:$K$401,0)),"")</f>
      </c>
      <c r="D408" s="43">
        <f>IFERROR(INDEX(_datos!$C$2:$C$401,MATCH(ROW()-13,_datos!$K$2:$K$401,0)),"")</f>
      </c>
      <c r="E408" s="22">
        <f>IFERROR(INDEX(_datos!$D$2:$D$401,MATCH(ROW()-13,_datos!$K$2:$K$401,0)),"")</f>
      </c>
      <c r="F408" s="21">
        <f>IFERROR(INDEX(_datos!$E$2:$E$401,MATCH(ROW()-13,_datos!$K$2:$K$401,0)),"")</f>
      </c>
      <c r="G408" s="23">
        <f>IFERROR(INDEX(_datos!$F$2:$F$401,MATCH(ROW()-13,_datos!$K$2:$K$401,0)),"")</f>
      </c>
      <c r="H408" s="21">
        <f>IFERROR(INDEX(_datos!$G$2:$G$401,MATCH(ROW()-13,_datos!$K$2:$K$401,0)),"")</f>
      </c>
      <c r="I408" s="24">
        <f>IFERROR(INDEX(_datos!$H$2:$H$401,MATCH(ROW()-13,_datos!$K$2:$K$401,0)),"")</f>
      </c>
      <c r="J408" s="22">
        <f>IFERROR(INDEX(_datos!$I$2:$I$401,MATCH(ROW()-13,_datos!$K$2:$K$401,0)),"")</f>
      </c>
      <c r="K408" s="44">
        <f>IFERROR(HYPERLINK(INDEX(_datos!$J$2:$J$401,MATCH(ROW()-13,_datos!$K$2:$K$401,0)),"abrir mapa"),"")</f>
      </c>
    </row>
    <row r="409" ht="18.75" customHeight="1" spans="2:11" x14ac:dyDescent="0.25">
      <c r="B409" s="20">
        <f>IFERROR(INDEX(_datos!$A$2:$A$401,MATCH(ROW()-13,_datos!$K$2:$K$401,0)),"")</f>
      </c>
      <c r="C409" s="22">
        <f>IFERROR(INDEX(_datos!$B$2:$B$401,MATCH(ROW()-13,_datos!$K$2:$K$401,0)),"")</f>
      </c>
      <c r="D409" s="43">
        <f>IFERROR(INDEX(_datos!$C$2:$C$401,MATCH(ROW()-13,_datos!$K$2:$K$401,0)),"")</f>
      </c>
      <c r="E409" s="22">
        <f>IFERROR(INDEX(_datos!$D$2:$D$401,MATCH(ROW()-13,_datos!$K$2:$K$401,0)),"")</f>
      </c>
      <c r="F409" s="21">
        <f>IFERROR(INDEX(_datos!$E$2:$E$401,MATCH(ROW()-13,_datos!$K$2:$K$401,0)),"")</f>
      </c>
      <c r="G409" s="23">
        <f>IFERROR(INDEX(_datos!$F$2:$F$401,MATCH(ROW()-13,_datos!$K$2:$K$401,0)),"")</f>
      </c>
      <c r="H409" s="21">
        <f>IFERROR(INDEX(_datos!$G$2:$G$401,MATCH(ROW()-13,_datos!$K$2:$K$401,0)),"")</f>
      </c>
      <c r="I409" s="24">
        <f>IFERROR(INDEX(_datos!$H$2:$H$401,MATCH(ROW()-13,_datos!$K$2:$K$401,0)),"")</f>
      </c>
      <c r="J409" s="22">
        <f>IFERROR(INDEX(_datos!$I$2:$I$401,MATCH(ROW()-13,_datos!$K$2:$K$401,0)),"")</f>
      </c>
      <c r="K409" s="44">
        <f>IFERROR(HYPERLINK(INDEX(_datos!$J$2:$J$401,MATCH(ROW()-13,_datos!$K$2:$K$401,0)),"abrir mapa"),"")</f>
      </c>
    </row>
    <row r="410" ht="18.75" customHeight="1" spans="2:11" x14ac:dyDescent="0.25">
      <c r="B410" s="20">
        <f>IFERROR(INDEX(_datos!$A$2:$A$401,MATCH(ROW()-13,_datos!$K$2:$K$401,0)),"")</f>
      </c>
      <c r="C410" s="22">
        <f>IFERROR(INDEX(_datos!$B$2:$B$401,MATCH(ROW()-13,_datos!$K$2:$K$401,0)),"")</f>
      </c>
      <c r="D410" s="43">
        <f>IFERROR(INDEX(_datos!$C$2:$C$401,MATCH(ROW()-13,_datos!$K$2:$K$401,0)),"")</f>
      </c>
      <c r="E410" s="22">
        <f>IFERROR(INDEX(_datos!$D$2:$D$401,MATCH(ROW()-13,_datos!$K$2:$K$401,0)),"")</f>
      </c>
      <c r="F410" s="21">
        <f>IFERROR(INDEX(_datos!$E$2:$E$401,MATCH(ROW()-13,_datos!$K$2:$K$401,0)),"")</f>
      </c>
      <c r="G410" s="23">
        <f>IFERROR(INDEX(_datos!$F$2:$F$401,MATCH(ROW()-13,_datos!$K$2:$K$401,0)),"")</f>
      </c>
      <c r="H410" s="21">
        <f>IFERROR(INDEX(_datos!$G$2:$G$401,MATCH(ROW()-13,_datos!$K$2:$K$401,0)),"")</f>
      </c>
      <c r="I410" s="24">
        <f>IFERROR(INDEX(_datos!$H$2:$H$401,MATCH(ROW()-13,_datos!$K$2:$K$401,0)),"")</f>
      </c>
      <c r="J410" s="22">
        <f>IFERROR(INDEX(_datos!$I$2:$I$401,MATCH(ROW()-13,_datos!$K$2:$K$401,0)),"")</f>
      </c>
      <c r="K410" s="44">
        <f>IFERROR(HYPERLINK(INDEX(_datos!$J$2:$J$401,MATCH(ROW()-13,_datos!$K$2:$K$401,0)),"abrir mapa"),"")</f>
      </c>
    </row>
    <row r="411" ht="18.75" customHeight="1" spans="2:11" x14ac:dyDescent="0.25">
      <c r="B411" s="20">
        <f>IFERROR(INDEX(_datos!$A$2:$A$401,MATCH(ROW()-13,_datos!$K$2:$K$401,0)),"")</f>
      </c>
      <c r="C411" s="22">
        <f>IFERROR(INDEX(_datos!$B$2:$B$401,MATCH(ROW()-13,_datos!$K$2:$K$401,0)),"")</f>
      </c>
      <c r="D411" s="43">
        <f>IFERROR(INDEX(_datos!$C$2:$C$401,MATCH(ROW()-13,_datos!$K$2:$K$401,0)),"")</f>
      </c>
      <c r="E411" s="22">
        <f>IFERROR(INDEX(_datos!$D$2:$D$401,MATCH(ROW()-13,_datos!$K$2:$K$401,0)),"")</f>
      </c>
      <c r="F411" s="21">
        <f>IFERROR(INDEX(_datos!$E$2:$E$401,MATCH(ROW()-13,_datos!$K$2:$K$401,0)),"")</f>
      </c>
      <c r="G411" s="23">
        <f>IFERROR(INDEX(_datos!$F$2:$F$401,MATCH(ROW()-13,_datos!$K$2:$K$401,0)),"")</f>
      </c>
      <c r="H411" s="21">
        <f>IFERROR(INDEX(_datos!$G$2:$G$401,MATCH(ROW()-13,_datos!$K$2:$K$401,0)),"")</f>
      </c>
      <c r="I411" s="24">
        <f>IFERROR(INDEX(_datos!$H$2:$H$401,MATCH(ROW()-13,_datos!$K$2:$K$401,0)),"")</f>
      </c>
      <c r="J411" s="22">
        <f>IFERROR(INDEX(_datos!$I$2:$I$401,MATCH(ROW()-13,_datos!$K$2:$K$401,0)),"")</f>
      </c>
      <c r="K411" s="44">
        <f>IFERROR(HYPERLINK(INDEX(_datos!$J$2:$J$401,MATCH(ROW()-13,_datos!$K$2:$K$401,0)),"abrir mapa"),"")</f>
      </c>
    </row>
    <row r="412" ht="18.75" customHeight="1" spans="2:11" x14ac:dyDescent="0.25">
      <c r="B412" s="20">
        <f>IFERROR(INDEX(_datos!$A$2:$A$401,MATCH(ROW()-13,_datos!$K$2:$K$401,0)),"")</f>
      </c>
      <c r="C412" s="22">
        <f>IFERROR(INDEX(_datos!$B$2:$B$401,MATCH(ROW()-13,_datos!$K$2:$K$401,0)),"")</f>
      </c>
      <c r="D412" s="43">
        <f>IFERROR(INDEX(_datos!$C$2:$C$401,MATCH(ROW()-13,_datos!$K$2:$K$401,0)),"")</f>
      </c>
      <c r="E412" s="22">
        <f>IFERROR(INDEX(_datos!$D$2:$D$401,MATCH(ROW()-13,_datos!$K$2:$K$401,0)),"")</f>
      </c>
      <c r="F412" s="21">
        <f>IFERROR(INDEX(_datos!$E$2:$E$401,MATCH(ROW()-13,_datos!$K$2:$K$401,0)),"")</f>
      </c>
      <c r="G412" s="23">
        <f>IFERROR(INDEX(_datos!$F$2:$F$401,MATCH(ROW()-13,_datos!$K$2:$K$401,0)),"")</f>
      </c>
      <c r="H412" s="21">
        <f>IFERROR(INDEX(_datos!$G$2:$G$401,MATCH(ROW()-13,_datos!$K$2:$K$401,0)),"")</f>
      </c>
      <c r="I412" s="24">
        <f>IFERROR(INDEX(_datos!$H$2:$H$401,MATCH(ROW()-13,_datos!$K$2:$K$401,0)),"")</f>
      </c>
      <c r="J412" s="22">
        <f>IFERROR(INDEX(_datos!$I$2:$I$401,MATCH(ROW()-13,_datos!$K$2:$K$401,0)),"")</f>
      </c>
      <c r="K412" s="44">
        <f>IFERROR(HYPERLINK(INDEX(_datos!$J$2:$J$401,MATCH(ROW()-13,_datos!$K$2:$K$401,0)),"abrir mapa"),"")</f>
      </c>
    </row>
    <row r="413" ht="18.75" customHeight="1" spans="2:11" x14ac:dyDescent="0.25">
      <c r="B413" s="20">
        <f>IFERROR(INDEX(_datos!$A$2:$A$401,MATCH(ROW()-13,_datos!$K$2:$K$401,0)),"")</f>
      </c>
      <c r="C413" s="22">
        <f>IFERROR(INDEX(_datos!$B$2:$B$401,MATCH(ROW()-13,_datos!$K$2:$K$401,0)),"")</f>
      </c>
      <c r="D413" s="43">
        <f>IFERROR(INDEX(_datos!$C$2:$C$401,MATCH(ROW()-13,_datos!$K$2:$K$401,0)),"")</f>
      </c>
      <c r="E413" s="22">
        <f>IFERROR(INDEX(_datos!$D$2:$D$401,MATCH(ROW()-13,_datos!$K$2:$K$401,0)),"")</f>
      </c>
      <c r="F413" s="21">
        <f>IFERROR(INDEX(_datos!$E$2:$E$401,MATCH(ROW()-13,_datos!$K$2:$K$401,0)),"")</f>
      </c>
      <c r="G413" s="23">
        <f>IFERROR(INDEX(_datos!$F$2:$F$401,MATCH(ROW()-13,_datos!$K$2:$K$401,0)),"")</f>
      </c>
      <c r="H413" s="21">
        <f>IFERROR(INDEX(_datos!$G$2:$G$401,MATCH(ROW()-13,_datos!$K$2:$K$401,0)),"")</f>
      </c>
      <c r="I413" s="24">
        <f>IFERROR(INDEX(_datos!$H$2:$H$401,MATCH(ROW()-13,_datos!$K$2:$K$401,0)),"")</f>
      </c>
      <c r="J413" s="22">
        <f>IFERROR(INDEX(_datos!$I$2:$I$401,MATCH(ROW()-13,_datos!$K$2:$K$401,0)),"")</f>
      </c>
      <c r="K413" s="44">
        <f>IFERROR(HYPERLINK(INDEX(_datos!$J$2:$J$401,MATCH(ROW()-13,_datos!$K$2:$K$401,0)),"abrir mapa"),"")</f>
      </c>
    </row>
  </sheetData>
  <mergeCells count="15">
    <mergeCell ref="B2:H2"/>
    <mergeCell ref="B3:H3"/>
    <mergeCell ref="B6:C6"/>
    <mergeCell ref="G7:K7"/>
    <mergeCell ref="G8:K8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</mergeCells>
  <conditionalFormatting sqref="B14:K413">
    <cfRule type="expression" dxfId="2" priority="2">
      <formula>AND($B14&lt;&gt;"",MOD(ROW(),2)=0)</formula>
    </cfRule>
    <cfRule type="expression" dxfId="3" priority="3">
      <formula>$B14&lt;&gt;""</formula>
    </cfRule>
  </conditionalFormatting>
  <conditionalFormatting sqref="C14:C413">
    <cfRule type="expression" dxfId="4" priority="4">
      <formula>$C14="Salida"</formula>
    </cfRule>
    <cfRule type="expression" dxfId="5" priority="5">
      <formula>$C14="Llegada"</formula>
    </cfRule>
  </conditionalFormatting>
  <dataValidations count="3">
    <dataValidation type="list" showErrorMessage="1" errorStyle="warning" errorTitle="Placa" error="Elige una de la lista o escribe TODAS." sqref="B8">
      <formula1>_datos!$M$2:$M$9</formula1>
    </dataValidation>
    <dataValidation type="list" showErrorMessage="1" errorStyle="warning" errorTitle="Punta" error="Salida, Llegada o TODAS." sqref="C8">
      <formula1>_datos!$N$2:$N$4</formula1>
    </dataValidation>
    <dataValidation type="date" allowBlank="1" showInputMessage="1" prompt="Escribe una fecha dd/mm/aaaa o deja vacío" sqref="D8:E8">
      <formula1>43831</formula1>
      <formula2>49674</formula2>
    </dataValidation>
  </dataValidations>
  <pageMargins left="0.75" right="0.75" top="1" bottom="1" header="0.511811023622047" footer="0.511811023622047"/>
  <pageSetup orientation="landscape" horizontalDpi="300" verticalDpi="300" scale="100" fitToWidth="1" fitToHeight="0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203F"/>
    <pageSetUpPr fitToPage="1"/>
  </sheetPr>
  <dimension ref="A1:V14"/>
  <sheetViews>
    <sheetView workbookViewId="0" showGridLines="0" zoomScale="100" zoomScaleNormal="100">
      <pane xSplit="1" ySplit="6" topLeftCell="B7" activePane="bottomRight" state="frozen"/>
      <selection pane="bottomRight"/>
    </sheetView>
  </sheetViews>
  <sheetFormatPr defaultRowHeight="14.4" outlineLevelRow="0" outlineLevelCol="0" x14ac:dyDescent="0.3" defaultColWidth="8.6640625" customHeight="1"/>
  <cols>
    <col min="1" max="1" width="11" customWidth="1"/>
    <col min="2" max="2" width="20" customWidth="1"/>
    <col min="3" max="3" width="14" customWidth="1"/>
    <col min="4" max="4" width="30" customWidth="1"/>
    <col min="5" max="5" width="10" customWidth="1"/>
    <col min="6" max="6" width="12" customWidth="1"/>
    <col min="7" max="8" width="13" customWidth="1"/>
    <col min="9" max="9" width="11" customWidth="1"/>
    <col min="10" max="10" width="12" customWidth="1"/>
    <col min="11" max="11" width="11" customWidth="1"/>
    <col min="12" max="12" width="12" customWidth="1"/>
    <col min="13" max="13" width="13" customWidth="1"/>
    <col min="14" max="14" width="8" customWidth="1"/>
    <col min="15" max="15" width="7" customWidth="1"/>
    <col min="16" max="16" width="12" customWidth="1"/>
    <col min="17" max="17" width="18" customWidth="1"/>
    <col min="18" max="18" width="11" customWidth="1"/>
    <col min="19" max="19" width="18" customWidth="1"/>
    <col min="20" max="20" width="12" customWidth="1"/>
    <col min="21" max="21" width="16" customWidth="1"/>
    <col min="22" max="22" width="40" customWidth="1"/>
  </cols>
  <sheetData>
    <row r="1" ht="7.5" customHeight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5.5" customHeight="1" spans="1:22" x14ac:dyDescent="0.25">
      <c r="A2" s="1"/>
      <c r="B2" s="16" t="s">
        <v>15</v>
      </c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8" customHeight="1" spans="1:22" x14ac:dyDescent="0.25">
      <c r="A3" s="1"/>
      <c r="B3" s="17" t="s">
        <v>16</v>
      </c>
      <c r="C3" s="17"/>
      <c r="D3" s="17"/>
      <c r="E3" s="17"/>
      <c r="F3" s="17"/>
      <c r="G3" s="17"/>
      <c r="H3" s="1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7.5" customHeight="1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 ht="25.5" customHeight="1" spans="1:22" x14ac:dyDescent="0.25">
      <c r="A6" s="18" t="s">
        <v>17</v>
      </c>
      <c r="B6" s="18" t="s">
        <v>18</v>
      </c>
      <c r="C6" s="18" t="s">
        <v>19</v>
      </c>
      <c r="D6" s="18" t="s">
        <v>20</v>
      </c>
      <c r="E6" s="18" t="s">
        <v>21</v>
      </c>
      <c r="F6" s="18" t="s">
        <v>22</v>
      </c>
      <c r="G6" s="18" t="s">
        <v>23</v>
      </c>
      <c r="H6" s="19" t="s">
        <v>24</v>
      </c>
      <c r="I6" s="19" t="s">
        <v>25</v>
      </c>
      <c r="J6" s="19" t="s">
        <v>26</v>
      </c>
      <c r="K6" s="19" t="s">
        <v>27</v>
      </c>
      <c r="L6" s="18" t="s">
        <v>28</v>
      </c>
      <c r="M6" s="19" t="s">
        <v>29</v>
      </c>
      <c r="N6" s="19" t="s">
        <v>30</v>
      </c>
      <c r="O6" s="19" t="s">
        <v>31</v>
      </c>
      <c r="P6" s="18" t="s">
        <v>32</v>
      </c>
      <c r="Q6" s="18" t="s">
        <v>33</v>
      </c>
      <c r="R6" s="18" t="s">
        <v>34</v>
      </c>
      <c r="S6" s="18" t="s">
        <v>35</v>
      </c>
      <c r="T6" s="18" t="s">
        <v>36</v>
      </c>
      <c r="U6" s="18" t="s">
        <v>37</v>
      </c>
      <c r="V6" s="18" t="s">
        <v>38</v>
      </c>
    </row>
    <row r="7" ht="19.5" customHeight="1" spans="1:22" x14ac:dyDescent="0.25">
      <c r="A7" s="20" t="s">
        <v>39</v>
      </c>
      <c r="B7" s="21" t="s">
        <v>40</v>
      </c>
      <c r="C7" s="21" t="s">
        <v>41</v>
      </c>
      <c r="D7" s="21" t="s">
        <v>42</v>
      </c>
      <c r="E7" s="22" t="s">
        <v>43</v>
      </c>
      <c r="F7" s="22" t="s">
        <v>44</v>
      </c>
      <c r="G7" s="23">
        <v>107.97</v>
      </c>
      <c r="H7" s="23">
        <v>2.9991</v>
      </c>
      <c r="I7" s="24">
        <v>4859</v>
      </c>
      <c r="J7" s="24">
        <v>145758</v>
      </c>
      <c r="K7" s="23">
        <v>481</v>
      </c>
      <c r="L7" s="25">
        <v>46239.555555555555</v>
      </c>
      <c r="M7" s="21" t="s">
        <v>45</v>
      </c>
      <c r="N7" s="22">
        <v>32</v>
      </c>
      <c r="O7" s="22">
        <v>2026</v>
      </c>
      <c r="P7" s="26" t="s">
        <v>46</v>
      </c>
      <c r="Q7" s="27">
        <v>46239.555555555555</v>
      </c>
      <c r="R7" s="22" t="s">
        <v>47</v>
      </c>
      <c r="S7" s="27">
        <v>46239.819444444445</v>
      </c>
      <c r="T7" s="22" t="s">
        <v>47</v>
      </c>
      <c r="U7" s="21" t="s">
        <v>48</v>
      </c>
      <c r="V7" s="21" t="s">
        <v>49</v>
      </c>
    </row>
    <row r="8" ht="19.5" customHeight="1" spans="1:22" x14ac:dyDescent="0.25">
      <c r="A8" s="20" t="s">
        <v>50</v>
      </c>
      <c r="B8" s="21" t="s">
        <v>51</v>
      </c>
      <c r="C8" s="21" t="s">
        <v>41</v>
      </c>
      <c r="D8" s="21" t="s">
        <v>42</v>
      </c>
      <c r="E8" s="22" t="s">
        <v>43</v>
      </c>
      <c r="F8" s="22" t="s">
        <v>44</v>
      </c>
      <c r="G8" s="23">
        <v>156.45</v>
      </c>
      <c r="H8" s="23">
        <v>4.3459</v>
      </c>
      <c r="I8" s="24">
        <v>7040</v>
      </c>
      <c r="J8" s="24">
        <v>211212</v>
      </c>
      <c r="K8" s="23">
        <v>697</v>
      </c>
      <c r="L8" s="25">
        <v>46240.555555555555</v>
      </c>
      <c r="M8" s="21" t="s">
        <v>45</v>
      </c>
      <c r="N8" s="22">
        <v>33</v>
      </c>
      <c r="O8" s="22">
        <v>2026</v>
      </c>
      <c r="P8" s="26" t="s">
        <v>46</v>
      </c>
      <c r="Q8" s="27">
        <v>46240.555555555555</v>
      </c>
      <c r="R8" s="22" t="s">
        <v>47</v>
      </c>
      <c r="S8" s="27">
        <v>46240.819444444445</v>
      </c>
      <c r="T8" s="22" t="s">
        <v>47</v>
      </c>
      <c r="U8" s="21" t="s">
        <v>48</v>
      </c>
      <c r="V8" s="21" t="s">
        <v>49</v>
      </c>
    </row>
    <row r="9" ht="19.5" customHeight="1" spans="1:22" x14ac:dyDescent="0.25">
      <c r="A9" s="20" t="s">
        <v>52</v>
      </c>
      <c r="B9" s="21" t="s">
        <v>53</v>
      </c>
      <c r="C9" s="21" t="s">
        <v>41</v>
      </c>
      <c r="D9" s="21" t="s">
        <v>42</v>
      </c>
      <c r="E9" s="22" t="s">
        <v>43</v>
      </c>
      <c r="F9" s="22" t="s">
        <v>44</v>
      </c>
      <c r="G9" s="23">
        <v>88.89</v>
      </c>
      <c r="H9" s="23">
        <v>2.4691</v>
      </c>
      <c r="I9" s="24">
        <v>4000</v>
      </c>
      <c r="J9" s="24">
        <v>120000</v>
      </c>
      <c r="K9" s="23">
        <v>396</v>
      </c>
      <c r="L9" s="25">
        <v>46241.555555555555</v>
      </c>
      <c r="M9" s="21" t="s">
        <v>45</v>
      </c>
      <c r="N9" s="22">
        <v>34</v>
      </c>
      <c r="O9" s="22">
        <v>2026</v>
      </c>
      <c r="P9" s="26" t="s">
        <v>46</v>
      </c>
      <c r="Q9" s="27">
        <v>46241.555555555555</v>
      </c>
      <c r="R9" s="22" t="s">
        <v>47</v>
      </c>
      <c r="S9" s="27">
        <v>46241.819444444445</v>
      </c>
      <c r="T9" s="22" t="s">
        <v>47</v>
      </c>
      <c r="U9" s="21" t="s">
        <v>48</v>
      </c>
      <c r="V9" s="21" t="s">
        <v>54</v>
      </c>
    </row>
    <row r="10" ht="19.5" customHeight="1" spans="1:22" x14ac:dyDescent="0.25">
      <c r="A10" s="20" t="s">
        <v>55</v>
      </c>
      <c r="B10" s="21" t="s">
        <v>56</v>
      </c>
      <c r="C10" s="21" t="s">
        <v>41</v>
      </c>
      <c r="D10" s="21" t="s">
        <v>42</v>
      </c>
      <c r="E10" s="22" t="s">
        <v>43</v>
      </c>
      <c r="F10" s="22" t="s">
        <v>44</v>
      </c>
      <c r="G10" s="23">
        <v>155.11</v>
      </c>
      <c r="H10" s="23">
        <v>4.3085</v>
      </c>
      <c r="I10" s="24">
        <v>6980</v>
      </c>
      <c r="J10" s="24">
        <v>209394</v>
      </c>
      <c r="K10" s="23">
        <v>691</v>
      </c>
      <c r="L10" s="25">
        <v>46242.555555555555</v>
      </c>
      <c r="M10" s="21" t="s">
        <v>45</v>
      </c>
      <c r="N10" s="22">
        <v>35</v>
      </c>
      <c r="O10" s="22">
        <v>2026</v>
      </c>
      <c r="P10" s="26" t="s">
        <v>46</v>
      </c>
      <c r="Q10" s="27">
        <v>46242.555555555555</v>
      </c>
      <c r="R10" s="22" t="s">
        <v>47</v>
      </c>
      <c r="S10" s="27">
        <v>46242.819444444445</v>
      </c>
      <c r="T10" s="22" t="s">
        <v>47</v>
      </c>
      <c r="U10" s="21" t="s">
        <v>48</v>
      </c>
      <c r="V10" s="21" t="s">
        <v>49</v>
      </c>
    </row>
    <row r="11" ht="19.5" customHeight="1" spans="1:22" x14ac:dyDescent="0.25">
      <c r="A11" s="20" t="s">
        <v>57</v>
      </c>
      <c r="B11" s="21" t="s">
        <v>58</v>
      </c>
      <c r="C11" s="21" t="s">
        <v>41</v>
      </c>
      <c r="D11" s="21" t="s">
        <v>42</v>
      </c>
      <c r="E11" s="22" t="s">
        <v>43</v>
      </c>
      <c r="F11" s="22" t="s">
        <v>44</v>
      </c>
      <c r="G11" s="23">
        <v>552.64</v>
      </c>
      <c r="H11" s="23">
        <v>15.351</v>
      </c>
      <c r="I11" s="24">
        <v>24869</v>
      </c>
      <c r="J11" s="24">
        <v>746061</v>
      </c>
      <c r="K11" s="23">
        <v>2462</v>
      </c>
      <c r="L11" s="25">
        <v>46243.555555555555</v>
      </c>
      <c r="M11" s="21" t="s">
        <v>45</v>
      </c>
      <c r="N11" s="22">
        <v>32</v>
      </c>
      <c r="O11" s="22">
        <v>2026</v>
      </c>
      <c r="P11" s="26" t="s">
        <v>46</v>
      </c>
      <c r="Q11" s="27">
        <v>46243.555555555555</v>
      </c>
      <c r="R11" s="28" t="s">
        <v>59</v>
      </c>
      <c r="S11" s="27">
        <v>46243.819444444445</v>
      </c>
      <c r="T11" s="22" t="s">
        <v>47</v>
      </c>
      <c r="U11" s="21" t="s">
        <v>48</v>
      </c>
      <c r="V11" s="21" t="s">
        <v>49</v>
      </c>
    </row>
    <row r="12" ht="19.5" customHeight="1" spans="1:22" x14ac:dyDescent="0.25">
      <c r="A12" s="20" t="s">
        <v>60</v>
      </c>
      <c r="B12" s="21" t="s">
        <v>61</v>
      </c>
      <c r="C12" s="21" t="s">
        <v>41</v>
      </c>
      <c r="D12" s="21" t="s">
        <v>42</v>
      </c>
      <c r="E12" s="22" t="s">
        <v>43</v>
      </c>
      <c r="F12" s="22" t="s">
        <v>44</v>
      </c>
      <c r="G12" s="23">
        <v>146.35</v>
      </c>
      <c r="H12" s="23">
        <v>4.0653</v>
      </c>
      <c r="I12" s="24">
        <v>6586</v>
      </c>
      <c r="J12" s="24">
        <v>197576</v>
      </c>
      <c r="K12" s="23">
        <v>652</v>
      </c>
      <c r="L12" s="25">
        <v>46244.555555555555</v>
      </c>
      <c r="M12" s="21" t="s">
        <v>45</v>
      </c>
      <c r="N12" s="22">
        <v>33</v>
      </c>
      <c r="O12" s="22">
        <v>2026</v>
      </c>
      <c r="P12" s="26" t="s">
        <v>46</v>
      </c>
      <c r="Q12" s="27">
        <v>46244.555555555555</v>
      </c>
      <c r="R12" s="22" t="s">
        <v>47</v>
      </c>
      <c r="S12" s="27">
        <v>46244.819444444445</v>
      </c>
      <c r="T12" s="22" t="s">
        <v>47</v>
      </c>
      <c r="U12" s="21" t="s">
        <v>48</v>
      </c>
      <c r="V12" s="21" t="s">
        <v>49</v>
      </c>
    </row>
    <row r="13" ht="19.5" customHeight="1" spans="1:22" x14ac:dyDescent="0.25">
      <c r="A13" s="20" t="s">
        <v>62</v>
      </c>
      <c r="B13" s="21" t="s">
        <v>63</v>
      </c>
      <c r="C13" s="21" t="s">
        <v>41</v>
      </c>
      <c r="D13" s="21" t="s">
        <v>42</v>
      </c>
      <c r="E13" s="22" t="s">
        <v>43</v>
      </c>
      <c r="F13" s="22" t="s">
        <v>44</v>
      </c>
      <c r="G13" s="23">
        <v>669.14</v>
      </c>
      <c r="H13" s="23">
        <v>18.5871</v>
      </c>
      <c r="I13" s="24">
        <v>30111</v>
      </c>
      <c r="J13" s="24">
        <v>903333</v>
      </c>
      <c r="K13" s="23">
        <v>2981</v>
      </c>
      <c r="L13" s="25">
        <v>46245.555555555555</v>
      </c>
      <c r="M13" s="21" t="s">
        <v>45</v>
      </c>
      <c r="N13" s="22">
        <v>34</v>
      </c>
      <c r="O13" s="22">
        <v>2026</v>
      </c>
      <c r="P13" s="26" t="s">
        <v>64</v>
      </c>
      <c r="Q13" s="27">
        <v>46245.555555555555</v>
      </c>
      <c r="R13" s="22" t="s">
        <v>47</v>
      </c>
      <c r="S13" s="27"/>
      <c r="T13" s="22" t="s">
        <v>65</v>
      </c>
      <c r="U13" s="21" t="s">
        <v>48</v>
      </c>
      <c r="V13" s="21" t="s">
        <v>49</v>
      </c>
    </row>
    <row r="14" ht="21.75" customHeight="1" spans="1:22" x14ac:dyDescent="0.25">
      <c r="A14" s="29" t="s">
        <v>66</v>
      </c>
      <c r="B14" s="30"/>
      <c r="C14" s="30"/>
      <c r="D14" s="30"/>
      <c r="E14" s="30"/>
      <c r="F14" s="30"/>
      <c r="G14" s="31">
        <f>SUM(G7:G13)</f>
      </c>
      <c r="H14" s="31">
        <f>SUM(H7:H13)</f>
      </c>
      <c r="I14" s="32">
        <f>SUM(I7:I13)</f>
      </c>
      <c r="J14" s="32">
        <f>SUM(J7:J13)</f>
      </c>
      <c r="K14" s="31">
        <f>SUM(K7:K13)</f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</sheetData>
  <autoFilter ref="A6:V13"/>
  <mergeCells count="2">
    <mergeCell ref="B2:H2"/>
    <mergeCell ref="B3:H3"/>
  </mergeCells>
  <conditionalFormatting sqref="A7:V13">
    <cfRule type="expression" dxfId="0" priority="2">
      <formula>AND($A7&lt;&gt;"",MOD(ROW(),2)=0)</formula>
    </cfRule>
    <cfRule type="expression" dxfId="1" priority="3">
      <formula>$A7&lt;&gt;""</formula>
    </cfRule>
  </conditionalFormatting>
  <pageMargins left="0.75" right="0.75" top="1" bottom="1" header="0.511811023622047" footer="0.511811023622047"/>
  <pageSetup orientation="landscape" horizontalDpi="300" verticalDpi="300" scale="100" fitToWidth="1" fitToHeight="0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7285"/>
    <pageSetUpPr fitToPage="1"/>
  </sheetPr>
  <dimension ref="A1:J19"/>
  <sheetViews>
    <sheetView workbookViewId="0" showGridLines="0" zoomScale="100" zoomScaleNormal="100">
      <pane xSplit="1" ySplit="6" topLeftCell="B7" activePane="bottomRight" state="frozen"/>
      <selection pane="bottomRight"/>
    </sheetView>
  </sheetViews>
  <sheetFormatPr defaultRowHeight="14.4" outlineLevelRow="0" outlineLevelCol="0" x14ac:dyDescent="0.3" defaultColWidth="8.6640625" customHeight="1"/>
  <cols>
    <col min="1" max="2" width="11" customWidth="1"/>
    <col min="3" max="3" width="19" customWidth="1"/>
    <col min="4" max="4" width="46" customWidth="1"/>
    <col min="5" max="7" width="13" customWidth="1"/>
    <col min="8" max="8" width="16" customWidth="1"/>
    <col min="9" max="9" width="30" customWidth="1"/>
    <col min="10" max="10" width="16" customWidth="1"/>
  </cols>
  <sheetData>
    <row r="1" ht="7.5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25.5" customHeight="1" spans="1:10" x14ac:dyDescent="0.25">
      <c r="A2" s="1"/>
      <c r="B2" s="16" t="s">
        <v>88</v>
      </c>
      <c r="C2" s="16"/>
      <c r="D2" s="16"/>
      <c r="E2" s="16"/>
      <c r="F2" s="16"/>
      <c r="G2" s="16"/>
      <c r="H2" s="16"/>
      <c r="I2" s="1"/>
      <c r="J2" s="1"/>
    </row>
    <row r="3" ht="18" customHeight="1" spans="1:10" x14ac:dyDescent="0.25">
      <c r="A3" s="1"/>
      <c r="B3" s="17" t="s">
        <v>89</v>
      </c>
      <c r="C3" s="17"/>
      <c r="D3" s="17"/>
      <c r="E3" s="17"/>
      <c r="F3" s="17"/>
      <c r="G3" s="17"/>
      <c r="H3" s="17"/>
      <c r="I3" s="1"/>
      <c r="J3" s="1"/>
    </row>
    <row r="4" ht="7.5" customHeight="1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6" ht="25.5" customHeight="1" spans="1:10" x14ac:dyDescent="0.25">
      <c r="A6" s="18" t="s">
        <v>17</v>
      </c>
      <c r="B6" s="18" t="s">
        <v>82</v>
      </c>
      <c r="C6" s="18" t="s">
        <v>90</v>
      </c>
      <c r="D6" s="18" t="s">
        <v>84</v>
      </c>
      <c r="E6" s="18" t="s">
        <v>91</v>
      </c>
      <c r="F6" s="18" t="s">
        <v>92</v>
      </c>
      <c r="G6" s="18" t="s">
        <v>85</v>
      </c>
      <c r="H6" s="18" t="s">
        <v>86</v>
      </c>
      <c r="I6" s="18" t="s">
        <v>93</v>
      </c>
      <c r="J6" s="18" t="s">
        <v>94</v>
      </c>
    </row>
    <row r="7" ht="19.5" customHeight="1" spans="1:10" x14ac:dyDescent="0.25">
      <c r="A7" s="20" t="s">
        <v>39</v>
      </c>
      <c r="B7" s="26" t="s">
        <v>33</v>
      </c>
      <c r="C7" s="45">
        <v>46239.555555555555</v>
      </c>
      <c r="D7" s="21" t="s">
        <v>95</v>
      </c>
      <c r="E7" s="46">
        <v>10.98</v>
      </c>
      <c r="F7" s="46">
        <v>-74.78</v>
      </c>
      <c r="G7" s="24">
        <v>12</v>
      </c>
      <c r="H7" s="22" t="s">
        <v>48</v>
      </c>
      <c r="I7" s="21" t="s">
        <v>49</v>
      </c>
      <c r="J7" s="44" t="s">
        <v>96</v>
      </c>
    </row>
    <row r="8" ht="19.5" customHeight="1" spans="1:10" x14ac:dyDescent="0.25">
      <c r="A8" s="20" t="s">
        <v>39</v>
      </c>
      <c r="B8" s="26" t="s">
        <v>35</v>
      </c>
      <c r="C8" s="45">
        <v>46239.819444444445</v>
      </c>
      <c r="D8" s="21" t="s">
        <v>97</v>
      </c>
      <c r="E8" s="46">
        <v>10.91</v>
      </c>
      <c r="F8" s="46">
        <v>-74.8</v>
      </c>
      <c r="G8" s="24">
        <v>9</v>
      </c>
      <c r="H8" s="22" t="s">
        <v>48</v>
      </c>
      <c r="I8" s="21" t="s">
        <v>98</v>
      </c>
      <c r="J8" s="44" t="s">
        <v>96</v>
      </c>
    </row>
    <row r="9" ht="19.5" customHeight="1" spans="1:10" x14ac:dyDescent="0.25">
      <c r="A9" s="20" t="s">
        <v>50</v>
      </c>
      <c r="B9" s="26" t="s">
        <v>33</v>
      </c>
      <c r="C9" s="45">
        <v>46240.555555555555</v>
      </c>
      <c r="D9" s="21" t="s">
        <v>95</v>
      </c>
      <c r="E9" s="46">
        <v>10.98</v>
      </c>
      <c r="F9" s="46">
        <v>-74.78</v>
      </c>
      <c r="G9" s="24">
        <v>12</v>
      </c>
      <c r="H9" s="22" t="s">
        <v>48</v>
      </c>
      <c r="I9" s="21" t="s">
        <v>49</v>
      </c>
      <c r="J9" s="44" t="s">
        <v>96</v>
      </c>
    </row>
    <row r="10" ht="19.5" customHeight="1" spans="1:10" x14ac:dyDescent="0.25">
      <c r="A10" s="20" t="s">
        <v>50</v>
      </c>
      <c r="B10" s="26" t="s">
        <v>35</v>
      </c>
      <c r="C10" s="45">
        <v>46240.819444444445</v>
      </c>
      <c r="D10" s="21" t="s">
        <v>97</v>
      </c>
      <c r="E10" s="46">
        <v>10.91</v>
      </c>
      <c r="F10" s="46">
        <v>-74.8</v>
      </c>
      <c r="G10" s="24">
        <v>9</v>
      </c>
      <c r="H10" s="22" t="s">
        <v>48</v>
      </c>
      <c r="I10" s="21" t="s">
        <v>98</v>
      </c>
      <c r="J10" s="44" t="s">
        <v>96</v>
      </c>
    </row>
    <row r="11" ht="19.5" customHeight="1" spans="1:10" x14ac:dyDescent="0.25">
      <c r="A11" s="20" t="s">
        <v>52</v>
      </c>
      <c r="B11" s="26" t="s">
        <v>33</v>
      </c>
      <c r="C11" s="45">
        <v>46241.555555555555</v>
      </c>
      <c r="D11" s="21" t="s">
        <v>95</v>
      </c>
      <c r="E11" s="46">
        <v>10.98</v>
      </c>
      <c r="F11" s="46">
        <v>-74.78</v>
      </c>
      <c r="G11" s="24">
        <v>12</v>
      </c>
      <c r="H11" s="22" t="s">
        <v>48</v>
      </c>
      <c r="I11" s="21" t="s">
        <v>49</v>
      </c>
      <c r="J11" s="44" t="s">
        <v>96</v>
      </c>
    </row>
    <row r="12" ht="19.5" customHeight="1" spans="1:10" x14ac:dyDescent="0.25">
      <c r="A12" s="20" t="s">
        <v>52</v>
      </c>
      <c r="B12" s="26" t="s">
        <v>35</v>
      </c>
      <c r="C12" s="45">
        <v>46241.819444444445</v>
      </c>
      <c r="D12" s="21" t="s">
        <v>97</v>
      </c>
      <c r="E12" s="46">
        <v>10.91</v>
      </c>
      <c r="F12" s="46">
        <v>-74.8</v>
      </c>
      <c r="G12" s="24">
        <v>9</v>
      </c>
      <c r="H12" s="22" t="s">
        <v>48</v>
      </c>
      <c r="I12" s="21" t="s">
        <v>98</v>
      </c>
      <c r="J12" s="44" t="s">
        <v>96</v>
      </c>
    </row>
    <row r="13" ht="19.5" customHeight="1" spans="1:10" x14ac:dyDescent="0.25">
      <c r="A13" s="20" t="s">
        <v>55</v>
      </c>
      <c r="B13" s="26" t="s">
        <v>33</v>
      </c>
      <c r="C13" s="45">
        <v>46242.555555555555</v>
      </c>
      <c r="D13" s="21" t="s">
        <v>95</v>
      </c>
      <c r="E13" s="46">
        <v>10.98</v>
      </c>
      <c r="F13" s="46">
        <v>-74.78</v>
      </c>
      <c r="G13" s="47">
        <v>340</v>
      </c>
      <c r="H13" s="22" t="s">
        <v>48</v>
      </c>
      <c r="I13" s="21" t="s">
        <v>49</v>
      </c>
      <c r="J13" s="44" t="s">
        <v>96</v>
      </c>
    </row>
    <row r="14" ht="19.5" customHeight="1" spans="1:10" x14ac:dyDescent="0.25">
      <c r="A14" s="20" t="s">
        <v>55</v>
      </c>
      <c r="B14" s="26" t="s">
        <v>35</v>
      </c>
      <c r="C14" s="45">
        <v>46242.819444444445</v>
      </c>
      <c r="D14" s="21" t="s">
        <v>97</v>
      </c>
      <c r="E14" s="46">
        <v>10.91</v>
      </c>
      <c r="F14" s="46">
        <v>-74.8</v>
      </c>
      <c r="G14" s="24">
        <v>9</v>
      </c>
      <c r="H14" s="22" t="s">
        <v>48</v>
      </c>
      <c r="I14" s="21" t="s">
        <v>98</v>
      </c>
      <c r="J14" s="44" t="s">
        <v>96</v>
      </c>
    </row>
    <row r="15" ht="19.5" customHeight="1" spans="1:10" x14ac:dyDescent="0.25">
      <c r="A15" s="20" t="s">
        <v>57</v>
      </c>
      <c r="B15" s="26" t="s">
        <v>33</v>
      </c>
      <c r="C15" s="45">
        <v>46243.555555555555</v>
      </c>
      <c r="D15" s="21" t="s">
        <v>95</v>
      </c>
      <c r="E15" s="46">
        <v>10.98</v>
      </c>
      <c r="F15" s="46">
        <v>-74.78</v>
      </c>
      <c r="G15" s="24">
        <v>12</v>
      </c>
      <c r="H15" s="22" t="s">
        <v>48</v>
      </c>
      <c r="I15" s="21" t="s">
        <v>49</v>
      </c>
      <c r="J15" s="44" t="s">
        <v>96</v>
      </c>
    </row>
    <row r="16" ht="19.5" customHeight="1" spans="1:10" x14ac:dyDescent="0.25">
      <c r="A16" s="20" t="s">
        <v>57</v>
      </c>
      <c r="B16" s="26" t="s">
        <v>35</v>
      </c>
      <c r="C16" s="45">
        <v>46243.819444444445</v>
      </c>
      <c r="D16" s="21" t="s">
        <v>97</v>
      </c>
      <c r="E16" s="46">
        <v>10.91</v>
      </c>
      <c r="F16" s="46">
        <v>-74.8</v>
      </c>
      <c r="G16" s="24">
        <v>9</v>
      </c>
      <c r="H16" s="22" t="s">
        <v>48</v>
      </c>
      <c r="I16" s="21" t="s">
        <v>98</v>
      </c>
      <c r="J16" s="44" t="s">
        <v>96</v>
      </c>
    </row>
    <row r="17" ht="19.5" customHeight="1" spans="1:10" x14ac:dyDescent="0.25">
      <c r="A17" s="20" t="s">
        <v>60</v>
      </c>
      <c r="B17" s="48" t="s">
        <v>33</v>
      </c>
      <c r="C17" s="45">
        <v>46244.555555555555</v>
      </c>
      <c r="D17" s="21" t="s">
        <v>95</v>
      </c>
      <c r="E17" s="46">
        <v>10.98</v>
      </c>
      <c r="F17" s="46">
        <v>-74.78</v>
      </c>
      <c r="G17" s="24">
        <v>12</v>
      </c>
      <c r="H17" s="22" t="s">
        <v>48</v>
      </c>
      <c r="I17" s="21" t="s">
        <v>49</v>
      </c>
      <c r="J17" s="44" t="s">
        <v>96</v>
      </c>
    </row>
    <row r="18" ht="19.5" customHeight="1" spans="1:10" x14ac:dyDescent="0.25">
      <c r="A18" s="20" t="s">
        <v>60</v>
      </c>
      <c r="B18" s="26" t="s">
        <v>35</v>
      </c>
      <c r="C18" s="45">
        <v>46244.819444444445</v>
      </c>
      <c r="D18" s="21" t="s">
        <v>97</v>
      </c>
      <c r="E18" s="46">
        <v>10.91</v>
      </c>
      <c r="F18" s="46">
        <v>-74.8</v>
      </c>
      <c r="G18" s="24">
        <v>9</v>
      </c>
      <c r="H18" s="22" t="s">
        <v>48</v>
      </c>
      <c r="I18" s="21" t="s">
        <v>98</v>
      </c>
      <c r="J18" s="44" t="s">
        <v>96</v>
      </c>
    </row>
    <row r="19" ht="19.5" customHeight="1" spans="1:10" x14ac:dyDescent="0.25">
      <c r="A19" s="20" t="s">
        <v>62</v>
      </c>
      <c r="B19" s="48" t="s">
        <v>33</v>
      </c>
      <c r="C19" s="45">
        <v>46245.555555555555</v>
      </c>
      <c r="D19" s="21" t="s">
        <v>95</v>
      </c>
      <c r="E19" s="46">
        <v>10.98</v>
      </c>
      <c r="F19" s="46">
        <v>-74.78</v>
      </c>
      <c r="G19" s="24">
        <v>12</v>
      </c>
      <c r="H19" s="22" t="s">
        <v>48</v>
      </c>
      <c r="I19" s="21" t="s">
        <v>49</v>
      </c>
      <c r="J19" s="44" t="s">
        <v>96</v>
      </c>
    </row>
  </sheetData>
  <autoFilter ref="A6:J19"/>
  <mergeCells count="2">
    <mergeCell ref="B2:H2"/>
    <mergeCell ref="B3:H3"/>
  </mergeCells>
  <conditionalFormatting sqref="A7:J19">
    <cfRule type="expression" dxfId="6" priority="2">
      <formula>AND($A7&lt;&gt;"",MOD(ROW(),2)=0)</formula>
    </cfRule>
    <cfRule type="expression" dxfId="7" priority="3">
      <formula>$A7&lt;&gt;""</formula>
    </cfRule>
  </conditionalFormatting>
  <hyperlinks>
    <hyperlink ref="J7" r:id="rId1"/>
    <hyperlink ref="J8" r:id="rId2"/>
    <hyperlink ref="J9" r:id="rId3"/>
    <hyperlink ref="J10" r:id="rId4"/>
    <hyperlink ref="J11" r:id="rId5"/>
    <hyperlink ref="J12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</hyperlinks>
  <pageMargins left="0.75" right="0.75" top="1" bottom="1" header="0.511811023622047" footer="0.511811023622047"/>
  <pageSetup orientation="landscape" horizontalDpi="300" verticalDpi="300" scale="100" fitToWidth="1" fitToHeight="0" firstPageNumber="1" useFirstPageNumber="1" copies="1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workbookViewId="0" showGridLines="0" zoomScale="100" zoomScaleNormal="100"/>
  </sheetViews>
  <sheetFormatPr defaultRowHeight="14.4" outlineLevelRow="0" outlineLevelCol="0" x14ac:dyDescent="0.3" defaultColWidth="8.6640625" customHeight="1"/>
  <sheetData>
    <row r="1" spans="1:14" x14ac:dyDescent="0.25">
      <c r="A1" s="49" t="s">
        <v>17</v>
      </c>
      <c r="B1" s="49" t="s">
        <v>82</v>
      </c>
      <c r="C1" s="49" t="s">
        <v>28</v>
      </c>
      <c r="D1" s="49" t="s">
        <v>18</v>
      </c>
      <c r="E1" s="49" t="s">
        <v>20</v>
      </c>
      <c r="F1" s="49" t="s">
        <v>27</v>
      </c>
      <c r="G1" s="49" t="s">
        <v>84</v>
      </c>
      <c r="H1" s="49" t="s">
        <v>85</v>
      </c>
      <c r="I1" s="49" t="s">
        <v>86</v>
      </c>
      <c r="J1" s="49" t="s">
        <v>87</v>
      </c>
      <c r="K1" s="49" t="s">
        <v>99</v>
      </c>
      <c r="M1" s="49" t="s">
        <v>100</v>
      </c>
      <c r="N1" s="49" t="s">
        <v>101</v>
      </c>
    </row>
    <row r="2" spans="1:14" x14ac:dyDescent="0.25">
      <c r="A2" t="s">
        <v>39</v>
      </c>
      <c r="B2" t="s">
        <v>33</v>
      </c>
      <c r="C2" s="50">
        <v>46239.555555555555</v>
      </c>
      <c r="D2" t="s">
        <v>40</v>
      </c>
      <c r="E2" t="s">
        <v>42</v>
      </c>
      <c r="F2">
        <v>481</v>
      </c>
      <c r="G2" t="s">
        <v>95</v>
      </c>
      <c r="H2">
        <v>12</v>
      </c>
      <c r="I2" t="s">
        <v>48</v>
      </c>
      <c r="J2" t="s">
        <v>102</v>
      </c>
      <c r="K2">
        <f>IF($A2="","",IF((IF(Panel!$B$8="TODAS",1,--($A2=Panel!$B$8)))*(IF(Panel!$C$8="TODAS",1,--($B2=Panel!$C$8)))*(IF(Panel!$D$8="",1,--($C2&gt;=Panel!$D$8)))*(IF(Panel!$E$8="",1,--($C2&lt;Panel!$E$8+1)))=1,MAX($K$1:K1)+1,""))</f>
      </c>
      <c r="M2" t="s">
        <v>75</v>
      </c>
      <c r="N2" t="s">
        <v>75</v>
      </c>
    </row>
    <row r="3" spans="1:14" x14ac:dyDescent="0.25">
      <c r="A3" t="s">
        <v>39</v>
      </c>
      <c r="B3" t="s">
        <v>35</v>
      </c>
      <c r="C3" s="50">
        <v>46239.819444444445</v>
      </c>
      <c r="D3" t="s">
        <v>40</v>
      </c>
      <c r="E3" t="s">
        <v>42</v>
      </c>
      <c r="F3">
        <v>481</v>
      </c>
      <c r="G3" t="s">
        <v>97</v>
      </c>
      <c r="H3">
        <v>9</v>
      </c>
      <c r="I3" t="s">
        <v>48</v>
      </c>
      <c r="J3" t="s">
        <v>103</v>
      </c>
      <c r="K3">
        <f>IF($A3="","",IF((IF(Panel!$B$8="TODAS",1,--($A3=Panel!$B$8)))*(IF(Panel!$C$8="TODAS",1,--($B3=Panel!$C$8)))*(IF(Panel!$D$8="",1,--($C3&gt;=Panel!$D$8)))*(IF(Panel!$E$8="",1,--($C3&lt;Panel!$E$8+1)))=1,MAX($K$1:K2)+1,""))</f>
      </c>
      <c r="M3" t="s">
        <v>39</v>
      </c>
      <c r="N3" t="s">
        <v>33</v>
      </c>
    </row>
    <row r="4" spans="1:14" x14ac:dyDescent="0.25">
      <c r="A4" t="s">
        <v>50</v>
      </c>
      <c r="B4" t="s">
        <v>33</v>
      </c>
      <c r="C4" s="50">
        <v>46240.555555555555</v>
      </c>
      <c r="D4" t="s">
        <v>51</v>
      </c>
      <c r="E4" t="s">
        <v>42</v>
      </c>
      <c r="F4">
        <v>697</v>
      </c>
      <c r="G4" t="s">
        <v>95</v>
      </c>
      <c r="H4">
        <v>12</v>
      </c>
      <c r="I4" t="s">
        <v>48</v>
      </c>
      <c r="J4" t="s">
        <v>102</v>
      </c>
      <c r="K4">
        <f>IF($A4="","",IF((IF(Panel!$B$8="TODAS",1,--($A4=Panel!$B$8)))*(IF(Panel!$C$8="TODAS",1,--($B4=Panel!$C$8)))*(IF(Panel!$D$8="",1,--($C4&gt;=Panel!$D$8)))*(IF(Panel!$E$8="",1,--($C4&lt;Panel!$E$8+1)))=1,MAX($K$1:K3)+1,""))</f>
      </c>
      <c r="M4" t="s">
        <v>50</v>
      </c>
      <c r="N4" t="s">
        <v>35</v>
      </c>
    </row>
    <row r="5" spans="1:14" x14ac:dyDescent="0.25">
      <c r="A5" t="s">
        <v>50</v>
      </c>
      <c r="B5" t="s">
        <v>35</v>
      </c>
      <c r="C5" s="50">
        <v>46240.819444444445</v>
      </c>
      <c r="D5" t="s">
        <v>51</v>
      </c>
      <c r="E5" t="s">
        <v>42</v>
      </c>
      <c r="F5">
        <v>697</v>
      </c>
      <c r="G5" t="s">
        <v>97</v>
      </c>
      <c r="H5">
        <v>9</v>
      </c>
      <c r="I5" t="s">
        <v>48</v>
      </c>
      <c r="J5" t="s">
        <v>103</v>
      </c>
      <c r="K5">
        <f>IF($A5="","",IF((IF(Panel!$B$8="TODAS",1,--($A5=Panel!$B$8)))*(IF(Panel!$C$8="TODAS",1,--($B5=Panel!$C$8)))*(IF(Panel!$D$8="",1,--($C5&gt;=Panel!$D$8)))*(IF(Panel!$E$8="",1,--($C5&lt;Panel!$E$8+1)))=1,MAX($K$1:K4)+1,""))</f>
      </c>
      <c r="M5" t="s">
        <v>52</v>
      </c>
    </row>
    <row r="6" spans="1:14" x14ac:dyDescent="0.25">
      <c r="A6" t="s">
        <v>52</v>
      </c>
      <c r="B6" t="s">
        <v>33</v>
      </c>
      <c r="C6" s="51">
        <v>46241.555555555555</v>
      </c>
      <c r="D6" t="s">
        <v>53</v>
      </c>
      <c r="E6" t="s">
        <v>42</v>
      </c>
      <c r="F6">
        <v>396</v>
      </c>
      <c r="G6" t="s">
        <v>95</v>
      </c>
      <c r="H6">
        <v>12</v>
      </c>
      <c r="I6" t="s">
        <v>48</v>
      </c>
      <c r="J6" t="s">
        <v>102</v>
      </c>
      <c r="K6">
        <f>IF($A6="","",IF((IF(Panel!$B$8="TODAS",1,--($A6=Panel!$B$8)))*(IF(Panel!$C$8="TODAS",1,--($B6=Panel!$C$8)))*(IF(Panel!$D$8="",1,--($C6&gt;=Panel!$D$8)))*(IF(Panel!$E$8="",1,--($C6&lt;Panel!$E$8+1)))=1,MAX($K$1:K5)+1,""))</f>
      </c>
      <c r="M6" t="s">
        <v>55</v>
      </c>
    </row>
    <row r="7" spans="1:14" x14ac:dyDescent="0.25">
      <c r="A7" t="s">
        <v>52</v>
      </c>
      <c r="B7" t="s">
        <v>35</v>
      </c>
      <c r="C7" s="51">
        <v>46241.819444444445</v>
      </c>
      <c r="D7" t="s">
        <v>53</v>
      </c>
      <c r="E7" t="s">
        <v>42</v>
      </c>
      <c r="F7">
        <v>396</v>
      </c>
      <c r="G7" t="s">
        <v>97</v>
      </c>
      <c r="H7">
        <v>9</v>
      </c>
      <c r="I7" t="s">
        <v>48</v>
      </c>
      <c r="J7" t="s">
        <v>103</v>
      </c>
      <c r="K7">
        <f>IF($A7="","",IF((IF(Panel!$B$8="TODAS",1,--($A7=Panel!$B$8)))*(IF(Panel!$C$8="TODAS",1,--($B7=Panel!$C$8)))*(IF(Panel!$D$8="",1,--($C7&gt;=Panel!$D$8)))*(IF(Panel!$E$8="",1,--($C7&lt;Panel!$E$8+1)))=1,MAX($K$1:K6)+1,""))</f>
      </c>
      <c r="M7" t="s">
        <v>57</v>
      </c>
    </row>
    <row r="8" spans="1:14" x14ac:dyDescent="0.25">
      <c r="A8" t="s">
        <v>55</v>
      </c>
      <c r="B8" t="s">
        <v>33</v>
      </c>
      <c r="C8" s="51">
        <v>46242.555555555555</v>
      </c>
      <c r="D8" t="s">
        <v>56</v>
      </c>
      <c r="E8" t="s">
        <v>42</v>
      </c>
      <c r="F8">
        <v>691</v>
      </c>
      <c r="G8" t="s">
        <v>95</v>
      </c>
      <c r="H8">
        <v>340</v>
      </c>
      <c r="I8" t="s">
        <v>48</v>
      </c>
      <c r="J8" t="s">
        <v>102</v>
      </c>
      <c r="K8">
        <f>IF($A8="","",IF((IF(Panel!$B$8="TODAS",1,--($A8=Panel!$B$8)))*(IF(Panel!$C$8="TODAS",1,--($B8=Panel!$C$8)))*(IF(Panel!$D$8="",1,--($C8&gt;=Panel!$D$8)))*(IF(Panel!$E$8="",1,--($C8&lt;Panel!$E$8+1)))=1,MAX($K$1:K7)+1,""))</f>
      </c>
      <c r="M8" t="s">
        <v>60</v>
      </c>
    </row>
    <row r="9" spans="1:14" x14ac:dyDescent="0.25">
      <c r="A9" t="s">
        <v>55</v>
      </c>
      <c r="B9" t="s">
        <v>35</v>
      </c>
      <c r="C9" s="51">
        <v>46242.819444444445</v>
      </c>
      <c r="D9" t="s">
        <v>56</v>
      </c>
      <c r="E9" t="s">
        <v>42</v>
      </c>
      <c r="F9">
        <v>691</v>
      </c>
      <c r="G9" t="s">
        <v>97</v>
      </c>
      <c r="H9">
        <v>9</v>
      </c>
      <c r="I9" t="s">
        <v>48</v>
      </c>
      <c r="J9" t="s">
        <v>103</v>
      </c>
      <c r="K9">
        <f>IF($A9="","",IF((IF(Panel!$B$8="TODAS",1,--($A9=Panel!$B$8)))*(IF(Panel!$C$8="TODAS",1,--($B9=Panel!$C$8)))*(IF(Panel!$D$8="",1,--($C9&gt;=Panel!$D$8)))*(IF(Panel!$E$8="",1,--($C9&lt;Panel!$E$8+1)))=1,MAX($K$1:K8)+1,""))</f>
      </c>
      <c r="M9" t="s">
        <v>62</v>
      </c>
    </row>
    <row r="10" spans="1:14" x14ac:dyDescent="0.25">
      <c r="A10" t="s">
        <v>57</v>
      </c>
      <c r="B10" t="s">
        <v>33</v>
      </c>
      <c r="C10" s="51">
        <v>46243.555555555555</v>
      </c>
      <c r="D10" t="s">
        <v>58</v>
      </c>
      <c r="E10" t="s">
        <v>42</v>
      </c>
      <c r="F10">
        <v>2462</v>
      </c>
      <c r="G10" t="s">
        <v>95</v>
      </c>
      <c r="H10">
        <v>12</v>
      </c>
      <c r="I10" t="s">
        <v>48</v>
      </c>
      <c r="J10" t="s">
        <v>102</v>
      </c>
      <c r="K10">
        <f>IF($A10="","",IF((IF(Panel!$B$8="TODAS",1,--($A10=Panel!$B$8)))*(IF(Panel!$C$8="TODAS",1,--($B10=Panel!$C$8)))*(IF(Panel!$D$8="",1,--($C10&gt;=Panel!$D$8)))*(IF(Panel!$E$8="",1,--($C10&lt;Panel!$E$8+1)))=1,MAX($K$1:K9)+1,""))</f>
      </c>
    </row>
    <row r="11" spans="1:14" x14ac:dyDescent="0.25">
      <c r="A11" t="s">
        <v>57</v>
      </c>
      <c r="B11" t="s">
        <v>35</v>
      </c>
      <c r="C11" s="51">
        <v>46243.819444444445</v>
      </c>
      <c r="D11" t="s">
        <v>58</v>
      </c>
      <c r="E11" t="s">
        <v>42</v>
      </c>
      <c r="F11">
        <v>2462</v>
      </c>
      <c r="G11" t="s">
        <v>97</v>
      </c>
      <c r="H11">
        <v>9</v>
      </c>
      <c r="I11" t="s">
        <v>48</v>
      </c>
      <c r="J11" t="s">
        <v>103</v>
      </c>
      <c r="K11">
        <f>IF($A11="","",IF((IF(Panel!$B$8="TODAS",1,--($A11=Panel!$B$8)))*(IF(Panel!$C$8="TODAS",1,--($B11=Panel!$C$8)))*(IF(Panel!$D$8="",1,--($C11&gt;=Panel!$D$8)))*(IF(Panel!$E$8="",1,--($C11&lt;Panel!$E$8+1)))=1,MAX($K$1:K10)+1,""))</f>
      </c>
    </row>
    <row r="12" spans="1:14" x14ac:dyDescent="0.25">
      <c r="A12" t="s">
        <v>60</v>
      </c>
      <c r="B12" t="s">
        <v>33</v>
      </c>
      <c r="C12" s="51">
        <v>46244.555555555555</v>
      </c>
      <c r="D12" t="s">
        <v>61</v>
      </c>
      <c r="E12" t="s">
        <v>42</v>
      </c>
      <c r="F12">
        <v>652</v>
      </c>
      <c r="G12" t="s">
        <v>95</v>
      </c>
      <c r="H12">
        <v>12</v>
      </c>
      <c r="I12" t="s">
        <v>48</v>
      </c>
      <c r="J12" t="s">
        <v>102</v>
      </c>
      <c r="K12">
        <f>IF($A12="","",IF((IF(Panel!$B$8="TODAS",1,--($A12=Panel!$B$8)))*(IF(Panel!$C$8="TODAS",1,--($B12=Panel!$C$8)))*(IF(Panel!$D$8="",1,--($C12&gt;=Panel!$D$8)))*(IF(Panel!$E$8="",1,--($C12&lt;Panel!$E$8+1)))=1,MAX($K$1:K11)+1,""))</f>
      </c>
    </row>
    <row r="13" spans="1:14" x14ac:dyDescent="0.25">
      <c r="A13" t="s">
        <v>60</v>
      </c>
      <c r="B13" t="s">
        <v>35</v>
      </c>
      <c r="C13" s="51">
        <v>46244.819444444445</v>
      </c>
      <c r="D13" t="s">
        <v>61</v>
      </c>
      <c r="E13" t="s">
        <v>42</v>
      </c>
      <c r="F13">
        <v>652</v>
      </c>
      <c r="G13" t="s">
        <v>97</v>
      </c>
      <c r="H13">
        <v>9</v>
      </c>
      <c r="I13" t="s">
        <v>48</v>
      </c>
      <c r="J13" t="s">
        <v>103</v>
      </c>
      <c r="K13">
        <f>IF($A13="","",IF((IF(Panel!$B$8="TODAS",1,--($A13=Panel!$B$8)))*(IF(Panel!$C$8="TODAS",1,--($B13=Panel!$C$8)))*(IF(Panel!$D$8="",1,--($C13&gt;=Panel!$D$8)))*(IF(Panel!$E$8="",1,--($C13&lt;Panel!$E$8+1)))=1,MAX($K$1:K12)+1,""))</f>
      </c>
    </row>
    <row r="14" spans="1:14" x14ac:dyDescent="0.25">
      <c r="A14" t="s">
        <v>62</v>
      </c>
      <c r="B14" t="s">
        <v>33</v>
      </c>
      <c r="C14" s="51">
        <v>46245.555555555555</v>
      </c>
      <c r="D14" t="s">
        <v>63</v>
      </c>
      <c r="E14" t="s">
        <v>42</v>
      </c>
      <c r="F14">
        <v>2981</v>
      </c>
      <c r="G14" t="s">
        <v>95</v>
      </c>
      <c r="H14">
        <v>12</v>
      </c>
      <c r="I14" t="s">
        <v>48</v>
      </c>
      <c r="J14" t="s">
        <v>102</v>
      </c>
      <c r="K14">
        <f>IF($A14="","",IF((IF(Panel!$B$8="TODAS",1,--($A14=Panel!$B$8)))*(IF(Panel!$C$8="TODAS",1,--($B14=Panel!$C$8)))*(IF(Panel!$D$8="",1,--($C14&gt;=Panel!$D$8)))*(IF(Panel!$E$8="",1,--($C14&lt;Panel!$E$8+1)))=1,MAX($K$1:K13)+1,""))</f>
      </c>
    </row>
    <row r="15" spans="1:14" x14ac:dyDescent="0.25">
      <c r="K15">
        <f>IF($A15="","",IF((IF(Panel!$B$8="TODAS",1,--($A15=Panel!$B$8)))*(IF(Panel!$C$8="TODAS",1,--($B15=Panel!$C$8)))*(IF(Panel!$D$8="",1,--($C15&gt;=Panel!$D$8)))*(IF(Panel!$E$8="",1,--($C15&lt;Panel!$E$8+1)))=1,MAX($K$1:K14)+1,""))</f>
      </c>
    </row>
    <row r="16" spans="1:14" x14ac:dyDescent="0.25">
      <c r="K16">
        <f>IF($A16="","",IF((IF(Panel!$B$8="TODAS",1,--($A16=Panel!$B$8)))*(IF(Panel!$C$8="TODAS",1,--($B16=Panel!$C$8)))*(IF(Panel!$D$8="",1,--($C16&gt;=Panel!$D$8)))*(IF(Panel!$E$8="",1,--($C16&lt;Panel!$E$8+1)))=1,MAX($K$1:K15)+1,""))</f>
      </c>
    </row>
    <row r="17" spans="1:14" x14ac:dyDescent="0.25">
      <c r="K17">
        <f>IF($A17="","",IF((IF(Panel!$B$8="TODAS",1,--($A17=Panel!$B$8)))*(IF(Panel!$C$8="TODAS",1,--($B17=Panel!$C$8)))*(IF(Panel!$D$8="",1,--($C17&gt;=Panel!$D$8)))*(IF(Panel!$E$8="",1,--($C17&lt;Panel!$E$8+1)))=1,MAX($K$1:K16)+1,""))</f>
      </c>
    </row>
    <row r="18" spans="1:14" x14ac:dyDescent="0.25">
      <c r="K18">
        <f>IF($A18="","",IF((IF(Panel!$B$8="TODAS",1,--($A18=Panel!$B$8)))*(IF(Panel!$C$8="TODAS",1,--($B18=Panel!$C$8)))*(IF(Panel!$D$8="",1,--($C18&gt;=Panel!$D$8)))*(IF(Panel!$E$8="",1,--($C18&lt;Panel!$E$8+1)))=1,MAX($K$1:K17)+1,""))</f>
      </c>
    </row>
    <row r="19" spans="1:14" x14ac:dyDescent="0.25">
      <c r="K19">
        <f>IF($A19="","",IF((IF(Panel!$B$8="TODAS",1,--($A19=Panel!$B$8)))*(IF(Panel!$C$8="TODAS",1,--($B19=Panel!$C$8)))*(IF(Panel!$D$8="",1,--($C19&gt;=Panel!$D$8)))*(IF(Panel!$E$8="",1,--($C19&lt;Panel!$E$8+1)))=1,MAX($K$1:K18)+1,""))</f>
      </c>
    </row>
    <row r="20" spans="1:14" x14ac:dyDescent="0.25">
      <c r="K20">
        <f>IF($A20="","",IF((IF(Panel!$B$8="TODAS",1,--($A20=Panel!$B$8)))*(IF(Panel!$C$8="TODAS",1,--($B20=Panel!$C$8)))*(IF(Panel!$D$8="",1,--($C20&gt;=Panel!$D$8)))*(IF(Panel!$E$8="",1,--($C20&lt;Panel!$E$8+1)))=1,MAX($K$1:K19)+1,""))</f>
      </c>
    </row>
    <row r="21" spans="1:14" x14ac:dyDescent="0.25">
      <c r="K21">
        <f>IF($A21="","",IF((IF(Panel!$B$8="TODAS",1,--($A21=Panel!$B$8)))*(IF(Panel!$C$8="TODAS",1,--($B21=Panel!$C$8)))*(IF(Panel!$D$8="",1,--($C21&gt;=Panel!$D$8)))*(IF(Panel!$E$8="",1,--($C21&lt;Panel!$E$8+1)))=1,MAX($K$1:K20)+1,""))</f>
      </c>
    </row>
    <row r="22" spans="1:14" x14ac:dyDescent="0.25">
      <c r="K22">
        <f>IF($A22="","",IF((IF(Panel!$B$8="TODAS",1,--($A22=Panel!$B$8)))*(IF(Panel!$C$8="TODAS",1,--($B22=Panel!$C$8)))*(IF(Panel!$D$8="",1,--($C22&gt;=Panel!$D$8)))*(IF(Panel!$E$8="",1,--($C22&lt;Panel!$E$8+1)))=1,MAX($K$1:K21)+1,""))</f>
      </c>
    </row>
    <row r="23" spans="1:14" x14ac:dyDescent="0.25">
      <c r="K23">
        <f>IF($A23="","",IF((IF(Panel!$B$8="TODAS",1,--($A23=Panel!$B$8)))*(IF(Panel!$C$8="TODAS",1,--($B23=Panel!$C$8)))*(IF(Panel!$D$8="",1,--($C23&gt;=Panel!$D$8)))*(IF(Panel!$E$8="",1,--($C23&lt;Panel!$E$8+1)))=1,MAX($K$1:K22)+1,""))</f>
      </c>
    </row>
    <row r="24" spans="1:14" x14ac:dyDescent="0.25">
      <c r="K24">
        <f>IF($A24="","",IF((IF(Panel!$B$8="TODAS",1,--($A24=Panel!$B$8)))*(IF(Panel!$C$8="TODAS",1,--($B24=Panel!$C$8)))*(IF(Panel!$D$8="",1,--($C24&gt;=Panel!$D$8)))*(IF(Panel!$E$8="",1,--($C24&lt;Panel!$E$8+1)))=1,MAX($K$1:K23)+1,""))</f>
      </c>
    </row>
    <row r="25" spans="1:14" x14ac:dyDescent="0.25">
      <c r="K25">
        <f>IF($A25="","",IF((IF(Panel!$B$8="TODAS",1,--($A25=Panel!$B$8)))*(IF(Panel!$C$8="TODAS",1,--($B25=Panel!$C$8)))*(IF(Panel!$D$8="",1,--($C25&gt;=Panel!$D$8)))*(IF(Panel!$E$8="",1,--($C25&lt;Panel!$E$8+1)))=1,MAX($K$1:K24)+1,""))</f>
      </c>
    </row>
    <row r="26" spans="1:14" x14ac:dyDescent="0.25">
      <c r="K26">
        <f>IF($A26="","",IF((IF(Panel!$B$8="TODAS",1,--($A26=Panel!$B$8)))*(IF(Panel!$C$8="TODAS",1,--($B26=Panel!$C$8)))*(IF(Panel!$D$8="",1,--($C26&gt;=Panel!$D$8)))*(IF(Panel!$E$8="",1,--($C26&lt;Panel!$E$8+1)))=1,MAX($K$1:K25)+1,""))</f>
      </c>
    </row>
    <row r="27" spans="1:14" x14ac:dyDescent="0.25">
      <c r="K27">
        <f>IF($A27="","",IF((IF(Panel!$B$8="TODAS",1,--($A27=Panel!$B$8)))*(IF(Panel!$C$8="TODAS",1,--($B27=Panel!$C$8)))*(IF(Panel!$D$8="",1,--($C27&gt;=Panel!$D$8)))*(IF(Panel!$E$8="",1,--($C27&lt;Panel!$E$8+1)))=1,MAX($K$1:K26)+1,""))</f>
      </c>
    </row>
    <row r="28" spans="1:14" x14ac:dyDescent="0.25">
      <c r="K28">
        <f>IF($A28="","",IF((IF(Panel!$B$8="TODAS",1,--($A28=Panel!$B$8)))*(IF(Panel!$C$8="TODAS",1,--($B28=Panel!$C$8)))*(IF(Panel!$D$8="",1,--($C28&gt;=Panel!$D$8)))*(IF(Panel!$E$8="",1,--($C28&lt;Panel!$E$8+1)))=1,MAX($K$1:K27)+1,""))</f>
      </c>
    </row>
    <row r="29" spans="1:14" x14ac:dyDescent="0.25">
      <c r="K29">
        <f>IF($A29="","",IF((IF(Panel!$B$8="TODAS",1,--($A29=Panel!$B$8)))*(IF(Panel!$C$8="TODAS",1,--($B29=Panel!$C$8)))*(IF(Panel!$D$8="",1,--($C29&gt;=Panel!$D$8)))*(IF(Panel!$E$8="",1,--($C29&lt;Panel!$E$8+1)))=1,MAX($K$1:K28)+1,""))</f>
      </c>
    </row>
    <row r="30" spans="1:14" x14ac:dyDescent="0.25">
      <c r="K30">
        <f>IF($A30="","",IF((IF(Panel!$B$8="TODAS",1,--($A30=Panel!$B$8)))*(IF(Panel!$C$8="TODAS",1,--($B30=Panel!$C$8)))*(IF(Panel!$D$8="",1,--($C30&gt;=Panel!$D$8)))*(IF(Panel!$E$8="",1,--($C30&lt;Panel!$E$8+1)))=1,MAX($K$1:K29)+1,""))</f>
      </c>
    </row>
    <row r="31" spans="1:14" x14ac:dyDescent="0.25">
      <c r="K31">
        <f>IF($A31="","",IF((IF(Panel!$B$8="TODAS",1,--($A31=Panel!$B$8)))*(IF(Panel!$C$8="TODAS",1,--($B31=Panel!$C$8)))*(IF(Panel!$D$8="",1,--($C31&gt;=Panel!$D$8)))*(IF(Panel!$E$8="",1,--($C31&lt;Panel!$E$8+1)))=1,MAX($K$1:K30)+1,""))</f>
      </c>
    </row>
    <row r="32" spans="1:14" x14ac:dyDescent="0.25">
      <c r="K32">
        <f>IF($A32="","",IF((IF(Panel!$B$8="TODAS",1,--($A32=Panel!$B$8)))*(IF(Panel!$C$8="TODAS",1,--($B32=Panel!$C$8)))*(IF(Panel!$D$8="",1,--($C32&gt;=Panel!$D$8)))*(IF(Panel!$E$8="",1,--($C32&lt;Panel!$E$8+1)))=1,MAX($K$1:K31)+1,""))</f>
      </c>
    </row>
    <row r="33" spans="1:14" x14ac:dyDescent="0.25">
      <c r="K33">
        <f>IF($A33="","",IF((IF(Panel!$B$8="TODAS",1,--($A33=Panel!$B$8)))*(IF(Panel!$C$8="TODAS",1,--($B33=Panel!$C$8)))*(IF(Panel!$D$8="",1,--($C33&gt;=Panel!$D$8)))*(IF(Panel!$E$8="",1,--($C33&lt;Panel!$E$8+1)))=1,MAX($K$1:K32)+1,""))</f>
      </c>
    </row>
    <row r="34" spans="1:14" x14ac:dyDescent="0.25">
      <c r="K34">
        <f>IF($A34="","",IF((IF(Panel!$B$8="TODAS",1,--($A34=Panel!$B$8)))*(IF(Panel!$C$8="TODAS",1,--($B34=Panel!$C$8)))*(IF(Panel!$D$8="",1,--($C34&gt;=Panel!$D$8)))*(IF(Panel!$E$8="",1,--($C34&lt;Panel!$E$8+1)))=1,MAX($K$1:K33)+1,""))</f>
      </c>
    </row>
    <row r="35" spans="1:14" x14ac:dyDescent="0.25">
      <c r="K35">
        <f>IF($A35="","",IF((IF(Panel!$B$8="TODAS",1,--($A35=Panel!$B$8)))*(IF(Panel!$C$8="TODAS",1,--($B35=Panel!$C$8)))*(IF(Panel!$D$8="",1,--($C35&gt;=Panel!$D$8)))*(IF(Panel!$E$8="",1,--($C35&lt;Panel!$E$8+1)))=1,MAX($K$1:K34)+1,""))</f>
      </c>
    </row>
    <row r="36" spans="1:14" x14ac:dyDescent="0.25">
      <c r="K36">
        <f>IF($A36="","",IF((IF(Panel!$B$8="TODAS",1,--($A36=Panel!$B$8)))*(IF(Panel!$C$8="TODAS",1,--($B36=Panel!$C$8)))*(IF(Panel!$D$8="",1,--($C36&gt;=Panel!$D$8)))*(IF(Panel!$E$8="",1,--($C36&lt;Panel!$E$8+1)))=1,MAX($K$1:K35)+1,""))</f>
      </c>
    </row>
    <row r="37" spans="1:14" x14ac:dyDescent="0.25">
      <c r="K37">
        <f>IF($A37="","",IF((IF(Panel!$B$8="TODAS",1,--($A37=Panel!$B$8)))*(IF(Panel!$C$8="TODAS",1,--($B37=Panel!$C$8)))*(IF(Panel!$D$8="",1,--($C37&gt;=Panel!$D$8)))*(IF(Panel!$E$8="",1,--($C37&lt;Panel!$E$8+1)))=1,MAX($K$1:K36)+1,""))</f>
      </c>
    </row>
    <row r="38" spans="1:14" x14ac:dyDescent="0.25">
      <c r="K38">
        <f>IF($A38="","",IF((IF(Panel!$B$8="TODAS",1,--($A38=Panel!$B$8)))*(IF(Panel!$C$8="TODAS",1,--($B38=Panel!$C$8)))*(IF(Panel!$D$8="",1,--($C38&gt;=Panel!$D$8)))*(IF(Panel!$E$8="",1,--($C38&lt;Panel!$E$8+1)))=1,MAX($K$1:K37)+1,""))</f>
      </c>
    </row>
    <row r="39" spans="1:14" x14ac:dyDescent="0.25">
      <c r="K39">
        <f>IF($A39="","",IF((IF(Panel!$B$8="TODAS",1,--($A39=Panel!$B$8)))*(IF(Panel!$C$8="TODAS",1,--($B39=Panel!$C$8)))*(IF(Panel!$D$8="",1,--($C39&gt;=Panel!$D$8)))*(IF(Panel!$E$8="",1,--($C39&lt;Panel!$E$8+1)))=1,MAX($K$1:K38)+1,""))</f>
      </c>
    </row>
    <row r="40" spans="1:14" x14ac:dyDescent="0.25">
      <c r="K40">
        <f>IF($A40="","",IF((IF(Panel!$B$8="TODAS",1,--($A40=Panel!$B$8)))*(IF(Panel!$C$8="TODAS",1,--($B40=Panel!$C$8)))*(IF(Panel!$D$8="",1,--($C40&gt;=Panel!$D$8)))*(IF(Panel!$E$8="",1,--($C40&lt;Panel!$E$8+1)))=1,MAX($K$1:K39)+1,""))</f>
      </c>
    </row>
    <row r="41" spans="1:14" x14ac:dyDescent="0.25">
      <c r="K41">
        <f>IF($A41="","",IF((IF(Panel!$B$8="TODAS",1,--($A41=Panel!$B$8)))*(IF(Panel!$C$8="TODAS",1,--($B41=Panel!$C$8)))*(IF(Panel!$D$8="",1,--($C41&gt;=Panel!$D$8)))*(IF(Panel!$E$8="",1,--($C41&lt;Panel!$E$8+1)))=1,MAX($K$1:K40)+1,""))</f>
      </c>
    </row>
    <row r="42" spans="1:14" x14ac:dyDescent="0.25">
      <c r="K42">
        <f>IF($A42="","",IF((IF(Panel!$B$8="TODAS",1,--($A42=Panel!$B$8)))*(IF(Panel!$C$8="TODAS",1,--($B42=Panel!$C$8)))*(IF(Panel!$D$8="",1,--($C42&gt;=Panel!$D$8)))*(IF(Panel!$E$8="",1,--($C42&lt;Panel!$E$8+1)))=1,MAX($K$1:K41)+1,""))</f>
      </c>
    </row>
    <row r="43" spans="1:14" x14ac:dyDescent="0.25">
      <c r="K43">
        <f>IF($A43="","",IF((IF(Panel!$B$8="TODAS",1,--($A43=Panel!$B$8)))*(IF(Panel!$C$8="TODAS",1,--($B43=Panel!$C$8)))*(IF(Panel!$D$8="",1,--($C43&gt;=Panel!$D$8)))*(IF(Panel!$E$8="",1,--($C43&lt;Panel!$E$8+1)))=1,MAX($K$1:K42)+1,""))</f>
      </c>
    </row>
    <row r="44" spans="1:14" x14ac:dyDescent="0.25">
      <c r="K44">
        <f>IF($A44="","",IF((IF(Panel!$B$8="TODAS",1,--($A44=Panel!$B$8)))*(IF(Panel!$C$8="TODAS",1,--($B44=Panel!$C$8)))*(IF(Panel!$D$8="",1,--($C44&gt;=Panel!$D$8)))*(IF(Panel!$E$8="",1,--($C44&lt;Panel!$E$8+1)))=1,MAX($K$1:K43)+1,""))</f>
      </c>
    </row>
    <row r="45" spans="1:14" x14ac:dyDescent="0.25">
      <c r="K45">
        <f>IF($A45="","",IF((IF(Panel!$B$8="TODAS",1,--($A45=Panel!$B$8)))*(IF(Panel!$C$8="TODAS",1,--($B45=Panel!$C$8)))*(IF(Panel!$D$8="",1,--($C45&gt;=Panel!$D$8)))*(IF(Panel!$E$8="",1,--($C45&lt;Panel!$E$8+1)))=1,MAX($K$1:K44)+1,""))</f>
      </c>
    </row>
    <row r="46" spans="1:14" x14ac:dyDescent="0.25">
      <c r="K46">
        <f>IF($A46="","",IF((IF(Panel!$B$8="TODAS",1,--($A46=Panel!$B$8)))*(IF(Panel!$C$8="TODAS",1,--($B46=Panel!$C$8)))*(IF(Panel!$D$8="",1,--($C46&gt;=Panel!$D$8)))*(IF(Panel!$E$8="",1,--($C46&lt;Panel!$E$8+1)))=1,MAX($K$1:K45)+1,""))</f>
      </c>
    </row>
    <row r="47" spans="1:14" x14ac:dyDescent="0.25">
      <c r="K47">
        <f>IF($A47="","",IF((IF(Panel!$B$8="TODAS",1,--($A47=Panel!$B$8)))*(IF(Panel!$C$8="TODAS",1,--($B47=Panel!$C$8)))*(IF(Panel!$D$8="",1,--($C47&gt;=Panel!$D$8)))*(IF(Panel!$E$8="",1,--($C47&lt;Panel!$E$8+1)))=1,MAX($K$1:K46)+1,""))</f>
      </c>
    </row>
    <row r="48" spans="1:14" x14ac:dyDescent="0.25">
      <c r="K48">
        <f>IF($A48="","",IF((IF(Panel!$B$8="TODAS",1,--($A48=Panel!$B$8)))*(IF(Panel!$C$8="TODAS",1,--($B48=Panel!$C$8)))*(IF(Panel!$D$8="",1,--($C48&gt;=Panel!$D$8)))*(IF(Panel!$E$8="",1,--($C48&lt;Panel!$E$8+1)))=1,MAX($K$1:K47)+1,""))</f>
      </c>
    </row>
    <row r="49" spans="1:14" x14ac:dyDescent="0.25">
      <c r="K49">
        <f>IF($A49="","",IF((IF(Panel!$B$8="TODAS",1,--($A49=Panel!$B$8)))*(IF(Panel!$C$8="TODAS",1,--($B49=Panel!$C$8)))*(IF(Panel!$D$8="",1,--($C49&gt;=Panel!$D$8)))*(IF(Panel!$E$8="",1,--($C49&lt;Panel!$E$8+1)))=1,MAX($K$1:K48)+1,""))</f>
      </c>
    </row>
    <row r="50" spans="1:14" x14ac:dyDescent="0.25">
      <c r="K50">
        <f>IF($A50="","",IF((IF(Panel!$B$8="TODAS",1,--($A50=Panel!$B$8)))*(IF(Panel!$C$8="TODAS",1,--($B50=Panel!$C$8)))*(IF(Panel!$D$8="",1,--($C50&gt;=Panel!$D$8)))*(IF(Panel!$E$8="",1,--($C50&lt;Panel!$E$8+1)))=1,MAX($K$1:K49)+1,""))</f>
      </c>
    </row>
    <row r="51" spans="1:14" x14ac:dyDescent="0.25">
      <c r="K51">
        <f>IF($A51="","",IF((IF(Panel!$B$8="TODAS",1,--($A51=Panel!$B$8)))*(IF(Panel!$C$8="TODAS",1,--($B51=Panel!$C$8)))*(IF(Panel!$D$8="",1,--($C51&gt;=Panel!$D$8)))*(IF(Panel!$E$8="",1,--($C51&lt;Panel!$E$8+1)))=1,MAX($K$1:K50)+1,""))</f>
      </c>
    </row>
    <row r="52" spans="1:14" x14ac:dyDescent="0.25">
      <c r="K52">
        <f>IF($A52="","",IF((IF(Panel!$B$8="TODAS",1,--($A52=Panel!$B$8)))*(IF(Panel!$C$8="TODAS",1,--($B52=Panel!$C$8)))*(IF(Panel!$D$8="",1,--($C52&gt;=Panel!$D$8)))*(IF(Panel!$E$8="",1,--($C52&lt;Panel!$E$8+1)))=1,MAX($K$1:K51)+1,""))</f>
      </c>
    </row>
    <row r="53" spans="1:14" x14ac:dyDescent="0.25">
      <c r="K53">
        <f>IF($A53="","",IF((IF(Panel!$B$8="TODAS",1,--($A53=Panel!$B$8)))*(IF(Panel!$C$8="TODAS",1,--($B53=Panel!$C$8)))*(IF(Panel!$D$8="",1,--($C53&gt;=Panel!$D$8)))*(IF(Panel!$E$8="",1,--($C53&lt;Panel!$E$8+1)))=1,MAX($K$1:K52)+1,""))</f>
      </c>
    </row>
    <row r="54" spans="1:14" x14ac:dyDescent="0.25">
      <c r="K54">
        <f>IF($A54="","",IF((IF(Panel!$B$8="TODAS",1,--($A54=Panel!$B$8)))*(IF(Panel!$C$8="TODAS",1,--($B54=Panel!$C$8)))*(IF(Panel!$D$8="",1,--($C54&gt;=Panel!$D$8)))*(IF(Panel!$E$8="",1,--($C54&lt;Panel!$E$8+1)))=1,MAX($K$1:K53)+1,""))</f>
      </c>
    </row>
    <row r="55" spans="1:14" x14ac:dyDescent="0.25">
      <c r="K55">
        <f>IF($A55="","",IF((IF(Panel!$B$8="TODAS",1,--($A55=Panel!$B$8)))*(IF(Panel!$C$8="TODAS",1,--($B55=Panel!$C$8)))*(IF(Panel!$D$8="",1,--($C55&gt;=Panel!$D$8)))*(IF(Panel!$E$8="",1,--($C55&lt;Panel!$E$8+1)))=1,MAX($K$1:K54)+1,""))</f>
      </c>
    </row>
    <row r="56" spans="1:14" x14ac:dyDescent="0.25">
      <c r="K56">
        <f>IF($A56="","",IF((IF(Panel!$B$8="TODAS",1,--($A56=Panel!$B$8)))*(IF(Panel!$C$8="TODAS",1,--($B56=Panel!$C$8)))*(IF(Panel!$D$8="",1,--($C56&gt;=Panel!$D$8)))*(IF(Panel!$E$8="",1,--($C56&lt;Panel!$E$8+1)))=1,MAX($K$1:K55)+1,""))</f>
      </c>
    </row>
    <row r="57" spans="1:14" x14ac:dyDescent="0.25">
      <c r="K57">
        <f>IF($A57="","",IF((IF(Panel!$B$8="TODAS",1,--($A57=Panel!$B$8)))*(IF(Panel!$C$8="TODAS",1,--($B57=Panel!$C$8)))*(IF(Panel!$D$8="",1,--($C57&gt;=Panel!$D$8)))*(IF(Panel!$E$8="",1,--($C57&lt;Panel!$E$8+1)))=1,MAX($K$1:K56)+1,""))</f>
      </c>
    </row>
    <row r="58" spans="1:14" x14ac:dyDescent="0.25">
      <c r="K58">
        <f>IF($A58="","",IF((IF(Panel!$B$8="TODAS",1,--($A58=Panel!$B$8)))*(IF(Panel!$C$8="TODAS",1,--($B58=Panel!$C$8)))*(IF(Panel!$D$8="",1,--($C58&gt;=Panel!$D$8)))*(IF(Panel!$E$8="",1,--($C58&lt;Panel!$E$8+1)))=1,MAX($K$1:K57)+1,""))</f>
      </c>
    </row>
    <row r="59" spans="1:14" x14ac:dyDescent="0.25">
      <c r="K59">
        <f>IF($A59="","",IF((IF(Panel!$B$8="TODAS",1,--($A59=Panel!$B$8)))*(IF(Panel!$C$8="TODAS",1,--($B59=Panel!$C$8)))*(IF(Panel!$D$8="",1,--($C59&gt;=Panel!$D$8)))*(IF(Panel!$E$8="",1,--($C59&lt;Panel!$E$8+1)))=1,MAX($K$1:K58)+1,""))</f>
      </c>
    </row>
    <row r="60" spans="1:14" x14ac:dyDescent="0.25">
      <c r="K60">
        <f>IF($A60="","",IF((IF(Panel!$B$8="TODAS",1,--($A60=Panel!$B$8)))*(IF(Panel!$C$8="TODAS",1,--($B60=Panel!$C$8)))*(IF(Panel!$D$8="",1,--($C60&gt;=Panel!$D$8)))*(IF(Panel!$E$8="",1,--($C60&lt;Panel!$E$8+1)))=1,MAX($K$1:K59)+1,""))</f>
      </c>
    </row>
    <row r="61" spans="1:14" x14ac:dyDescent="0.25">
      <c r="K61">
        <f>IF($A61="","",IF((IF(Panel!$B$8="TODAS",1,--($A61=Panel!$B$8)))*(IF(Panel!$C$8="TODAS",1,--($B61=Panel!$C$8)))*(IF(Panel!$D$8="",1,--($C61&gt;=Panel!$D$8)))*(IF(Panel!$E$8="",1,--($C61&lt;Panel!$E$8+1)))=1,MAX($K$1:K60)+1,""))</f>
      </c>
    </row>
    <row r="62" spans="1:14" x14ac:dyDescent="0.25">
      <c r="K62">
        <f>IF($A62="","",IF((IF(Panel!$B$8="TODAS",1,--($A62=Panel!$B$8)))*(IF(Panel!$C$8="TODAS",1,--($B62=Panel!$C$8)))*(IF(Panel!$D$8="",1,--($C62&gt;=Panel!$D$8)))*(IF(Panel!$E$8="",1,--($C62&lt;Panel!$E$8+1)))=1,MAX($K$1:K61)+1,""))</f>
      </c>
    </row>
    <row r="63" spans="1:14" x14ac:dyDescent="0.25">
      <c r="K63">
        <f>IF($A63="","",IF((IF(Panel!$B$8="TODAS",1,--($A63=Panel!$B$8)))*(IF(Panel!$C$8="TODAS",1,--($B63=Panel!$C$8)))*(IF(Panel!$D$8="",1,--($C63&gt;=Panel!$D$8)))*(IF(Panel!$E$8="",1,--($C63&lt;Panel!$E$8+1)))=1,MAX($K$1:K62)+1,""))</f>
      </c>
    </row>
    <row r="64" spans="1:14" x14ac:dyDescent="0.25">
      <c r="K64">
        <f>IF($A64="","",IF((IF(Panel!$B$8="TODAS",1,--($A64=Panel!$B$8)))*(IF(Panel!$C$8="TODAS",1,--($B64=Panel!$C$8)))*(IF(Panel!$D$8="",1,--($C64&gt;=Panel!$D$8)))*(IF(Panel!$E$8="",1,--($C64&lt;Panel!$E$8+1)))=1,MAX($K$1:K63)+1,""))</f>
      </c>
    </row>
    <row r="65" spans="1:14" x14ac:dyDescent="0.25">
      <c r="K65">
        <f>IF($A65="","",IF((IF(Panel!$B$8="TODAS",1,--($A65=Panel!$B$8)))*(IF(Panel!$C$8="TODAS",1,--($B65=Panel!$C$8)))*(IF(Panel!$D$8="",1,--($C65&gt;=Panel!$D$8)))*(IF(Panel!$E$8="",1,--($C65&lt;Panel!$E$8+1)))=1,MAX($K$1:K64)+1,""))</f>
      </c>
    </row>
    <row r="66" spans="1:14" x14ac:dyDescent="0.25">
      <c r="K66">
        <f>IF($A66="","",IF((IF(Panel!$B$8="TODAS",1,--($A66=Panel!$B$8)))*(IF(Panel!$C$8="TODAS",1,--($B66=Panel!$C$8)))*(IF(Panel!$D$8="",1,--($C66&gt;=Panel!$D$8)))*(IF(Panel!$E$8="",1,--($C66&lt;Panel!$E$8+1)))=1,MAX($K$1:K65)+1,""))</f>
      </c>
    </row>
    <row r="67" spans="1:14" x14ac:dyDescent="0.25">
      <c r="K67">
        <f>IF($A67="","",IF((IF(Panel!$B$8="TODAS",1,--($A67=Panel!$B$8)))*(IF(Panel!$C$8="TODAS",1,--($B67=Panel!$C$8)))*(IF(Panel!$D$8="",1,--($C67&gt;=Panel!$D$8)))*(IF(Panel!$E$8="",1,--($C67&lt;Panel!$E$8+1)))=1,MAX($K$1:K66)+1,""))</f>
      </c>
    </row>
    <row r="68" spans="1:14" x14ac:dyDescent="0.25">
      <c r="K68">
        <f>IF($A68="","",IF((IF(Panel!$B$8="TODAS",1,--($A68=Panel!$B$8)))*(IF(Panel!$C$8="TODAS",1,--($B68=Panel!$C$8)))*(IF(Panel!$D$8="",1,--($C68&gt;=Panel!$D$8)))*(IF(Panel!$E$8="",1,--($C68&lt;Panel!$E$8+1)))=1,MAX($K$1:K67)+1,""))</f>
      </c>
    </row>
    <row r="69" spans="1:14" x14ac:dyDescent="0.25">
      <c r="K69">
        <f>IF($A69="","",IF((IF(Panel!$B$8="TODAS",1,--($A69=Panel!$B$8)))*(IF(Panel!$C$8="TODAS",1,--($B69=Panel!$C$8)))*(IF(Panel!$D$8="",1,--($C69&gt;=Panel!$D$8)))*(IF(Panel!$E$8="",1,--($C69&lt;Panel!$E$8+1)))=1,MAX($K$1:K68)+1,""))</f>
      </c>
    </row>
    <row r="70" spans="1:14" x14ac:dyDescent="0.25">
      <c r="K70">
        <f>IF($A70="","",IF((IF(Panel!$B$8="TODAS",1,--($A70=Panel!$B$8)))*(IF(Panel!$C$8="TODAS",1,--($B70=Panel!$C$8)))*(IF(Panel!$D$8="",1,--($C70&gt;=Panel!$D$8)))*(IF(Panel!$E$8="",1,--($C70&lt;Panel!$E$8+1)))=1,MAX($K$1:K69)+1,""))</f>
      </c>
    </row>
    <row r="71" spans="1:14" x14ac:dyDescent="0.25">
      <c r="K71">
        <f>IF($A71="","",IF((IF(Panel!$B$8="TODAS",1,--($A71=Panel!$B$8)))*(IF(Panel!$C$8="TODAS",1,--($B71=Panel!$C$8)))*(IF(Panel!$D$8="",1,--($C71&gt;=Panel!$D$8)))*(IF(Panel!$E$8="",1,--($C71&lt;Panel!$E$8+1)))=1,MAX($K$1:K70)+1,""))</f>
      </c>
    </row>
    <row r="72" spans="1:14" x14ac:dyDescent="0.25">
      <c r="K72">
        <f>IF($A72="","",IF((IF(Panel!$B$8="TODAS",1,--($A72=Panel!$B$8)))*(IF(Panel!$C$8="TODAS",1,--($B72=Panel!$C$8)))*(IF(Panel!$D$8="",1,--($C72&gt;=Panel!$D$8)))*(IF(Panel!$E$8="",1,--($C72&lt;Panel!$E$8+1)))=1,MAX($K$1:K71)+1,""))</f>
      </c>
    </row>
    <row r="73" spans="1:14" x14ac:dyDescent="0.25">
      <c r="K73">
        <f>IF($A73="","",IF((IF(Panel!$B$8="TODAS",1,--($A73=Panel!$B$8)))*(IF(Panel!$C$8="TODAS",1,--($B73=Panel!$C$8)))*(IF(Panel!$D$8="",1,--($C73&gt;=Panel!$D$8)))*(IF(Panel!$E$8="",1,--($C73&lt;Panel!$E$8+1)))=1,MAX($K$1:K72)+1,""))</f>
      </c>
    </row>
    <row r="74" spans="1:14" x14ac:dyDescent="0.25">
      <c r="K74">
        <f>IF($A74="","",IF((IF(Panel!$B$8="TODAS",1,--($A74=Panel!$B$8)))*(IF(Panel!$C$8="TODAS",1,--($B74=Panel!$C$8)))*(IF(Panel!$D$8="",1,--($C74&gt;=Panel!$D$8)))*(IF(Panel!$E$8="",1,--($C74&lt;Panel!$E$8+1)))=1,MAX($K$1:K73)+1,""))</f>
      </c>
    </row>
    <row r="75" spans="1:14" x14ac:dyDescent="0.25">
      <c r="K75">
        <f>IF($A75="","",IF((IF(Panel!$B$8="TODAS",1,--($A75=Panel!$B$8)))*(IF(Panel!$C$8="TODAS",1,--($B75=Panel!$C$8)))*(IF(Panel!$D$8="",1,--($C75&gt;=Panel!$D$8)))*(IF(Panel!$E$8="",1,--($C75&lt;Panel!$E$8+1)))=1,MAX($K$1:K74)+1,""))</f>
      </c>
    </row>
    <row r="76" spans="1:14" x14ac:dyDescent="0.25">
      <c r="K76">
        <f>IF($A76="","",IF((IF(Panel!$B$8="TODAS",1,--($A76=Panel!$B$8)))*(IF(Panel!$C$8="TODAS",1,--($B76=Panel!$C$8)))*(IF(Panel!$D$8="",1,--($C76&gt;=Panel!$D$8)))*(IF(Panel!$E$8="",1,--($C76&lt;Panel!$E$8+1)))=1,MAX($K$1:K75)+1,""))</f>
      </c>
    </row>
    <row r="77" spans="1:14" x14ac:dyDescent="0.25">
      <c r="K77">
        <f>IF($A77="","",IF((IF(Panel!$B$8="TODAS",1,--($A77=Panel!$B$8)))*(IF(Panel!$C$8="TODAS",1,--($B77=Panel!$C$8)))*(IF(Panel!$D$8="",1,--($C77&gt;=Panel!$D$8)))*(IF(Panel!$E$8="",1,--($C77&lt;Panel!$E$8+1)))=1,MAX($K$1:K76)+1,""))</f>
      </c>
    </row>
    <row r="78" spans="1:14" x14ac:dyDescent="0.25">
      <c r="K78">
        <f>IF($A78="","",IF((IF(Panel!$B$8="TODAS",1,--($A78=Panel!$B$8)))*(IF(Panel!$C$8="TODAS",1,--($B78=Panel!$C$8)))*(IF(Panel!$D$8="",1,--($C78&gt;=Panel!$D$8)))*(IF(Panel!$E$8="",1,--($C78&lt;Panel!$E$8+1)))=1,MAX($K$1:K77)+1,""))</f>
      </c>
    </row>
    <row r="79" spans="1:14" x14ac:dyDescent="0.25">
      <c r="K79">
        <f>IF($A79="","",IF((IF(Panel!$B$8="TODAS",1,--($A79=Panel!$B$8)))*(IF(Panel!$C$8="TODAS",1,--($B79=Panel!$C$8)))*(IF(Panel!$D$8="",1,--($C79&gt;=Panel!$D$8)))*(IF(Panel!$E$8="",1,--($C79&lt;Panel!$E$8+1)))=1,MAX($K$1:K78)+1,""))</f>
      </c>
    </row>
    <row r="80" spans="1:14" x14ac:dyDescent="0.25">
      <c r="K80">
        <f>IF($A80="","",IF((IF(Panel!$B$8="TODAS",1,--($A80=Panel!$B$8)))*(IF(Panel!$C$8="TODAS",1,--($B80=Panel!$C$8)))*(IF(Panel!$D$8="",1,--($C80&gt;=Panel!$D$8)))*(IF(Panel!$E$8="",1,--($C80&lt;Panel!$E$8+1)))=1,MAX($K$1:K79)+1,""))</f>
      </c>
    </row>
    <row r="81" spans="1:14" x14ac:dyDescent="0.25">
      <c r="K81">
        <f>IF($A81="","",IF((IF(Panel!$B$8="TODAS",1,--($A81=Panel!$B$8)))*(IF(Panel!$C$8="TODAS",1,--($B81=Panel!$C$8)))*(IF(Panel!$D$8="",1,--($C81&gt;=Panel!$D$8)))*(IF(Panel!$E$8="",1,--($C81&lt;Panel!$E$8+1)))=1,MAX($K$1:K80)+1,""))</f>
      </c>
    </row>
    <row r="82" spans="1:14" x14ac:dyDescent="0.25">
      <c r="K82">
        <f>IF($A82="","",IF((IF(Panel!$B$8="TODAS",1,--($A82=Panel!$B$8)))*(IF(Panel!$C$8="TODAS",1,--($B82=Panel!$C$8)))*(IF(Panel!$D$8="",1,--($C82&gt;=Panel!$D$8)))*(IF(Panel!$E$8="",1,--($C82&lt;Panel!$E$8+1)))=1,MAX($K$1:K81)+1,""))</f>
      </c>
    </row>
    <row r="83" spans="1:14" x14ac:dyDescent="0.25">
      <c r="K83">
        <f>IF($A83="","",IF((IF(Panel!$B$8="TODAS",1,--($A83=Panel!$B$8)))*(IF(Panel!$C$8="TODAS",1,--($B83=Panel!$C$8)))*(IF(Panel!$D$8="",1,--($C83&gt;=Panel!$D$8)))*(IF(Panel!$E$8="",1,--($C83&lt;Panel!$E$8+1)))=1,MAX($K$1:K82)+1,""))</f>
      </c>
    </row>
    <row r="84" spans="1:14" x14ac:dyDescent="0.25">
      <c r="K84">
        <f>IF($A84="","",IF((IF(Panel!$B$8="TODAS",1,--($A84=Panel!$B$8)))*(IF(Panel!$C$8="TODAS",1,--($B84=Panel!$C$8)))*(IF(Panel!$D$8="",1,--($C84&gt;=Panel!$D$8)))*(IF(Panel!$E$8="",1,--($C84&lt;Panel!$E$8+1)))=1,MAX($K$1:K83)+1,""))</f>
      </c>
    </row>
    <row r="85" spans="1:14" x14ac:dyDescent="0.25">
      <c r="K85">
        <f>IF($A85="","",IF((IF(Panel!$B$8="TODAS",1,--($A85=Panel!$B$8)))*(IF(Panel!$C$8="TODAS",1,--($B85=Panel!$C$8)))*(IF(Panel!$D$8="",1,--($C85&gt;=Panel!$D$8)))*(IF(Panel!$E$8="",1,--($C85&lt;Panel!$E$8+1)))=1,MAX($K$1:K84)+1,""))</f>
      </c>
    </row>
    <row r="86" spans="1:14" x14ac:dyDescent="0.25">
      <c r="K86">
        <f>IF($A86="","",IF((IF(Panel!$B$8="TODAS",1,--($A86=Panel!$B$8)))*(IF(Panel!$C$8="TODAS",1,--($B86=Panel!$C$8)))*(IF(Panel!$D$8="",1,--($C86&gt;=Panel!$D$8)))*(IF(Panel!$E$8="",1,--($C86&lt;Panel!$E$8+1)))=1,MAX($K$1:K85)+1,""))</f>
      </c>
    </row>
    <row r="87" spans="1:14" x14ac:dyDescent="0.25">
      <c r="K87">
        <f>IF($A87="","",IF((IF(Panel!$B$8="TODAS",1,--($A87=Panel!$B$8)))*(IF(Panel!$C$8="TODAS",1,--($B87=Panel!$C$8)))*(IF(Panel!$D$8="",1,--($C87&gt;=Panel!$D$8)))*(IF(Panel!$E$8="",1,--($C87&lt;Panel!$E$8+1)))=1,MAX($K$1:K86)+1,""))</f>
      </c>
    </row>
    <row r="88" spans="1:14" x14ac:dyDescent="0.25">
      <c r="K88">
        <f>IF($A88="","",IF((IF(Panel!$B$8="TODAS",1,--($A88=Panel!$B$8)))*(IF(Panel!$C$8="TODAS",1,--($B88=Panel!$C$8)))*(IF(Panel!$D$8="",1,--($C88&gt;=Panel!$D$8)))*(IF(Panel!$E$8="",1,--($C88&lt;Panel!$E$8+1)))=1,MAX($K$1:K87)+1,""))</f>
      </c>
    </row>
    <row r="89" spans="1:14" x14ac:dyDescent="0.25">
      <c r="K89">
        <f>IF($A89="","",IF((IF(Panel!$B$8="TODAS",1,--($A89=Panel!$B$8)))*(IF(Panel!$C$8="TODAS",1,--($B89=Panel!$C$8)))*(IF(Panel!$D$8="",1,--($C89&gt;=Panel!$D$8)))*(IF(Panel!$E$8="",1,--($C89&lt;Panel!$E$8+1)))=1,MAX($K$1:K88)+1,""))</f>
      </c>
    </row>
    <row r="90" spans="1:14" x14ac:dyDescent="0.25">
      <c r="K90">
        <f>IF($A90="","",IF((IF(Panel!$B$8="TODAS",1,--($A90=Panel!$B$8)))*(IF(Panel!$C$8="TODAS",1,--($B90=Panel!$C$8)))*(IF(Panel!$D$8="",1,--($C90&gt;=Panel!$D$8)))*(IF(Panel!$E$8="",1,--($C90&lt;Panel!$E$8+1)))=1,MAX($K$1:K89)+1,""))</f>
      </c>
    </row>
    <row r="91" spans="1:14" x14ac:dyDescent="0.25">
      <c r="K91">
        <f>IF($A91="","",IF((IF(Panel!$B$8="TODAS",1,--($A91=Panel!$B$8)))*(IF(Panel!$C$8="TODAS",1,--($B91=Panel!$C$8)))*(IF(Panel!$D$8="",1,--($C91&gt;=Panel!$D$8)))*(IF(Panel!$E$8="",1,--($C91&lt;Panel!$E$8+1)))=1,MAX($K$1:K90)+1,""))</f>
      </c>
    </row>
    <row r="92" spans="1:14" x14ac:dyDescent="0.25">
      <c r="K92">
        <f>IF($A92="","",IF((IF(Panel!$B$8="TODAS",1,--($A92=Panel!$B$8)))*(IF(Panel!$C$8="TODAS",1,--($B92=Panel!$C$8)))*(IF(Panel!$D$8="",1,--($C92&gt;=Panel!$D$8)))*(IF(Panel!$E$8="",1,--($C92&lt;Panel!$E$8+1)))=1,MAX($K$1:K91)+1,""))</f>
      </c>
    </row>
    <row r="93" spans="1:14" x14ac:dyDescent="0.25">
      <c r="K93">
        <f>IF($A93="","",IF((IF(Panel!$B$8="TODAS",1,--($A93=Panel!$B$8)))*(IF(Panel!$C$8="TODAS",1,--($B93=Panel!$C$8)))*(IF(Panel!$D$8="",1,--($C93&gt;=Panel!$D$8)))*(IF(Panel!$E$8="",1,--($C93&lt;Panel!$E$8+1)))=1,MAX($K$1:K92)+1,""))</f>
      </c>
    </row>
    <row r="94" spans="1:14" x14ac:dyDescent="0.25">
      <c r="K94">
        <f>IF($A94="","",IF((IF(Panel!$B$8="TODAS",1,--($A94=Panel!$B$8)))*(IF(Panel!$C$8="TODAS",1,--($B94=Panel!$C$8)))*(IF(Panel!$D$8="",1,--($C94&gt;=Panel!$D$8)))*(IF(Panel!$E$8="",1,--($C94&lt;Panel!$E$8+1)))=1,MAX($K$1:K93)+1,""))</f>
      </c>
    </row>
    <row r="95" spans="1:14" x14ac:dyDescent="0.25">
      <c r="K95">
        <f>IF($A95="","",IF((IF(Panel!$B$8="TODAS",1,--($A95=Panel!$B$8)))*(IF(Panel!$C$8="TODAS",1,--($B95=Panel!$C$8)))*(IF(Panel!$D$8="",1,--($C95&gt;=Panel!$D$8)))*(IF(Panel!$E$8="",1,--($C95&lt;Panel!$E$8+1)))=1,MAX($K$1:K94)+1,""))</f>
      </c>
    </row>
    <row r="96" spans="1:14" x14ac:dyDescent="0.25">
      <c r="K96">
        <f>IF($A96="","",IF((IF(Panel!$B$8="TODAS",1,--($A96=Panel!$B$8)))*(IF(Panel!$C$8="TODAS",1,--($B96=Panel!$C$8)))*(IF(Panel!$D$8="",1,--($C96&gt;=Panel!$D$8)))*(IF(Panel!$E$8="",1,--($C96&lt;Panel!$E$8+1)))=1,MAX($K$1:K95)+1,""))</f>
      </c>
    </row>
    <row r="97" spans="1:14" x14ac:dyDescent="0.25">
      <c r="K97">
        <f>IF($A97="","",IF((IF(Panel!$B$8="TODAS",1,--($A97=Panel!$B$8)))*(IF(Panel!$C$8="TODAS",1,--($B97=Panel!$C$8)))*(IF(Panel!$D$8="",1,--($C97&gt;=Panel!$D$8)))*(IF(Panel!$E$8="",1,--($C97&lt;Panel!$E$8+1)))=1,MAX($K$1:K96)+1,""))</f>
      </c>
    </row>
    <row r="98" spans="1:14" x14ac:dyDescent="0.25">
      <c r="K98">
        <f>IF($A98="","",IF((IF(Panel!$B$8="TODAS",1,--($A98=Panel!$B$8)))*(IF(Panel!$C$8="TODAS",1,--($B98=Panel!$C$8)))*(IF(Panel!$D$8="",1,--($C98&gt;=Panel!$D$8)))*(IF(Panel!$E$8="",1,--($C98&lt;Panel!$E$8+1)))=1,MAX($K$1:K97)+1,""))</f>
      </c>
    </row>
    <row r="99" spans="1:14" x14ac:dyDescent="0.25">
      <c r="K99">
        <f>IF($A99="","",IF((IF(Panel!$B$8="TODAS",1,--($A99=Panel!$B$8)))*(IF(Panel!$C$8="TODAS",1,--($B99=Panel!$C$8)))*(IF(Panel!$D$8="",1,--($C99&gt;=Panel!$D$8)))*(IF(Panel!$E$8="",1,--($C99&lt;Panel!$E$8+1)))=1,MAX($K$1:K98)+1,""))</f>
      </c>
    </row>
    <row r="100" spans="1:14" x14ac:dyDescent="0.25">
      <c r="K100">
        <f>IF($A100="","",IF((IF(Panel!$B$8="TODAS",1,--($A100=Panel!$B$8)))*(IF(Panel!$C$8="TODAS",1,--($B100=Panel!$C$8)))*(IF(Panel!$D$8="",1,--($C100&gt;=Panel!$D$8)))*(IF(Panel!$E$8="",1,--($C100&lt;Panel!$E$8+1)))=1,MAX($K$1:K99)+1,""))</f>
      </c>
    </row>
    <row r="101" spans="1:14" x14ac:dyDescent="0.25">
      <c r="K101">
        <f>IF($A101="","",IF((IF(Panel!$B$8="TODAS",1,--($A101=Panel!$B$8)))*(IF(Panel!$C$8="TODAS",1,--($B101=Panel!$C$8)))*(IF(Panel!$D$8="",1,--($C101&gt;=Panel!$D$8)))*(IF(Panel!$E$8="",1,--($C101&lt;Panel!$E$8+1)))=1,MAX($K$1:K100)+1,""))</f>
      </c>
    </row>
    <row r="102" spans="1:14" x14ac:dyDescent="0.25">
      <c r="K102">
        <f>IF($A102="","",IF((IF(Panel!$B$8="TODAS",1,--($A102=Panel!$B$8)))*(IF(Panel!$C$8="TODAS",1,--($B102=Panel!$C$8)))*(IF(Panel!$D$8="",1,--($C102&gt;=Panel!$D$8)))*(IF(Panel!$E$8="",1,--($C102&lt;Panel!$E$8+1)))=1,MAX($K$1:K101)+1,""))</f>
      </c>
    </row>
    <row r="103" spans="1:14" x14ac:dyDescent="0.25">
      <c r="K103">
        <f>IF($A103="","",IF((IF(Panel!$B$8="TODAS",1,--($A103=Panel!$B$8)))*(IF(Panel!$C$8="TODAS",1,--($B103=Panel!$C$8)))*(IF(Panel!$D$8="",1,--($C103&gt;=Panel!$D$8)))*(IF(Panel!$E$8="",1,--($C103&lt;Panel!$E$8+1)))=1,MAX($K$1:K102)+1,""))</f>
      </c>
    </row>
    <row r="104" spans="1:14" x14ac:dyDescent="0.25">
      <c r="K104">
        <f>IF($A104="","",IF((IF(Panel!$B$8="TODAS",1,--($A104=Panel!$B$8)))*(IF(Panel!$C$8="TODAS",1,--($B104=Panel!$C$8)))*(IF(Panel!$D$8="",1,--($C104&gt;=Panel!$D$8)))*(IF(Panel!$E$8="",1,--($C104&lt;Panel!$E$8+1)))=1,MAX($K$1:K103)+1,""))</f>
      </c>
    </row>
    <row r="105" spans="1:14" x14ac:dyDescent="0.25">
      <c r="K105">
        <f>IF($A105="","",IF((IF(Panel!$B$8="TODAS",1,--($A105=Panel!$B$8)))*(IF(Panel!$C$8="TODAS",1,--($B105=Panel!$C$8)))*(IF(Panel!$D$8="",1,--($C105&gt;=Panel!$D$8)))*(IF(Panel!$E$8="",1,--($C105&lt;Panel!$E$8+1)))=1,MAX($K$1:K104)+1,""))</f>
      </c>
    </row>
    <row r="106" spans="1:14" x14ac:dyDescent="0.25">
      <c r="K106">
        <f>IF($A106="","",IF((IF(Panel!$B$8="TODAS",1,--($A106=Panel!$B$8)))*(IF(Panel!$C$8="TODAS",1,--($B106=Panel!$C$8)))*(IF(Panel!$D$8="",1,--($C106&gt;=Panel!$D$8)))*(IF(Panel!$E$8="",1,--($C106&lt;Panel!$E$8+1)))=1,MAX($K$1:K105)+1,""))</f>
      </c>
    </row>
    <row r="107" spans="1:14" x14ac:dyDescent="0.25">
      <c r="K107">
        <f>IF($A107="","",IF((IF(Panel!$B$8="TODAS",1,--($A107=Panel!$B$8)))*(IF(Panel!$C$8="TODAS",1,--($B107=Panel!$C$8)))*(IF(Panel!$D$8="",1,--($C107&gt;=Panel!$D$8)))*(IF(Panel!$E$8="",1,--($C107&lt;Panel!$E$8+1)))=1,MAX($K$1:K106)+1,""))</f>
      </c>
    </row>
    <row r="108" spans="1:14" x14ac:dyDescent="0.25">
      <c r="K108">
        <f>IF($A108="","",IF((IF(Panel!$B$8="TODAS",1,--($A108=Panel!$B$8)))*(IF(Panel!$C$8="TODAS",1,--($B108=Panel!$C$8)))*(IF(Panel!$D$8="",1,--($C108&gt;=Panel!$D$8)))*(IF(Panel!$E$8="",1,--($C108&lt;Panel!$E$8+1)))=1,MAX($K$1:K107)+1,""))</f>
      </c>
    </row>
    <row r="109" spans="1:14" x14ac:dyDescent="0.25">
      <c r="K109">
        <f>IF($A109="","",IF((IF(Panel!$B$8="TODAS",1,--($A109=Panel!$B$8)))*(IF(Panel!$C$8="TODAS",1,--($B109=Panel!$C$8)))*(IF(Panel!$D$8="",1,--($C109&gt;=Panel!$D$8)))*(IF(Panel!$E$8="",1,--($C109&lt;Panel!$E$8+1)))=1,MAX($K$1:K108)+1,""))</f>
      </c>
    </row>
    <row r="110" spans="1:14" x14ac:dyDescent="0.25">
      <c r="K110">
        <f>IF($A110="","",IF((IF(Panel!$B$8="TODAS",1,--($A110=Panel!$B$8)))*(IF(Panel!$C$8="TODAS",1,--($B110=Panel!$C$8)))*(IF(Panel!$D$8="",1,--($C110&gt;=Panel!$D$8)))*(IF(Panel!$E$8="",1,--($C110&lt;Panel!$E$8+1)))=1,MAX($K$1:K109)+1,""))</f>
      </c>
    </row>
    <row r="111" spans="1:14" x14ac:dyDescent="0.25">
      <c r="K111">
        <f>IF($A111="","",IF((IF(Panel!$B$8="TODAS",1,--($A111=Panel!$B$8)))*(IF(Panel!$C$8="TODAS",1,--($B111=Panel!$C$8)))*(IF(Panel!$D$8="",1,--($C111&gt;=Panel!$D$8)))*(IF(Panel!$E$8="",1,--($C111&lt;Panel!$E$8+1)))=1,MAX($K$1:K110)+1,""))</f>
      </c>
    </row>
    <row r="112" spans="1:14" x14ac:dyDescent="0.25">
      <c r="K112">
        <f>IF($A112="","",IF((IF(Panel!$B$8="TODAS",1,--($A112=Panel!$B$8)))*(IF(Panel!$C$8="TODAS",1,--($B112=Panel!$C$8)))*(IF(Panel!$D$8="",1,--($C112&gt;=Panel!$D$8)))*(IF(Panel!$E$8="",1,--($C112&lt;Panel!$E$8+1)))=1,MAX($K$1:K111)+1,""))</f>
      </c>
    </row>
    <row r="113" spans="1:14" x14ac:dyDescent="0.25">
      <c r="K113">
        <f>IF($A113="","",IF((IF(Panel!$B$8="TODAS",1,--($A113=Panel!$B$8)))*(IF(Panel!$C$8="TODAS",1,--($B113=Panel!$C$8)))*(IF(Panel!$D$8="",1,--($C113&gt;=Panel!$D$8)))*(IF(Panel!$E$8="",1,--($C113&lt;Panel!$E$8+1)))=1,MAX($K$1:K112)+1,""))</f>
      </c>
    </row>
    <row r="114" spans="1:14" x14ac:dyDescent="0.25">
      <c r="K114">
        <f>IF($A114="","",IF((IF(Panel!$B$8="TODAS",1,--($A114=Panel!$B$8)))*(IF(Panel!$C$8="TODAS",1,--($B114=Panel!$C$8)))*(IF(Panel!$D$8="",1,--($C114&gt;=Panel!$D$8)))*(IF(Panel!$E$8="",1,--($C114&lt;Panel!$E$8+1)))=1,MAX($K$1:K113)+1,""))</f>
      </c>
    </row>
    <row r="115" spans="1:14" x14ac:dyDescent="0.25">
      <c r="K115">
        <f>IF($A115="","",IF((IF(Panel!$B$8="TODAS",1,--($A115=Panel!$B$8)))*(IF(Panel!$C$8="TODAS",1,--($B115=Panel!$C$8)))*(IF(Panel!$D$8="",1,--($C115&gt;=Panel!$D$8)))*(IF(Panel!$E$8="",1,--($C115&lt;Panel!$E$8+1)))=1,MAX($K$1:K114)+1,""))</f>
      </c>
    </row>
    <row r="116" spans="1:14" x14ac:dyDescent="0.25">
      <c r="K116">
        <f>IF($A116="","",IF((IF(Panel!$B$8="TODAS",1,--($A116=Panel!$B$8)))*(IF(Panel!$C$8="TODAS",1,--($B116=Panel!$C$8)))*(IF(Panel!$D$8="",1,--($C116&gt;=Panel!$D$8)))*(IF(Panel!$E$8="",1,--($C116&lt;Panel!$E$8+1)))=1,MAX($K$1:K115)+1,""))</f>
      </c>
    </row>
    <row r="117" spans="1:14" x14ac:dyDescent="0.25">
      <c r="K117">
        <f>IF($A117="","",IF((IF(Panel!$B$8="TODAS",1,--($A117=Panel!$B$8)))*(IF(Panel!$C$8="TODAS",1,--($B117=Panel!$C$8)))*(IF(Panel!$D$8="",1,--($C117&gt;=Panel!$D$8)))*(IF(Panel!$E$8="",1,--($C117&lt;Panel!$E$8+1)))=1,MAX($K$1:K116)+1,""))</f>
      </c>
    </row>
    <row r="118" spans="1:14" x14ac:dyDescent="0.25">
      <c r="K118">
        <f>IF($A118="","",IF((IF(Panel!$B$8="TODAS",1,--($A118=Panel!$B$8)))*(IF(Panel!$C$8="TODAS",1,--($B118=Panel!$C$8)))*(IF(Panel!$D$8="",1,--($C118&gt;=Panel!$D$8)))*(IF(Panel!$E$8="",1,--($C118&lt;Panel!$E$8+1)))=1,MAX($K$1:K117)+1,""))</f>
      </c>
    </row>
    <row r="119" spans="1:14" x14ac:dyDescent="0.25">
      <c r="K119">
        <f>IF($A119="","",IF((IF(Panel!$B$8="TODAS",1,--($A119=Panel!$B$8)))*(IF(Panel!$C$8="TODAS",1,--($B119=Panel!$C$8)))*(IF(Panel!$D$8="",1,--($C119&gt;=Panel!$D$8)))*(IF(Panel!$E$8="",1,--($C119&lt;Panel!$E$8+1)))=1,MAX($K$1:K118)+1,""))</f>
      </c>
    </row>
    <row r="120" spans="1:14" x14ac:dyDescent="0.25">
      <c r="K120">
        <f>IF($A120="","",IF((IF(Panel!$B$8="TODAS",1,--($A120=Panel!$B$8)))*(IF(Panel!$C$8="TODAS",1,--($B120=Panel!$C$8)))*(IF(Panel!$D$8="",1,--($C120&gt;=Panel!$D$8)))*(IF(Panel!$E$8="",1,--($C120&lt;Panel!$E$8+1)))=1,MAX($K$1:K119)+1,""))</f>
      </c>
    </row>
    <row r="121" spans="1:14" x14ac:dyDescent="0.25">
      <c r="K121">
        <f>IF($A121="","",IF((IF(Panel!$B$8="TODAS",1,--($A121=Panel!$B$8)))*(IF(Panel!$C$8="TODAS",1,--($B121=Panel!$C$8)))*(IF(Panel!$D$8="",1,--($C121&gt;=Panel!$D$8)))*(IF(Panel!$E$8="",1,--($C121&lt;Panel!$E$8+1)))=1,MAX($K$1:K120)+1,""))</f>
      </c>
    </row>
    <row r="122" spans="1:14" x14ac:dyDescent="0.25">
      <c r="K122">
        <f>IF($A122="","",IF((IF(Panel!$B$8="TODAS",1,--($A122=Panel!$B$8)))*(IF(Panel!$C$8="TODAS",1,--($B122=Panel!$C$8)))*(IF(Panel!$D$8="",1,--($C122&gt;=Panel!$D$8)))*(IF(Panel!$E$8="",1,--($C122&lt;Panel!$E$8+1)))=1,MAX($K$1:K121)+1,""))</f>
      </c>
    </row>
    <row r="123" spans="1:14" x14ac:dyDescent="0.25">
      <c r="K123">
        <f>IF($A123="","",IF((IF(Panel!$B$8="TODAS",1,--($A123=Panel!$B$8)))*(IF(Panel!$C$8="TODAS",1,--($B123=Panel!$C$8)))*(IF(Panel!$D$8="",1,--($C123&gt;=Panel!$D$8)))*(IF(Panel!$E$8="",1,--($C123&lt;Panel!$E$8+1)))=1,MAX($K$1:K122)+1,""))</f>
      </c>
    </row>
    <row r="124" spans="1:14" x14ac:dyDescent="0.25">
      <c r="K124">
        <f>IF($A124="","",IF((IF(Panel!$B$8="TODAS",1,--($A124=Panel!$B$8)))*(IF(Panel!$C$8="TODAS",1,--($B124=Panel!$C$8)))*(IF(Panel!$D$8="",1,--($C124&gt;=Panel!$D$8)))*(IF(Panel!$E$8="",1,--($C124&lt;Panel!$E$8+1)))=1,MAX($K$1:K123)+1,""))</f>
      </c>
    </row>
    <row r="125" spans="1:14" x14ac:dyDescent="0.25">
      <c r="K125">
        <f>IF($A125="","",IF((IF(Panel!$B$8="TODAS",1,--($A125=Panel!$B$8)))*(IF(Panel!$C$8="TODAS",1,--($B125=Panel!$C$8)))*(IF(Panel!$D$8="",1,--($C125&gt;=Panel!$D$8)))*(IF(Panel!$E$8="",1,--($C125&lt;Panel!$E$8+1)))=1,MAX($K$1:K124)+1,""))</f>
      </c>
    </row>
    <row r="126" spans="1:14" x14ac:dyDescent="0.25">
      <c r="K126">
        <f>IF($A126="","",IF((IF(Panel!$B$8="TODAS",1,--($A126=Panel!$B$8)))*(IF(Panel!$C$8="TODAS",1,--($B126=Panel!$C$8)))*(IF(Panel!$D$8="",1,--($C126&gt;=Panel!$D$8)))*(IF(Panel!$E$8="",1,--($C126&lt;Panel!$E$8+1)))=1,MAX($K$1:K125)+1,""))</f>
      </c>
    </row>
    <row r="127" spans="1:14" x14ac:dyDescent="0.25">
      <c r="K127">
        <f>IF($A127="","",IF((IF(Panel!$B$8="TODAS",1,--($A127=Panel!$B$8)))*(IF(Panel!$C$8="TODAS",1,--($B127=Panel!$C$8)))*(IF(Panel!$D$8="",1,--($C127&gt;=Panel!$D$8)))*(IF(Panel!$E$8="",1,--($C127&lt;Panel!$E$8+1)))=1,MAX($K$1:K126)+1,""))</f>
      </c>
    </row>
    <row r="128" spans="1:14" x14ac:dyDescent="0.25">
      <c r="K128">
        <f>IF($A128="","",IF((IF(Panel!$B$8="TODAS",1,--($A128=Panel!$B$8)))*(IF(Panel!$C$8="TODAS",1,--($B128=Panel!$C$8)))*(IF(Panel!$D$8="",1,--($C128&gt;=Panel!$D$8)))*(IF(Panel!$E$8="",1,--($C128&lt;Panel!$E$8+1)))=1,MAX($K$1:K127)+1,""))</f>
      </c>
    </row>
    <row r="129" spans="1:14" x14ac:dyDescent="0.25">
      <c r="K129">
        <f>IF($A129="","",IF((IF(Panel!$B$8="TODAS",1,--($A129=Panel!$B$8)))*(IF(Panel!$C$8="TODAS",1,--($B129=Panel!$C$8)))*(IF(Panel!$D$8="",1,--($C129&gt;=Panel!$D$8)))*(IF(Panel!$E$8="",1,--($C129&lt;Panel!$E$8+1)))=1,MAX($K$1:K128)+1,""))</f>
      </c>
    </row>
    <row r="130" spans="1:14" x14ac:dyDescent="0.25">
      <c r="K130">
        <f>IF($A130="","",IF((IF(Panel!$B$8="TODAS",1,--($A130=Panel!$B$8)))*(IF(Panel!$C$8="TODAS",1,--($B130=Panel!$C$8)))*(IF(Panel!$D$8="",1,--($C130&gt;=Panel!$D$8)))*(IF(Panel!$E$8="",1,--($C130&lt;Panel!$E$8+1)))=1,MAX($K$1:K129)+1,""))</f>
      </c>
    </row>
    <row r="131" spans="1:14" x14ac:dyDescent="0.25">
      <c r="K131">
        <f>IF($A131="","",IF((IF(Panel!$B$8="TODAS",1,--($A131=Panel!$B$8)))*(IF(Panel!$C$8="TODAS",1,--($B131=Panel!$C$8)))*(IF(Panel!$D$8="",1,--($C131&gt;=Panel!$D$8)))*(IF(Panel!$E$8="",1,--($C131&lt;Panel!$E$8+1)))=1,MAX($K$1:K130)+1,""))</f>
      </c>
    </row>
    <row r="132" spans="1:14" x14ac:dyDescent="0.25">
      <c r="K132">
        <f>IF($A132="","",IF((IF(Panel!$B$8="TODAS",1,--($A132=Panel!$B$8)))*(IF(Panel!$C$8="TODAS",1,--($B132=Panel!$C$8)))*(IF(Panel!$D$8="",1,--($C132&gt;=Panel!$D$8)))*(IF(Panel!$E$8="",1,--($C132&lt;Panel!$E$8+1)))=1,MAX($K$1:K131)+1,""))</f>
      </c>
    </row>
    <row r="133" spans="1:14" x14ac:dyDescent="0.25">
      <c r="K133">
        <f>IF($A133="","",IF((IF(Panel!$B$8="TODAS",1,--($A133=Panel!$B$8)))*(IF(Panel!$C$8="TODAS",1,--($B133=Panel!$C$8)))*(IF(Panel!$D$8="",1,--($C133&gt;=Panel!$D$8)))*(IF(Panel!$E$8="",1,--($C133&lt;Panel!$E$8+1)))=1,MAX($K$1:K132)+1,""))</f>
      </c>
    </row>
    <row r="134" spans="1:14" x14ac:dyDescent="0.25">
      <c r="K134">
        <f>IF($A134="","",IF((IF(Panel!$B$8="TODAS",1,--($A134=Panel!$B$8)))*(IF(Panel!$C$8="TODAS",1,--($B134=Panel!$C$8)))*(IF(Panel!$D$8="",1,--($C134&gt;=Panel!$D$8)))*(IF(Panel!$E$8="",1,--($C134&lt;Panel!$E$8+1)))=1,MAX($K$1:K133)+1,""))</f>
      </c>
    </row>
    <row r="135" spans="1:14" x14ac:dyDescent="0.25">
      <c r="K135">
        <f>IF($A135="","",IF((IF(Panel!$B$8="TODAS",1,--($A135=Panel!$B$8)))*(IF(Panel!$C$8="TODAS",1,--($B135=Panel!$C$8)))*(IF(Panel!$D$8="",1,--($C135&gt;=Panel!$D$8)))*(IF(Panel!$E$8="",1,--($C135&lt;Panel!$E$8+1)))=1,MAX($K$1:K134)+1,""))</f>
      </c>
    </row>
    <row r="136" spans="1:14" x14ac:dyDescent="0.25">
      <c r="K136">
        <f>IF($A136="","",IF((IF(Panel!$B$8="TODAS",1,--($A136=Panel!$B$8)))*(IF(Panel!$C$8="TODAS",1,--($B136=Panel!$C$8)))*(IF(Panel!$D$8="",1,--($C136&gt;=Panel!$D$8)))*(IF(Panel!$E$8="",1,--($C136&lt;Panel!$E$8+1)))=1,MAX($K$1:K135)+1,""))</f>
      </c>
    </row>
    <row r="137" spans="1:14" x14ac:dyDescent="0.25">
      <c r="K137">
        <f>IF($A137="","",IF((IF(Panel!$B$8="TODAS",1,--($A137=Panel!$B$8)))*(IF(Panel!$C$8="TODAS",1,--($B137=Panel!$C$8)))*(IF(Panel!$D$8="",1,--($C137&gt;=Panel!$D$8)))*(IF(Panel!$E$8="",1,--($C137&lt;Panel!$E$8+1)))=1,MAX($K$1:K136)+1,""))</f>
      </c>
    </row>
    <row r="138" spans="1:14" x14ac:dyDescent="0.25">
      <c r="K138">
        <f>IF($A138="","",IF((IF(Panel!$B$8="TODAS",1,--($A138=Panel!$B$8)))*(IF(Panel!$C$8="TODAS",1,--($B138=Panel!$C$8)))*(IF(Panel!$D$8="",1,--($C138&gt;=Panel!$D$8)))*(IF(Panel!$E$8="",1,--($C138&lt;Panel!$E$8+1)))=1,MAX($K$1:K137)+1,""))</f>
      </c>
    </row>
    <row r="139" spans="1:14" x14ac:dyDescent="0.25">
      <c r="K139">
        <f>IF($A139="","",IF((IF(Panel!$B$8="TODAS",1,--($A139=Panel!$B$8)))*(IF(Panel!$C$8="TODAS",1,--($B139=Panel!$C$8)))*(IF(Panel!$D$8="",1,--($C139&gt;=Panel!$D$8)))*(IF(Panel!$E$8="",1,--($C139&lt;Panel!$E$8+1)))=1,MAX($K$1:K138)+1,""))</f>
      </c>
    </row>
    <row r="140" spans="1:14" x14ac:dyDescent="0.25">
      <c r="K140">
        <f>IF($A140="","",IF((IF(Panel!$B$8="TODAS",1,--($A140=Panel!$B$8)))*(IF(Panel!$C$8="TODAS",1,--($B140=Panel!$C$8)))*(IF(Panel!$D$8="",1,--($C140&gt;=Panel!$D$8)))*(IF(Panel!$E$8="",1,--($C140&lt;Panel!$E$8+1)))=1,MAX($K$1:K139)+1,""))</f>
      </c>
    </row>
    <row r="141" spans="1:14" x14ac:dyDescent="0.25">
      <c r="K141">
        <f>IF($A141="","",IF((IF(Panel!$B$8="TODAS",1,--($A141=Panel!$B$8)))*(IF(Panel!$C$8="TODAS",1,--($B141=Panel!$C$8)))*(IF(Panel!$D$8="",1,--($C141&gt;=Panel!$D$8)))*(IF(Panel!$E$8="",1,--($C141&lt;Panel!$E$8+1)))=1,MAX($K$1:K140)+1,""))</f>
      </c>
    </row>
    <row r="142" spans="1:14" x14ac:dyDescent="0.25">
      <c r="K142">
        <f>IF($A142="","",IF((IF(Panel!$B$8="TODAS",1,--($A142=Panel!$B$8)))*(IF(Panel!$C$8="TODAS",1,--($B142=Panel!$C$8)))*(IF(Panel!$D$8="",1,--($C142&gt;=Panel!$D$8)))*(IF(Panel!$E$8="",1,--($C142&lt;Panel!$E$8+1)))=1,MAX($K$1:K141)+1,""))</f>
      </c>
    </row>
    <row r="143" spans="1:14" x14ac:dyDescent="0.25">
      <c r="K143">
        <f>IF($A143="","",IF((IF(Panel!$B$8="TODAS",1,--($A143=Panel!$B$8)))*(IF(Panel!$C$8="TODAS",1,--($B143=Panel!$C$8)))*(IF(Panel!$D$8="",1,--($C143&gt;=Panel!$D$8)))*(IF(Panel!$E$8="",1,--($C143&lt;Panel!$E$8+1)))=1,MAX($K$1:K142)+1,""))</f>
      </c>
    </row>
    <row r="144" spans="1:14" x14ac:dyDescent="0.25">
      <c r="K144">
        <f>IF($A144="","",IF((IF(Panel!$B$8="TODAS",1,--($A144=Panel!$B$8)))*(IF(Panel!$C$8="TODAS",1,--($B144=Panel!$C$8)))*(IF(Panel!$D$8="",1,--($C144&gt;=Panel!$D$8)))*(IF(Panel!$E$8="",1,--($C144&lt;Panel!$E$8+1)))=1,MAX($K$1:K143)+1,""))</f>
      </c>
    </row>
    <row r="145" spans="1:14" x14ac:dyDescent="0.25">
      <c r="K145">
        <f>IF($A145="","",IF((IF(Panel!$B$8="TODAS",1,--($A145=Panel!$B$8)))*(IF(Panel!$C$8="TODAS",1,--($B145=Panel!$C$8)))*(IF(Panel!$D$8="",1,--($C145&gt;=Panel!$D$8)))*(IF(Panel!$E$8="",1,--($C145&lt;Panel!$E$8+1)))=1,MAX($K$1:K144)+1,""))</f>
      </c>
    </row>
    <row r="146" spans="1:14" x14ac:dyDescent="0.25">
      <c r="K146">
        <f>IF($A146="","",IF((IF(Panel!$B$8="TODAS",1,--($A146=Panel!$B$8)))*(IF(Panel!$C$8="TODAS",1,--($B146=Panel!$C$8)))*(IF(Panel!$D$8="",1,--($C146&gt;=Panel!$D$8)))*(IF(Panel!$E$8="",1,--($C146&lt;Panel!$E$8+1)))=1,MAX($K$1:K145)+1,""))</f>
      </c>
    </row>
    <row r="147" spans="1:14" x14ac:dyDescent="0.25">
      <c r="K147">
        <f>IF($A147="","",IF((IF(Panel!$B$8="TODAS",1,--($A147=Panel!$B$8)))*(IF(Panel!$C$8="TODAS",1,--($B147=Panel!$C$8)))*(IF(Panel!$D$8="",1,--($C147&gt;=Panel!$D$8)))*(IF(Panel!$E$8="",1,--($C147&lt;Panel!$E$8+1)))=1,MAX($K$1:K146)+1,""))</f>
      </c>
    </row>
    <row r="148" spans="1:14" x14ac:dyDescent="0.25">
      <c r="K148">
        <f>IF($A148="","",IF((IF(Panel!$B$8="TODAS",1,--($A148=Panel!$B$8)))*(IF(Panel!$C$8="TODAS",1,--($B148=Panel!$C$8)))*(IF(Panel!$D$8="",1,--($C148&gt;=Panel!$D$8)))*(IF(Panel!$E$8="",1,--($C148&lt;Panel!$E$8+1)))=1,MAX($K$1:K147)+1,""))</f>
      </c>
    </row>
    <row r="149" spans="1:14" x14ac:dyDescent="0.25">
      <c r="K149">
        <f>IF($A149="","",IF((IF(Panel!$B$8="TODAS",1,--($A149=Panel!$B$8)))*(IF(Panel!$C$8="TODAS",1,--($B149=Panel!$C$8)))*(IF(Panel!$D$8="",1,--($C149&gt;=Panel!$D$8)))*(IF(Panel!$E$8="",1,--($C149&lt;Panel!$E$8+1)))=1,MAX($K$1:K148)+1,""))</f>
      </c>
    </row>
    <row r="150" spans="1:14" x14ac:dyDescent="0.25">
      <c r="K150">
        <f>IF($A150="","",IF((IF(Panel!$B$8="TODAS",1,--($A150=Panel!$B$8)))*(IF(Panel!$C$8="TODAS",1,--($B150=Panel!$C$8)))*(IF(Panel!$D$8="",1,--($C150&gt;=Panel!$D$8)))*(IF(Panel!$E$8="",1,--($C150&lt;Panel!$E$8+1)))=1,MAX($K$1:K149)+1,""))</f>
      </c>
    </row>
    <row r="151" spans="1:14" x14ac:dyDescent="0.25">
      <c r="K151">
        <f>IF($A151="","",IF((IF(Panel!$B$8="TODAS",1,--($A151=Panel!$B$8)))*(IF(Panel!$C$8="TODAS",1,--($B151=Panel!$C$8)))*(IF(Panel!$D$8="",1,--($C151&gt;=Panel!$D$8)))*(IF(Panel!$E$8="",1,--($C151&lt;Panel!$E$8+1)))=1,MAX($K$1:K150)+1,""))</f>
      </c>
    </row>
    <row r="152" spans="1:14" x14ac:dyDescent="0.25">
      <c r="K152">
        <f>IF($A152="","",IF((IF(Panel!$B$8="TODAS",1,--($A152=Panel!$B$8)))*(IF(Panel!$C$8="TODAS",1,--($B152=Panel!$C$8)))*(IF(Panel!$D$8="",1,--($C152&gt;=Panel!$D$8)))*(IF(Panel!$E$8="",1,--($C152&lt;Panel!$E$8+1)))=1,MAX($K$1:K151)+1,""))</f>
      </c>
    </row>
    <row r="153" spans="1:14" x14ac:dyDescent="0.25">
      <c r="K153">
        <f>IF($A153="","",IF((IF(Panel!$B$8="TODAS",1,--($A153=Panel!$B$8)))*(IF(Panel!$C$8="TODAS",1,--($B153=Panel!$C$8)))*(IF(Panel!$D$8="",1,--($C153&gt;=Panel!$D$8)))*(IF(Panel!$E$8="",1,--($C153&lt;Panel!$E$8+1)))=1,MAX($K$1:K152)+1,""))</f>
      </c>
    </row>
    <row r="154" spans="1:14" x14ac:dyDescent="0.25">
      <c r="K154">
        <f>IF($A154="","",IF((IF(Panel!$B$8="TODAS",1,--($A154=Panel!$B$8)))*(IF(Panel!$C$8="TODAS",1,--($B154=Panel!$C$8)))*(IF(Panel!$D$8="",1,--($C154&gt;=Panel!$D$8)))*(IF(Panel!$E$8="",1,--($C154&lt;Panel!$E$8+1)))=1,MAX($K$1:K153)+1,""))</f>
      </c>
    </row>
    <row r="155" spans="1:14" x14ac:dyDescent="0.25">
      <c r="K155">
        <f>IF($A155="","",IF((IF(Panel!$B$8="TODAS",1,--($A155=Panel!$B$8)))*(IF(Panel!$C$8="TODAS",1,--($B155=Panel!$C$8)))*(IF(Panel!$D$8="",1,--($C155&gt;=Panel!$D$8)))*(IF(Panel!$E$8="",1,--($C155&lt;Panel!$E$8+1)))=1,MAX($K$1:K154)+1,""))</f>
      </c>
    </row>
    <row r="156" spans="1:14" x14ac:dyDescent="0.25">
      <c r="K156">
        <f>IF($A156="","",IF((IF(Panel!$B$8="TODAS",1,--($A156=Panel!$B$8)))*(IF(Panel!$C$8="TODAS",1,--($B156=Panel!$C$8)))*(IF(Panel!$D$8="",1,--($C156&gt;=Panel!$D$8)))*(IF(Panel!$E$8="",1,--($C156&lt;Panel!$E$8+1)))=1,MAX($K$1:K155)+1,""))</f>
      </c>
    </row>
    <row r="157" spans="1:14" x14ac:dyDescent="0.25">
      <c r="K157">
        <f>IF($A157="","",IF((IF(Panel!$B$8="TODAS",1,--($A157=Panel!$B$8)))*(IF(Panel!$C$8="TODAS",1,--($B157=Panel!$C$8)))*(IF(Panel!$D$8="",1,--($C157&gt;=Panel!$D$8)))*(IF(Panel!$E$8="",1,--($C157&lt;Panel!$E$8+1)))=1,MAX($K$1:K156)+1,""))</f>
      </c>
    </row>
    <row r="158" spans="1:14" x14ac:dyDescent="0.25">
      <c r="K158">
        <f>IF($A158="","",IF((IF(Panel!$B$8="TODAS",1,--($A158=Panel!$B$8)))*(IF(Panel!$C$8="TODAS",1,--($B158=Panel!$C$8)))*(IF(Panel!$D$8="",1,--($C158&gt;=Panel!$D$8)))*(IF(Panel!$E$8="",1,--($C158&lt;Panel!$E$8+1)))=1,MAX($K$1:K157)+1,""))</f>
      </c>
    </row>
    <row r="159" spans="1:14" x14ac:dyDescent="0.25">
      <c r="K159">
        <f>IF($A159="","",IF((IF(Panel!$B$8="TODAS",1,--($A159=Panel!$B$8)))*(IF(Panel!$C$8="TODAS",1,--($B159=Panel!$C$8)))*(IF(Panel!$D$8="",1,--($C159&gt;=Panel!$D$8)))*(IF(Panel!$E$8="",1,--($C159&lt;Panel!$E$8+1)))=1,MAX($K$1:K158)+1,""))</f>
      </c>
    </row>
    <row r="160" spans="1:14" x14ac:dyDescent="0.25">
      <c r="K160">
        <f>IF($A160="","",IF((IF(Panel!$B$8="TODAS",1,--($A160=Panel!$B$8)))*(IF(Panel!$C$8="TODAS",1,--($B160=Panel!$C$8)))*(IF(Panel!$D$8="",1,--($C160&gt;=Panel!$D$8)))*(IF(Panel!$E$8="",1,--($C160&lt;Panel!$E$8+1)))=1,MAX($K$1:K159)+1,""))</f>
      </c>
    </row>
    <row r="161" spans="1:14" x14ac:dyDescent="0.25">
      <c r="K161">
        <f>IF($A161="","",IF((IF(Panel!$B$8="TODAS",1,--($A161=Panel!$B$8)))*(IF(Panel!$C$8="TODAS",1,--($B161=Panel!$C$8)))*(IF(Panel!$D$8="",1,--($C161&gt;=Panel!$D$8)))*(IF(Panel!$E$8="",1,--($C161&lt;Panel!$E$8+1)))=1,MAX($K$1:K160)+1,""))</f>
      </c>
    </row>
    <row r="162" spans="1:14" x14ac:dyDescent="0.25">
      <c r="K162">
        <f>IF($A162="","",IF((IF(Panel!$B$8="TODAS",1,--($A162=Panel!$B$8)))*(IF(Panel!$C$8="TODAS",1,--($B162=Panel!$C$8)))*(IF(Panel!$D$8="",1,--($C162&gt;=Panel!$D$8)))*(IF(Panel!$E$8="",1,--($C162&lt;Panel!$E$8+1)))=1,MAX($K$1:K161)+1,""))</f>
      </c>
    </row>
    <row r="163" spans="1:14" x14ac:dyDescent="0.25">
      <c r="K163">
        <f>IF($A163="","",IF((IF(Panel!$B$8="TODAS",1,--($A163=Panel!$B$8)))*(IF(Panel!$C$8="TODAS",1,--($B163=Panel!$C$8)))*(IF(Panel!$D$8="",1,--($C163&gt;=Panel!$D$8)))*(IF(Panel!$E$8="",1,--($C163&lt;Panel!$E$8+1)))=1,MAX($K$1:K162)+1,""))</f>
      </c>
    </row>
    <row r="164" spans="1:14" x14ac:dyDescent="0.25">
      <c r="K164">
        <f>IF($A164="","",IF((IF(Panel!$B$8="TODAS",1,--($A164=Panel!$B$8)))*(IF(Panel!$C$8="TODAS",1,--($B164=Panel!$C$8)))*(IF(Panel!$D$8="",1,--($C164&gt;=Panel!$D$8)))*(IF(Panel!$E$8="",1,--($C164&lt;Panel!$E$8+1)))=1,MAX($K$1:K163)+1,""))</f>
      </c>
    </row>
    <row r="165" spans="1:14" x14ac:dyDescent="0.25">
      <c r="K165">
        <f>IF($A165="","",IF((IF(Panel!$B$8="TODAS",1,--($A165=Panel!$B$8)))*(IF(Panel!$C$8="TODAS",1,--($B165=Panel!$C$8)))*(IF(Panel!$D$8="",1,--($C165&gt;=Panel!$D$8)))*(IF(Panel!$E$8="",1,--($C165&lt;Panel!$E$8+1)))=1,MAX($K$1:K164)+1,""))</f>
      </c>
    </row>
    <row r="166" spans="1:14" x14ac:dyDescent="0.25">
      <c r="K166">
        <f>IF($A166="","",IF((IF(Panel!$B$8="TODAS",1,--($A166=Panel!$B$8)))*(IF(Panel!$C$8="TODAS",1,--($B166=Panel!$C$8)))*(IF(Panel!$D$8="",1,--($C166&gt;=Panel!$D$8)))*(IF(Panel!$E$8="",1,--($C166&lt;Panel!$E$8+1)))=1,MAX($K$1:K165)+1,""))</f>
      </c>
    </row>
    <row r="167" spans="1:14" x14ac:dyDescent="0.25">
      <c r="K167">
        <f>IF($A167="","",IF((IF(Panel!$B$8="TODAS",1,--($A167=Panel!$B$8)))*(IF(Panel!$C$8="TODAS",1,--($B167=Panel!$C$8)))*(IF(Panel!$D$8="",1,--($C167&gt;=Panel!$D$8)))*(IF(Panel!$E$8="",1,--($C167&lt;Panel!$E$8+1)))=1,MAX($K$1:K166)+1,""))</f>
      </c>
    </row>
    <row r="168" spans="1:14" x14ac:dyDescent="0.25">
      <c r="K168">
        <f>IF($A168="","",IF((IF(Panel!$B$8="TODAS",1,--($A168=Panel!$B$8)))*(IF(Panel!$C$8="TODAS",1,--($B168=Panel!$C$8)))*(IF(Panel!$D$8="",1,--($C168&gt;=Panel!$D$8)))*(IF(Panel!$E$8="",1,--($C168&lt;Panel!$E$8+1)))=1,MAX($K$1:K167)+1,""))</f>
      </c>
    </row>
    <row r="169" spans="1:14" x14ac:dyDescent="0.25">
      <c r="K169">
        <f>IF($A169="","",IF((IF(Panel!$B$8="TODAS",1,--($A169=Panel!$B$8)))*(IF(Panel!$C$8="TODAS",1,--($B169=Panel!$C$8)))*(IF(Panel!$D$8="",1,--($C169&gt;=Panel!$D$8)))*(IF(Panel!$E$8="",1,--($C169&lt;Panel!$E$8+1)))=1,MAX($K$1:K168)+1,""))</f>
      </c>
    </row>
    <row r="170" spans="1:14" x14ac:dyDescent="0.25">
      <c r="K170">
        <f>IF($A170="","",IF((IF(Panel!$B$8="TODAS",1,--($A170=Panel!$B$8)))*(IF(Panel!$C$8="TODAS",1,--($B170=Panel!$C$8)))*(IF(Panel!$D$8="",1,--($C170&gt;=Panel!$D$8)))*(IF(Panel!$E$8="",1,--($C170&lt;Panel!$E$8+1)))=1,MAX($K$1:K169)+1,""))</f>
      </c>
    </row>
    <row r="171" spans="1:14" x14ac:dyDescent="0.25">
      <c r="K171">
        <f>IF($A171="","",IF((IF(Panel!$B$8="TODAS",1,--($A171=Panel!$B$8)))*(IF(Panel!$C$8="TODAS",1,--($B171=Panel!$C$8)))*(IF(Panel!$D$8="",1,--($C171&gt;=Panel!$D$8)))*(IF(Panel!$E$8="",1,--($C171&lt;Panel!$E$8+1)))=1,MAX($K$1:K170)+1,""))</f>
      </c>
    </row>
    <row r="172" spans="1:14" x14ac:dyDescent="0.25">
      <c r="K172">
        <f>IF($A172="","",IF((IF(Panel!$B$8="TODAS",1,--($A172=Panel!$B$8)))*(IF(Panel!$C$8="TODAS",1,--($B172=Panel!$C$8)))*(IF(Panel!$D$8="",1,--($C172&gt;=Panel!$D$8)))*(IF(Panel!$E$8="",1,--($C172&lt;Panel!$E$8+1)))=1,MAX($K$1:K171)+1,""))</f>
      </c>
    </row>
    <row r="173" spans="1:14" x14ac:dyDescent="0.25">
      <c r="K173">
        <f>IF($A173="","",IF((IF(Panel!$B$8="TODAS",1,--($A173=Panel!$B$8)))*(IF(Panel!$C$8="TODAS",1,--($B173=Panel!$C$8)))*(IF(Panel!$D$8="",1,--($C173&gt;=Panel!$D$8)))*(IF(Panel!$E$8="",1,--($C173&lt;Panel!$E$8+1)))=1,MAX($K$1:K172)+1,""))</f>
      </c>
    </row>
    <row r="174" spans="1:14" x14ac:dyDescent="0.25">
      <c r="K174">
        <f>IF($A174="","",IF((IF(Panel!$B$8="TODAS",1,--($A174=Panel!$B$8)))*(IF(Panel!$C$8="TODAS",1,--($B174=Panel!$C$8)))*(IF(Panel!$D$8="",1,--($C174&gt;=Panel!$D$8)))*(IF(Panel!$E$8="",1,--($C174&lt;Panel!$E$8+1)))=1,MAX($K$1:K173)+1,""))</f>
      </c>
    </row>
    <row r="175" spans="1:14" x14ac:dyDescent="0.25">
      <c r="K175">
        <f>IF($A175="","",IF((IF(Panel!$B$8="TODAS",1,--($A175=Panel!$B$8)))*(IF(Panel!$C$8="TODAS",1,--($B175=Panel!$C$8)))*(IF(Panel!$D$8="",1,--($C175&gt;=Panel!$D$8)))*(IF(Panel!$E$8="",1,--($C175&lt;Panel!$E$8+1)))=1,MAX($K$1:K174)+1,""))</f>
      </c>
    </row>
    <row r="176" spans="1:14" x14ac:dyDescent="0.25">
      <c r="K176">
        <f>IF($A176="","",IF((IF(Panel!$B$8="TODAS",1,--($A176=Panel!$B$8)))*(IF(Panel!$C$8="TODAS",1,--($B176=Panel!$C$8)))*(IF(Panel!$D$8="",1,--($C176&gt;=Panel!$D$8)))*(IF(Panel!$E$8="",1,--($C176&lt;Panel!$E$8+1)))=1,MAX($K$1:K175)+1,""))</f>
      </c>
    </row>
    <row r="177" spans="1:14" x14ac:dyDescent="0.25">
      <c r="K177">
        <f>IF($A177="","",IF((IF(Panel!$B$8="TODAS",1,--($A177=Panel!$B$8)))*(IF(Panel!$C$8="TODAS",1,--($B177=Panel!$C$8)))*(IF(Panel!$D$8="",1,--($C177&gt;=Panel!$D$8)))*(IF(Panel!$E$8="",1,--($C177&lt;Panel!$E$8+1)))=1,MAX($K$1:K176)+1,""))</f>
      </c>
    </row>
    <row r="178" spans="1:14" x14ac:dyDescent="0.25">
      <c r="K178">
        <f>IF($A178="","",IF((IF(Panel!$B$8="TODAS",1,--($A178=Panel!$B$8)))*(IF(Panel!$C$8="TODAS",1,--($B178=Panel!$C$8)))*(IF(Panel!$D$8="",1,--($C178&gt;=Panel!$D$8)))*(IF(Panel!$E$8="",1,--($C178&lt;Panel!$E$8+1)))=1,MAX($K$1:K177)+1,""))</f>
      </c>
    </row>
    <row r="179" spans="1:14" x14ac:dyDescent="0.25">
      <c r="K179">
        <f>IF($A179="","",IF((IF(Panel!$B$8="TODAS",1,--($A179=Panel!$B$8)))*(IF(Panel!$C$8="TODAS",1,--($B179=Panel!$C$8)))*(IF(Panel!$D$8="",1,--($C179&gt;=Panel!$D$8)))*(IF(Panel!$E$8="",1,--($C179&lt;Panel!$E$8+1)))=1,MAX($K$1:K178)+1,""))</f>
      </c>
    </row>
    <row r="180" spans="1:14" x14ac:dyDescent="0.25">
      <c r="K180">
        <f>IF($A180="","",IF((IF(Panel!$B$8="TODAS",1,--($A180=Panel!$B$8)))*(IF(Panel!$C$8="TODAS",1,--($B180=Panel!$C$8)))*(IF(Panel!$D$8="",1,--($C180&gt;=Panel!$D$8)))*(IF(Panel!$E$8="",1,--($C180&lt;Panel!$E$8+1)))=1,MAX($K$1:K179)+1,""))</f>
      </c>
    </row>
    <row r="181" spans="1:14" x14ac:dyDescent="0.25">
      <c r="K181">
        <f>IF($A181="","",IF((IF(Panel!$B$8="TODAS",1,--($A181=Panel!$B$8)))*(IF(Panel!$C$8="TODAS",1,--($B181=Panel!$C$8)))*(IF(Panel!$D$8="",1,--($C181&gt;=Panel!$D$8)))*(IF(Panel!$E$8="",1,--($C181&lt;Panel!$E$8+1)))=1,MAX($K$1:K180)+1,""))</f>
      </c>
    </row>
    <row r="182" spans="1:14" x14ac:dyDescent="0.25">
      <c r="K182">
        <f>IF($A182="","",IF((IF(Panel!$B$8="TODAS",1,--($A182=Panel!$B$8)))*(IF(Panel!$C$8="TODAS",1,--($B182=Panel!$C$8)))*(IF(Panel!$D$8="",1,--($C182&gt;=Panel!$D$8)))*(IF(Panel!$E$8="",1,--($C182&lt;Panel!$E$8+1)))=1,MAX($K$1:K181)+1,""))</f>
      </c>
    </row>
    <row r="183" spans="1:14" x14ac:dyDescent="0.25">
      <c r="K183">
        <f>IF($A183="","",IF((IF(Panel!$B$8="TODAS",1,--($A183=Panel!$B$8)))*(IF(Panel!$C$8="TODAS",1,--($B183=Panel!$C$8)))*(IF(Panel!$D$8="",1,--($C183&gt;=Panel!$D$8)))*(IF(Panel!$E$8="",1,--($C183&lt;Panel!$E$8+1)))=1,MAX($K$1:K182)+1,""))</f>
      </c>
    </row>
    <row r="184" spans="1:14" x14ac:dyDescent="0.25">
      <c r="K184">
        <f>IF($A184="","",IF((IF(Panel!$B$8="TODAS",1,--($A184=Panel!$B$8)))*(IF(Panel!$C$8="TODAS",1,--($B184=Panel!$C$8)))*(IF(Panel!$D$8="",1,--($C184&gt;=Panel!$D$8)))*(IF(Panel!$E$8="",1,--($C184&lt;Panel!$E$8+1)))=1,MAX($K$1:K183)+1,""))</f>
      </c>
    </row>
    <row r="185" spans="1:14" x14ac:dyDescent="0.25">
      <c r="K185">
        <f>IF($A185="","",IF((IF(Panel!$B$8="TODAS",1,--($A185=Panel!$B$8)))*(IF(Panel!$C$8="TODAS",1,--($B185=Panel!$C$8)))*(IF(Panel!$D$8="",1,--($C185&gt;=Panel!$D$8)))*(IF(Panel!$E$8="",1,--($C185&lt;Panel!$E$8+1)))=1,MAX($K$1:K184)+1,""))</f>
      </c>
    </row>
    <row r="186" spans="1:14" x14ac:dyDescent="0.25">
      <c r="K186">
        <f>IF($A186="","",IF((IF(Panel!$B$8="TODAS",1,--($A186=Panel!$B$8)))*(IF(Panel!$C$8="TODAS",1,--($B186=Panel!$C$8)))*(IF(Panel!$D$8="",1,--($C186&gt;=Panel!$D$8)))*(IF(Panel!$E$8="",1,--($C186&lt;Panel!$E$8+1)))=1,MAX($K$1:K185)+1,""))</f>
      </c>
    </row>
    <row r="187" spans="1:14" x14ac:dyDescent="0.25">
      <c r="K187">
        <f>IF($A187="","",IF((IF(Panel!$B$8="TODAS",1,--($A187=Panel!$B$8)))*(IF(Panel!$C$8="TODAS",1,--($B187=Panel!$C$8)))*(IF(Panel!$D$8="",1,--($C187&gt;=Panel!$D$8)))*(IF(Panel!$E$8="",1,--($C187&lt;Panel!$E$8+1)))=1,MAX($K$1:K186)+1,""))</f>
      </c>
    </row>
    <row r="188" spans="1:14" x14ac:dyDescent="0.25">
      <c r="K188">
        <f>IF($A188="","",IF((IF(Panel!$B$8="TODAS",1,--($A188=Panel!$B$8)))*(IF(Panel!$C$8="TODAS",1,--($B188=Panel!$C$8)))*(IF(Panel!$D$8="",1,--($C188&gt;=Panel!$D$8)))*(IF(Panel!$E$8="",1,--($C188&lt;Panel!$E$8+1)))=1,MAX($K$1:K187)+1,""))</f>
      </c>
    </row>
    <row r="189" spans="1:14" x14ac:dyDescent="0.25">
      <c r="K189">
        <f>IF($A189="","",IF((IF(Panel!$B$8="TODAS",1,--($A189=Panel!$B$8)))*(IF(Panel!$C$8="TODAS",1,--($B189=Panel!$C$8)))*(IF(Panel!$D$8="",1,--($C189&gt;=Panel!$D$8)))*(IF(Panel!$E$8="",1,--($C189&lt;Panel!$E$8+1)))=1,MAX($K$1:K188)+1,""))</f>
      </c>
    </row>
    <row r="190" spans="1:14" x14ac:dyDescent="0.25">
      <c r="K190">
        <f>IF($A190="","",IF((IF(Panel!$B$8="TODAS",1,--($A190=Panel!$B$8)))*(IF(Panel!$C$8="TODAS",1,--($B190=Panel!$C$8)))*(IF(Panel!$D$8="",1,--($C190&gt;=Panel!$D$8)))*(IF(Panel!$E$8="",1,--($C190&lt;Panel!$E$8+1)))=1,MAX($K$1:K189)+1,""))</f>
      </c>
    </row>
    <row r="191" spans="1:14" x14ac:dyDescent="0.25">
      <c r="K191">
        <f>IF($A191="","",IF((IF(Panel!$B$8="TODAS",1,--($A191=Panel!$B$8)))*(IF(Panel!$C$8="TODAS",1,--($B191=Panel!$C$8)))*(IF(Panel!$D$8="",1,--($C191&gt;=Panel!$D$8)))*(IF(Panel!$E$8="",1,--($C191&lt;Panel!$E$8+1)))=1,MAX($K$1:K190)+1,""))</f>
      </c>
    </row>
    <row r="192" spans="1:14" x14ac:dyDescent="0.25">
      <c r="K192">
        <f>IF($A192="","",IF((IF(Panel!$B$8="TODAS",1,--($A192=Panel!$B$8)))*(IF(Panel!$C$8="TODAS",1,--($B192=Panel!$C$8)))*(IF(Panel!$D$8="",1,--($C192&gt;=Panel!$D$8)))*(IF(Panel!$E$8="",1,--($C192&lt;Panel!$E$8+1)))=1,MAX($K$1:K191)+1,""))</f>
      </c>
    </row>
    <row r="193" spans="1:14" x14ac:dyDescent="0.25">
      <c r="K193">
        <f>IF($A193="","",IF((IF(Panel!$B$8="TODAS",1,--($A193=Panel!$B$8)))*(IF(Panel!$C$8="TODAS",1,--($B193=Panel!$C$8)))*(IF(Panel!$D$8="",1,--($C193&gt;=Panel!$D$8)))*(IF(Panel!$E$8="",1,--($C193&lt;Panel!$E$8+1)))=1,MAX($K$1:K192)+1,""))</f>
      </c>
    </row>
    <row r="194" spans="1:14" x14ac:dyDescent="0.25">
      <c r="K194">
        <f>IF($A194="","",IF((IF(Panel!$B$8="TODAS",1,--($A194=Panel!$B$8)))*(IF(Panel!$C$8="TODAS",1,--($B194=Panel!$C$8)))*(IF(Panel!$D$8="",1,--($C194&gt;=Panel!$D$8)))*(IF(Panel!$E$8="",1,--($C194&lt;Panel!$E$8+1)))=1,MAX($K$1:K193)+1,""))</f>
      </c>
    </row>
    <row r="195" spans="1:14" x14ac:dyDescent="0.25">
      <c r="K195">
        <f>IF($A195="","",IF((IF(Panel!$B$8="TODAS",1,--($A195=Panel!$B$8)))*(IF(Panel!$C$8="TODAS",1,--($B195=Panel!$C$8)))*(IF(Panel!$D$8="",1,--($C195&gt;=Panel!$D$8)))*(IF(Panel!$E$8="",1,--($C195&lt;Panel!$E$8+1)))=1,MAX($K$1:K194)+1,""))</f>
      </c>
    </row>
    <row r="196" spans="1:14" x14ac:dyDescent="0.25">
      <c r="K196">
        <f>IF($A196="","",IF((IF(Panel!$B$8="TODAS",1,--($A196=Panel!$B$8)))*(IF(Panel!$C$8="TODAS",1,--($B196=Panel!$C$8)))*(IF(Panel!$D$8="",1,--($C196&gt;=Panel!$D$8)))*(IF(Panel!$E$8="",1,--($C196&lt;Panel!$E$8+1)))=1,MAX($K$1:K195)+1,""))</f>
      </c>
    </row>
    <row r="197" spans="1:14" x14ac:dyDescent="0.25">
      <c r="K197">
        <f>IF($A197="","",IF((IF(Panel!$B$8="TODAS",1,--($A197=Panel!$B$8)))*(IF(Panel!$C$8="TODAS",1,--($B197=Panel!$C$8)))*(IF(Panel!$D$8="",1,--($C197&gt;=Panel!$D$8)))*(IF(Panel!$E$8="",1,--($C197&lt;Panel!$E$8+1)))=1,MAX($K$1:K196)+1,""))</f>
      </c>
    </row>
    <row r="198" spans="1:14" x14ac:dyDescent="0.25">
      <c r="K198">
        <f>IF($A198="","",IF((IF(Panel!$B$8="TODAS",1,--($A198=Panel!$B$8)))*(IF(Panel!$C$8="TODAS",1,--($B198=Panel!$C$8)))*(IF(Panel!$D$8="",1,--($C198&gt;=Panel!$D$8)))*(IF(Panel!$E$8="",1,--($C198&lt;Panel!$E$8+1)))=1,MAX($K$1:K197)+1,""))</f>
      </c>
    </row>
    <row r="199" spans="1:14" x14ac:dyDescent="0.25">
      <c r="K199">
        <f>IF($A199="","",IF((IF(Panel!$B$8="TODAS",1,--($A199=Panel!$B$8)))*(IF(Panel!$C$8="TODAS",1,--($B199=Panel!$C$8)))*(IF(Panel!$D$8="",1,--($C199&gt;=Panel!$D$8)))*(IF(Panel!$E$8="",1,--($C199&lt;Panel!$E$8+1)))=1,MAX($K$1:K198)+1,""))</f>
      </c>
    </row>
    <row r="200" spans="1:14" x14ac:dyDescent="0.25">
      <c r="K200">
        <f>IF($A200="","",IF((IF(Panel!$B$8="TODAS",1,--($A200=Panel!$B$8)))*(IF(Panel!$C$8="TODAS",1,--($B200=Panel!$C$8)))*(IF(Panel!$D$8="",1,--($C200&gt;=Panel!$D$8)))*(IF(Panel!$E$8="",1,--($C200&lt;Panel!$E$8+1)))=1,MAX($K$1:K199)+1,""))</f>
      </c>
    </row>
    <row r="201" spans="1:14" x14ac:dyDescent="0.25">
      <c r="K201">
        <f>IF($A201="","",IF((IF(Panel!$B$8="TODAS",1,--($A201=Panel!$B$8)))*(IF(Panel!$C$8="TODAS",1,--($B201=Panel!$C$8)))*(IF(Panel!$D$8="",1,--($C201&gt;=Panel!$D$8)))*(IF(Panel!$E$8="",1,--($C201&lt;Panel!$E$8+1)))=1,MAX($K$1:K200)+1,""))</f>
      </c>
    </row>
    <row r="202" spans="1:14" x14ac:dyDescent="0.25">
      <c r="K202">
        <f>IF($A202="","",IF((IF(Panel!$B$8="TODAS",1,--($A202=Panel!$B$8)))*(IF(Panel!$C$8="TODAS",1,--($B202=Panel!$C$8)))*(IF(Panel!$D$8="",1,--($C202&gt;=Panel!$D$8)))*(IF(Panel!$E$8="",1,--($C202&lt;Panel!$E$8+1)))=1,MAX($K$1:K201)+1,""))</f>
      </c>
    </row>
    <row r="203" spans="1:14" x14ac:dyDescent="0.25">
      <c r="K203">
        <f>IF($A203="","",IF((IF(Panel!$B$8="TODAS",1,--($A203=Panel!$B$8)))*(IF(Panel!$C$8="TODAS",1,--($B203=Panel!$C$8)))*(IF(Panel!$D$8="",1,--($C203&gt;=Panel!$D$8)))*(IF(Panel!$E$8="",1,--($C203&lt;Panel!$E$8+1)))=1,MAX($K$1:K202)+1,""))</f>
      </c>
    </row>
    <row r="204" spans="1:14" x14ac:dyDescent="0.25">
      <c r="K204">
        <f>IF($A204="","",IF((IF(Panel!$B$8="TODAS",1,--($A204=Panel!$B$8)))*(IF(Panel!$C$8="TODAS",1,--($B204=Panel!$C$8)))*(IF(Panel!$D$8="",1,--($C204&gt;=Panel!$D$8)))*(IF(Panel!$E$8="",1,--($C204&lt;Panel!$E$8+1)))=1,MAX($K$1:K203)+1,""))</f>
      </c>
    </row>
    <row r="205" spans="1:14" x14ac:dyDescent="0.25">
      <c r="K205">
        <f>IF($A205="","",IF((IF(Panel!$B$8="TODAS",1,--($A205=Panel!$B$8)))*(IF(Panel!$C$8="TODAS",1,--($B205=Panel!$C$8)))*(IF(Panel!$D$8="",1,--($C205&gt;=Panel!$D$8)))*(IF(Panel!$E$8="",1,--($C205&lt;Panel!$E$8+1)))=1,MAX($K$1:K204)+1,""))</f>
      </c>
    </row>
    <row r="206" spans="1:14" x14ac:dyDescent="0.25">
      <c r="K206">
        <f>IF($A206="","",IF((IF(Panel!$B$8="TODAS",1,--($A206=Panel!$B$8)))*(IF(Panel!$C$8="TODAS",1,--($B206=Panel!$C$8)))*(IF(Panel!$D$8="",1,--($C206&gt;=Panel!$D$8)))*(IF(Panel!$E$8="",1,--($C206&lt;Panel!$E$8+1)))=1,MAX($K$1:K205)+1,""))</f>
      </c>
    </row>
    <row r="207" spans="1:14" x14ac:dyDescent="0.25">
      <c r="K207">
        <f>IF($A207="","",IF((IF(Panel!$B$8="TODAS",1,--($A207=Panel!$B$8)))*(IF(Panel!$C$8="TODAS",1,--($B207=Panel!$C$8)))*(IF(Panel!$D$8="",1,--($C207&gt;=Panel!$D$8)))*(IF(Panel!$E$8="",1,--($C207&lt;Panel!$E$8+1)))=1,MAX($K$1:K206)+1,""))</f>
      </c>
    </row>
    <row r="208" spans="1:14" x14ac:dyDescent="0.25">
      <c r="K208">
        <f>IF($A208="","",IF((IF(Panel!$B$8="TODAS",1,--($A208=Panel!$B$8)))*(IF(Panel!$C$8="TODAS",1,--($B208=Panel!$C$8)))*(IF(Panel!$D$8="",1,--($C208&gt;=Panel!$D$8)))*(IF(Panel!$E$8="",1,--($C208&lt;Panel!$E$8+1)))=1,MAX($K$1:K207)+1,""))</f>
      </c>
    </row>
    <row r="209" spans="1:14" x14ac:dyDescent="0.25">
      <c r="K209">
        <f>IF($A209="","",IF((IF(Panel!$B$8="TODAS",1,--($A209=Panel!$B$8)))*(IF(Panel!$C$8="TODAS",1,--($B209=Panel!$C$8)))*(IF(Panel!$D$8="",1,--($C209&gt;=Panel!$D$8)))*(IF(Panel!$E$8="",1,--($C209&lt;Panel!$E$8+1)))=1,MAX($K$1:K208)+1,""))</f>
      </c>
    </row>
    <row r="210" spans="1:14" x14ac:dyDescent="0.25">
      <c r="K210">
        <f>IF($A210="","",IF((IF(Panel!$B$8="TODAS",1,--($A210=Panel!$B$8)))*(IF(Panel!$C$8="TODAS",1,--($B210=Panel!$C$8)))*(IF(Panel!$D$8="",1,--($C210&gt;=Panel!$D$8)))*(IF(Panel!$E$8="",1,--($C210&lt;Panel!$E$8+1)))=1,MAX($K$1:K209)+1,""))</f>
      </c>
    </row>
    <row r="211" spans="1:14" x14ac:dyDescent="0.25">
      <c r="K211">
        <f>IF($A211="","",IF((IF(Panel!$B$8="TODAS",1,--($A211=Panel!$B$8)))*(IF(Panel!$C$8="TODAS",1,--($B211=Panel!$C$8)))*(IF(Panel!$D$8="",1,--($C211&gt;=Panel!$D$8)))*(IF(Panel!$E$8="",1,--($C211&lt;Panel!$E$8+1)))=1,MAX($K$1:K210)+1,""))</f>
      </c>
    </row>
    <row r="212" spans="1:14" x14ac:dyDescent="0.25">
      <c r="K212">
        <f>IF($A212="","",IF((IF(Panel!$B$8="TODAS",1,--($A212=Panel!$B$8)))*(IF(Panel!$C$8="TODAS",1,--($B212=Panel!$C$8)))*(IF(Panel!$D$8="",1,--($C212&gt;=Panel!$D$8)))*(IF(Panel!$E$8="",1,--($C212&lt;Panel!$E$8+1)))=1,MAX($K$1:K211)+1,""))</f>
      </c>
    </row>
    <row r="213" spans="1:14" x14ac:dyDescent="0.25">
      <c r="K213">
        <f>IF($A213="","",IF((IF(Panel!$B$8="TODAS",1,--($A213=Panel!$B$8)))*(IF(Panel!$C$8="TODAS",1,--($B213=Panel!$C$8)))*(IF(Panel!$D$8="",1,--($C213&gt;=Panel!$D$8)))*(IF(Panel!$E$8="",1,--($C213&lt;Panel!$E$8+1)))=1,MAX($K$1:K212)+1,""))</f>
      </c>
    </row>
    <row r="214" spans="1:14" x14ac:dyDescent="0.25">
      <c r="K214">
        <f>IF($A214="","",IF((IF(Panel!$B$8="TODAS",1,--($A214=Panel!$B$8)))*(IF(Panel!$C$8="TODAS",1,--($B214=Panel!$C$8)))*(IF(Panel!$D$8="",1,--($C214&gt;=Panel!$D$8)))*(IF(Panel!$E$8="",1,--($C214&lt;Panel!$E$8+1)))=1,MAX($K$1:K213)+1,""))</f>
      </c>
    </row>
    <row r="215" spans="1:14" x14ac:dyDescent="0.25">
      <c r="K215">
        <f>IF($A215="","",IF((IF(Panel!$B$8="TODAS",1,--($A215=Panel!$B$8)))*(IF(Panel!$C$8="TODAS",1,--($B215=Panel!$C$8)))*(IF(Panel!$D$8="",1,--($C215&gt;=Panel!$D$8)))*(IF(Panel!$E$8="",1,--($C215&lt;Panel!$E$8+1)))=1,MAX($K$1:K214)+1,""))</f>
      </c>
    </row>
    <row r="216" spans="1:14" x14ac:dyDescent="0.25">
      <c r="K216">
        <f>IF($A216="","",IF((IF(Panel!$B$8="TODAS",1,--($A216=Panel!$B$8)))*(IF(Panel!$C$8="TODAS",1,--($B216=Panel!$C$8)))*(IF(Panel!$D$8="",1,--($C216&gt;=Panel!$D$8)))*(IF(Panel!$E$8="",1,--($C216&lt;Panel!$E$8+1)))=1,MAX($K$1:K215)+1,""))</f>
      </c>
    </row>
    <row r="217" spans="1:14" x14ac:dyDescent="0.25">
      <c r="K217">
        <f>IF($A217="","",IF((IF(Panel!$B$8="TODAS",1,--($A217=Panel!$B$8)))*(IF(Panel!$C$8="TODAS",1,--($B217=Panel!$C$8)))*(IF(Panel!$D$8="",1,--($C217&gt;=Panel!$D$8)))*(IF(Panel!$E$8="",1,--($C217&lt;Panel!$E$8+1)))=1,MAX($K$1:K216)+1,""))</f>
      </c>
    </row>
    <row r="218" spans="1:14" x14ac:dyDescent="0.25">
      <c r="K218">
        <f>IF($A218="","",IF((IF(Panel!$B$8="TODAS",1,--($A218=Panel!$B$8)))*(IF(Panel!$C$8="TODAS",1,--($B218=Panel!$C$8)))*(IF(Panel!$D$8="",1,--($C218&gt;=Panel!$D$8)))*(IF(Panel!$E$8="",1,--($C218&lt;Panel!$E$8+1)))=1,MAX($K$1:K217)+1,""))</f>
      </c>
    </row>
    <row r="219" spans="1:14" x14ac:dyDescent="0.25">
      <c r="K219">
        <f>IF($A219="","",IF((IF(Panel!$B$8="TODAS",1,--($A219=Panel!$B$8)))*(IF(Panel!$C$8="TODAS",1,--($B219=Panel!$C$8)))*(IF(Panel!$D$8="",1,--($C219&gt;=Panel!$D$8)))*(IF(Panel!$E$8="",1,--($C219&lt;Panel!$E$8+1)))=1,MAX($K$1:K218)+1,""))</f>
      </c>
    </row>
    <row r="220" spans="1:14" x14ac:dyDescent="0.25">
      <c r="K220">
        <f>IF($A220="","",IF((IF(Panel!$B$8="TODAS",1,--($A220=Panel!$B$8)))*(IF(Panel!$C$8="TODAS",1,--($B220=Panel!$C$8)))*(IF(Panel!$D$8="",1,--($C220&gt;=Panel!$D$8)))*(IF(Panel!$E$8="",1,--($C220&lt;Panel!$E$8+1)))=1,MAX($K$1:K219)+1,""))</f>
      </c>
    </row>
    <row r="221" spans="1:14" x14ac:dyDescent="0.25">
      <c r="K221">
        <f>IF($A221="","",IF((IF(Panel!$B$8="TODAS",1,--($A221=Panel!$B$8)))*(IF(Panel!$C$8="TODAS",1,--($B221=Panel!$C$8)))*(IF(Panel!$D$8="",1,--($C221&gt;=Panel!$D$8)))*(IF(Panel!$E$8="",1,--($C221&lt;Panel!$E$8+1)))=1,MAX($K$1:K220)+1,""))</f>
      </c>
    </row>
    <row r="222" spans="1:14" x14ac:dyDescent="0.25">
      <c r="K222">
        <f>IF($A222="","",IF((IF(Panel!$B$8="TODAS",1,--($A222=Panel!$B$8)))*(IF(Panel!$C$8="TODAS",1,--($B222=Panel!$C$8)))*(IF(Panel!$D$8="",1,--($C222&gt;=Panel!$D$8)))*(IF(Panel!$E$8="",1,--($C222&lt;Panel!$E$8+1)))=1,MAX($K$1:K221)+1,""))</f>
      </c>
    </row>
    <row r="223" spans="1:14" x14ac:dyDescent="0.25">
      <c r="K223">
        <f>IF($A223="","",IF((IF(Panel!$B$8="TODAS",1,--($A223=Panel!$B$8)))*(IF(Panel!$C$8="TODAS",1,--($B223=Panel!$C$8)))*(IF(Panel!$D$8="",1,--($C223&gt;=Panel!$D$8)))*(IF(Panel!$E$8="",1,--($C223&lt;Panel!$E$8+1)))=1,MAX($K$1:K222)+1,""))</f>
      </c>
    </row>
    <row r="224" spans="1:14" x14ac:dyDescent="0.25">
      <c r="K224">
        <f>IF($A224="","",IF((IF(Panel!$B$8="TODAS",1,--($A224=Panel!$B$8)))*(IF(Panel!$C$8="TODAS",1,--($B224=Panel!$C$8)))*(IF(Panel!$D$8="",1,--($C224&gt;=Panel!$D$8)))*(IF(Panel!$E$8="",1,--($C224&lt;Panel!$E$8+1)))=1,MAX($K$1:K223)+1,""))</f>
      </c>
    </row>
    <row r="225" spans="1:14" x14ac:dyDescent="0.25">
      <c r="K225">
        <f>IF($A225="","",IF((IF(Panel!$B$8="TODAS",1,--($A225=Panel!$B$8)))*(IF(Panel!$C$8="TODAS",1,--($B225=Panel!$C$8)))*(IF(Panel!$D$8="",1,--($C225&gt;=Panel!$D$8)))*(IF(Panel!$E$8="",1,--($C225&lt;Panel!$E$8+1)))=1,MAX($K$1:K224)+1,""))</f>
      </c>
    </row>
    <row r="226" spans="1:14" x14ac:dyDescent="0.25">
      <c r="K226">
        <f>IF($A226="","",IF((IF(Panel!$B$8="TODAS",1,--($A226=Panel!$B$8)))*(IF(Panel!$C$8="TODAS",1,--($B226=Panel!$C$8)))*(IF(Panel!$D$8="",1,--($C226&gt;=Panel!$D$8)))*(IF(Panel!$E$8="",1,--($C226&lt;Panel!$E$8+1)))=1,MAX($K$1:K225)+1,""))</f>
      </c>
    </row>
    <row r="227" spans="1:14" x14ac:dyDescent="0.25">
      <c r="K227">
        <f>IF($A227="","",IF((IF(Panel!$B$8="TODAS",1,--($A227=Panel!$B$8)))*(IF(Panel!$C$8="TODAS",1,--($B227=Panel!$C$8)))*(IF(Panel!$D$8="",1,--($C227&gt;=Panel!$D$8)))*(IF(Panel!$E$8="",1,--($C227&lt;Panel!$E$8+1)))=1,MAX($K$1:K226)+1,""))</f>
      </c>
    </row>
    <row r="228" spans="1:14" x14ac:dyDescent="0.25">
      <c r="K228">
        <f>IF($A228="","",IF((IF(Panel!$B$8="TODAS",1,--($A228=Panel!$B$8)))*(IF(Panel!$C$8="TODAS",1,--($B228=Panel!$C$8)))*(IF(Panel!$D$8="",1,--($C228&gt;=Panel!$D$8)))*(IF(Panel!$E$8="",1,--($C228&lt;Panel!$E$8+1)))=1,MAX($K$1:K227)+1,""))</f>
      </c>
    </row>
    <row r="229" spans="1:14" x14ac:dyDescent="0.25">
      <c r="K229">
        <f>IF($A229="","",IF((IF(Panel!$B$8="TODAS",1,--($A229=Panel!$B$8)))*(IF(Panel!$C$8="TODAS",1,--($B229=Panel!$C$8)))*(IF(Panel!$D$8="",1,--($C229&gt;=Panel!$D$8)))*(IF(Panel!$E$8="",1,--($C229&lt;Panel!$E$8+1)))=1,MAX($K$1:K228)+1,""))</f>
      </c>
    </row>
    <row r="230" spans="1:14" x14ac:dyDescent="0.25">
      <c r="K230">
        <f>IF($A230="","",IF((IF(Panel!$B$8="TODAS",1,--($A230=Panel!$B$8)))*(IF(Panel!$C$8="TODAS",1,--($B230=Panel!$C$8)))*(IF(Panel!$D$8="",1,--($C230&gt;=Panel!$D$8)))*(IF(Panel!$E$8="",1,--($C230&lt;Panel!$E$8+1)))=1,MAX($K$1:K229)+1,""))</f>
      </c>
    </row>
    <row r="231" spans="1:14" x14ac:dyDescent="0.25">
      <c r="K231">
        <f>IF($A231="","",IF((IF(Panel!$B$8="TODAS",1,--($A231=Panel!$B$8)))*(IF(Panel!$C$8="TODAS",1,--($B231=Panel!$C$8)))*(IF(Panel!$D$8="",1,--($C231&gt;=Panel!$D$8)))*(IF(Panel!$E$8="",1,--($C231&lt;Panel!$E$8+1)))=1,MAX($K$1:K230)+1,""))</f>
      </c>
    </row>
    <row r="232" spans="1:14" x14ac:dyDescent="0.25">
      <c r="K232">
        <f>IF($A232="","",IF((IF(Panel!$B$8="TODAS",1,--($A232=Panel!$B$8)))*(IF(Panel!$C$8="TODAS",1,--($B232=Panel!$C$8)))*(IF(Panel!$D$8="",1,--($C232&gt;=Panel!$D$8)))*(IF(Panel!$E$8="",1,--($C232&lt;Panel!$E$8+1)))=1,MAX($K$1:K231)+1,""))</f>
      </c>
    </row>
    <row r="233" spans="1:14" x14ac:dyDescent="0.25">
      <c r="K233">
        <f>IF($A233="","",IF((IF(Panel!$B$8="TODAS",1,--($A233=Panel!$B$8)))*(IF(Panel!$C$8="TODAS",1,--($B233=Panel!$C$8)))*(IF(Panel!$D$8="",1,--($C233&gt;=Panel!$D$8)))*(IF(Panel!$E$8="",1,--($C233&lt;Panel!$E$8+1)))=1,MAX($K$1:K232)+1,""))</f>
      </c>
    </row>
    <row r="234" spans="1:14" x14ac:dyDescent="0.25">
      <c r="K234">
        <f>IF($A234="","",IF((IF(Panel!$B$8="TODAS",1,--($A234=Panel!$B$8)))*(IF(Panel!$C$8="TODAS",1,--($B234=Panel!$C$8)))*(IF(Panel!$D$8="",1,--($C234&gt;=Panel!$D$8)))*(IF(Panel!$E$8="",1,--($C234&lt;Panel!$E$8+1)))=1,MAX($K$1:K233)+1,""))</f>
      </c>
    </row>
    <row r="235" spans="1:14" x14ac:dyDescent="0.25">
      <c r="K235">
        <f>IF($A235="","",IF((IF(Panel!$B$8="TODAS",1,--($A235=Panel!$B$8)))*(IF(Panel!$C$8="TODAS",1,--($B235=Panel!$C$8)))*(IF(Panel!$D$8="",1,--($C235&gt;=Panel!$D$8)))*(IF(Panel!$E$8="",1,--($C235&lt;Panel!$E$8+1)))=1,MAX($K$1:K234)+1,""))</f>
      </c>
    </row>
    <row r="236" spans="1:14" x14ac:dyDescent="0.25">
      <c r="K236">
        <f>IF($A236="","",IF((IF(Panel!$B$8="TODAS",1,--($A236=Panel!$B$8)))*(IF(Panel!$C$8="TODAS",1,--($B236=Panel!$C$8)))*(IF(Panel!$D$8="",1,--($C236&gt;=Panel!$D$8)))*(IF(Panel!$E$8="",1,--($C236&lt;Panel!$E$8+1)))=1,MAX($K$1:K235)+1,""))</f>
      </c>
    </row>
    <row r="237" spans="1:14" x14ac:dyDescent="0.25">
      <c r="K237">
        <f>IF($A237="","",IF((IF(Panel!$B$8="TODAS",1,--($A237=Panel!$B$8)))*(IF(Panel!$C$8="TODAS",1,--($B237=Panel!$C$8)))*(IF(Panel!$D$8="",1,--($C237&gt;=Panel!$D$8)))*(IF(Panel!$E$8="",1,--($C237&lt;Panel!$E$8+1)))=1,MAX($K$1:K236)+1,""))</f>
      </c>
    </row>
    <row r="238" spans="1:14" x14ac:dyDescent="0.25">
      <c r="K238">
        <f>IF($A238="","",IF((IF(Panel!$B$8="TODAS",1,--($A238=Panel!$B$8)))*(IF(Panel!$C$8="TODAS",1,--($B238=Panel!$C$8)))*(IF(Panel!$D$8="",1,--($C238&gt;=Panel!$D$8)))*(IF(Panel!$E$8="",1,--($C238&lt;Panel!$E$8+1)))=1,MAX($K$1:K237)+1,""))</f>
      </c>
    </row>
    <row r="239" spans="1:14" x14ac:dyDescent="0.25">
      <c r="K239">
        <f>IF($A239="","",IF((IF(Panel!$B$8="TODAS",1,--($A239=Panel!$B$8)))*(IF(Panel!$C$8="TODAS",1,--($B239=Panel!$C$8)))*(IF(Panel!$D$8="",1,--($C239&gt;=Panel!$D$8)))*(IF(Panel!$E$8="",1,--($C239&lt;Panel!$E$8+1)))=1,MAX($K$1:K238)+1,""))</f>
      </c>
    </row>
    <row r="240" spans="1:14" x14ac:dyDescent="0.25">
      <c r="K240">
        <f>IF($A240="","",IF((IF(Panel!$B$8="TODAS",1,--($A240=Panel!$B$8)))*(IF(Panel!$C$8="TODAS",1,--($B240=Panel!$C$8)))*(IF(Panel!$D$8="",1,--($C240&gt;=Panel!$D$8)))*(IF(Panel!$E$8="",1,--($C240&lt;Panel!$E$8+1)))=1,MAX($K$1:K239)+1,""))</f>
      </c>
    </row>
    <row r="241" spans="1:14" x14ac:dyDescent="0.25">
      <c r="K241">
        <f>IF($A241="","",IF((IF(Panel!$B$8="TODAS",1,--($A241=Panel!$B$8)))*(IF(Panel!$C$8="TODAS",1,--($B241=Panel!$C$8)))*(IF(Panel!$D$8="",1,--($C241&gt;=Panel!$D$8)))*(IF(Panel!$E$8="",1,--($C241&lt;Panel!$E$8+1)))=1,MAX($K$1:K240)+1,""))</f>
      </c>
    </row>
    <row r="242" spans="1:14" x14ac:dyDescent="0.25">
      <c r="K242">
        <f>IF($A242="","",IF((IF(Panel!$B$8="TODAS",1,--($A242=Panel!$B$8)))*(IF(Panel!$C$8="TODAS",1,--($B242=Panel!$C$8)))*(IF(Panel!$D$8="",1,--($C242&gt;=Panel!$D$8)))*(IF(Panel!$E$8="",1,--($C242&lt;Panel!$E$8+1)))=1,MAX($K$1:K241)+1,""))</f>
      </c>
    </row>
    <row r="243" spans="1:14" x14ac:dyDescent="0.25">
      <c r="K243">
        <f>IF($A243="","",IF((IF(Panel!$B$8="TODAS",1,--($A243=Panel!$B$8)))*(IF(Panel!$C$8="TODAS",1,--($B243=Panel!$C$8)))*(IF(Panel!$D$8="",1,--($C243&gt;=Panel!$D$8)))*(IF(Panel!$E$8="",1,--($C243&lt;Panel!$E$8+1)))=1,MAX($K$1:K242)+1,""))</f>
      </c>
    </row>
    <row r="244" spans="1:14" x14ac:dyDescent="0.25">
      <c r="K244">
        <f>IF($A244="","",IF((IF(Panel!$B$8="TODAS",1,--($A244=Panel!$B$8)))*(IF(Panel!$C$8="TODAS",1,--($B244=Panel!$C$8)))*(IF(Panel!$D$8="",1,--($C244&gt;=Panel!$D$8)))*(IF(Panel!$E$8="",1,--($C244&lt;Panel!$E$8+1)))=1,MAX($K$1:K243)+1,""))</f>
      </c>
    </row>
    <row r="245" spans="1:14" x14ac:dyDescent="0.25">
      <c r="K245">
        <f>IF($A245="","",IF((IF(Panel!$B$8="TODAS",1,--($A245=Panel!$B$8)))*(IF(Panel!$C$8="TODAS",1,--($B245=Panel!$C$8)))*(IF(Panel!$D$8="",1,--($C245&gt;=Panel!$D$8)))*(IF(Panel!$E$8="",1,--($C245&lt;Panel!$E$8+1)))=1,MAX($K$1:K244)+1,""))</f>
      </c>
    </row>
    <row r="246" spans="1:14" x14ac:dyDescent="0.25">
      <c r="K246">
        <f>IF($A246="","",IF((IF(Panel!$B$8="TODAS",1,--($A246=Panel!$B$8)))*(IF(Panel!$C$8="TODAS",1,--($B246=Panel!$C$8)))*(IF(Panel!$D$8="",1,--($C246&gt;=Panel!$D$8)))*(IF(Panel!$E$8="",1,--($C246&lt;Panel!$E$8+1)))=1,MAX($K$1:K245)+1,""))</f>
      </c>
    </row>
    <row r="247" spans="1:14" x14ac:dyDescent="0.25">
      <c r="K247">
        <f>IF($A247="","",IF((IF(Panel!$B$8="TODAS",1,--($A247=Panel!$B$8)))*(IF(Panel!$C$8="TODAS",1,--($B247=Panel!$C$8)))*(IF(Panel!$D$8="",1,--($C247&gt;=Panel!$D$8)))*(IF(Panel!$E$8="",1,--($C247&lt;Panel!$E$8+1)))=1,MAX($K$1:K246)+1,""))</f>
      </c>
    </row>
    <row r="248" spans="1:14" x14ac:dyDescent="0.25">
      <c r="K248">
        <f>IF($A248="","",IF((IF(Panel!$B$8="TODAS",1,--($A248=Panel!$B$8)))*(IF(Panel!$C$8="TODAS",1,--($B248=Panel!$C$8)))*(IF(Panel!$D$8="",1,--($C248&gt;=Panel!$D$8)))*(IF(Panel!$E$8="",1,--($C248&lt;Panel!$E$8+1)))=1,MAX($K$1:K247)+1,""))</f>
      </c>
    </row>
    <row r="249" spans="1:14" x14ac:dyDescent="0.25">
      <c r="K249">
        <f>IF($A249="","",IF((IF(Panel!$B$8="TODAS",1,--($A249=Panel!$B$8)))*(IF(Panel!$C$8="TODAS",1,--($B249=Panel!$C$8)))*(IF(Panel!$D$8="",1,--($C249&gt;=Panel!$D$8)))*(IF(Panel!$E$8="",1,--($C249&lt;Panel!$E$8+1)))=1,MAX($K$1:K248)+1,""))</f>
      </c>
    </row>
    <row r="250" spans="1:14" x14ac:dyDescent="0.25">
      <c r="K250">
        <f>IF($A250="","",IF((IF(Panel!$B$8="TODAS",1,--($A250=Panel!$B$8)))*(IF(Panel!$C$8="TODAS",1,--($B250=Panel!$C$8)))*(IF(Panel!$D$8="",1,--($C250&gt;=Panel!$D$8)))*(IF(Panel!$E$8="",1,--($C250&lt;Panel!$E$8+1)))=1,MAX($K$1:K249)+1,""))</f>
      </c>
    </row>
    <row r="251" spans="1:14" x14ac:dyDescent="0.25">
      <c r="K251">
        <f>IF($A251="","",IF((IF(Panel!$B$8="TODAS",1,--($A251=Panel!$B$8)))*(IF(Panel!$C$8="TODAS",1,--($B251=Panel!$C$8)))*(IF(Panel!$D$8="",1,--($C251&gt;=Panel!$D$8)))*(IF(Panel!$E$8="",1,--($C251&lt;Panel!$E$8+1)))=1,MAX($K$1:K250)+1,""))</f>
      </c>
    </row>
    <row r="252" spans="1:14" x14ac:dyDescent="0.25">
      <c r="K252">
        <f>IF($A252="","",IF((IF(Panel!$B$8="TODAS",1,--($A252=Panel!$B$8)))*(IF(Panel!$C$8="TODAS",1,--($B252=Panel!$C$8)))*(IF(Panel!$D$8="",1,--($C252&gt;=Panel!$D$8)))*(IF(Panel!$E$8="",1,--($C252&lt;Panel!$E$8+1)))=1,MAX($K$1:K251)+1,""))</f>
      </c>
    </row>
    <row r="253" spans="1:14" x14ac:dyDescent="0.25">
      <c r="K253">
        <f>IF($A253="","",IF((IF(Panel!$B$8="TODAS",1,--($A253=Panel!$B$8)))*(IF(Panel!$C$8="TODAS",1,--($B253=Panel!$C$8)))*(IF(Panel!$D$8="",1,--($C253&gt;=Panel!$D$8)))*(IF(Panel!$E$8="",1,--($C253&lt;Panel!$E$8+1)))=1,MAX($K$1:K252)+1,""))</f>
      </c>
    </row>
    <row r="254" spans="1:14" x14ac:dyDescent="0.25">
      <c r="K254">
        <f>IF($A254="","",IF((IF(Panel!$B$8="TODAS",1,--($A254=Panel!$B$8)))*(IF(Panel!$C$8="TODAS",1,--($B254=Panel!$C$8)))*(IF(Panel!$D$8="",1,--($C254&gt;=Panel!$D$8)))*(IF(Panel!$E$8="",1,--($C254&lt;Panel!$E$8+1)))=1,MAX($K$1:K253)+1,""))</f>
      </c>
    </row>
    <row r="255" spans="1:14" x14ac:dyDescent="0.25">
      <c r="K255">
        <f>IF($A255="","",IF((IF(Panel!$B$8="TODAS",1,--($A255=Panel!$B$8)))*(IF(Panel!$C$8="TODAS",1,--($B255=Panel!$C$8)))*(IF(Panel!$D$8="",1,--($C255&gt;=Panel!$D$8)))*(IF(Panel!$E$8="",1,--($C255&lt;Panel!$E$8+1)))=1,MAX($K$1:K254)+1,""))</f>
      </c>
    </row>
    <row r="256" spans="1:14" x14ac:dyDescent="0.25">
      <c r="K256">
        <f>IF($A256="","",IF((IF(Panel!$B$8="TODAS",1,--($A256=Panel!$B$8)))*(IF(Panel!$C$8="TODAS",1,--($B256=Panel!$C$8)))*(IF(Panel!$D$8="",1,--($C256&gt;=Panel!$D$8)))*(IF(Panel!$E$8="",1,--($C256&lt;Panel!$E$8+1)))=1,MAX($K$1:K255)+1,""))</f>
      </c>
    </row>
    <row r="257" spans="1:14" x14ac:dyDescent="0.25">
      <c r="K257">
        <f>IF($A257="","",IF((IF(Panel!$B$8="TODAS",1,--($A257=Panel!$B$8)))*(IF(Panel!$C$8="TODAS",1,--($B257=Panel!$C$8)))*(IF(Panel!$D$8="",1,--($C257&gt;=Panel!$D$8)))*(IF(Panel!$E$8="",1,--($C257&lt;Panel!$E$8+1)))=1,MAX($K$1:K256)+1,""))</f>
      </c>
    </row>
    <row r="258" spans="1:14" x14ac:dyDescent="0.25">
      <c r="K258">
        <f>IF($A258="","",IF((IF(Panel!$B$8="TODAS",1,--($A258=Panel!$B$8)))*(IF(Panel!$C$8="TODAS",1,--($B258=Panel!$C$8)))*(IF(Panel!$D$8="",1,--($C258&gt;=Panel!$D$8)))*(IF(Panel!$E$8="",1,--($C258&lt;Panel!$E$8+1)))=1,MAX($K$1:K257)+1,""))</f>
      </c>
    </row>
    <row r="259" spans="1:14" x14ac:dyDescent="0.25">
      <c r="K259">
        <f>IF($A259="","",IF((IF(Panel!$B$8="TODAS",1,--($A259=Panel!$B$8)))*(IF(Panel!$C$8="TODAS",1,--($B259=Panel!$C$8)))*(IF(Panel!$D$8="",1,--($C259&gt;=Panel!$D$8)))*(IF(Panel!$E$8="",1,--($C259&lt;Panel!$E$8+1)))=1,MAX($K$1:K258)+1,""))</f>
      </c>
    </row>
    <row r="260" spans="1:14" x14ac:dyDescent="0.25">
      <c r="K260">
        <f>IF($A260="","",IF((IF(Panel!$B$8="TODAS",1,--($A260=Panel!$B$8)))*(IF(Panel!$C$8="TODAS",1,--($B260=Panel!$C$8)))*(IF(Panel!$D$8="",1,--($C260&gt;=Panel!$D$8)))*(IF(Panel!$E$8="",1,--($C260&lt;Panel!$E$8+1)))=1,MAX($K$1:K259)+1,""))</f>
      </c>
    </row>
    <row r="261" spans="1:14" x14ac:dyDescent="0.25">
      <c r="K261">
        <f>IF($A261="","",IF((IF(Panel!$B$8="TODAS",1,--($A261=Panel!$B$8)))*(IF(Panel!$C$8="TODAS",1,--($B261=Panel!$C$8)))*(IF(Panel!$D$8="",1,--($C261&gt;=Panel!$D$8)))*(IF(Panel!$E$8="",1,--($C261&lt;Panel!$E$8+1)))=1,MAX($K$1:K260)+1,""))</f>
      </c>
    </row>
    <row r="262" spans="1:14" x14ac:dyDescent="0.25">
      <c r="K262">
        <f>IF($A262="","",IF((IF(Panel!$B$8="TODAS",1,--($A262=Panel!$B$8)))*(IF(Panel!$C$8="TODAS",1,--($B262=Panel!$C$8)))*(IF(Panel!$D$8="",1,--($C262&gt;=Panel!$D$8)))*(IF(Panel!$E$8="",1,--($C262&lt;Panel!$E$8+1)))=1,MAX($K$1:K261)+1,""))</f>
      </c>
    </row>
    <row r="263" spans="1:14" x14ac:dyDescent="0.25">
      <c r="K263">
        <f>IF($A263="","",IF((IF(Panel!$B$8="TODAS",1,--($A263=Panel!$B$8)))*(IF(Panel!$C$8="TODAS",1,--($B263=Panel!$C$8)))*(IF(Panel!$D$8="",1,--($C263&gt;=Panel!$D$8)))*(IF(Panel!$E$8="",1,--($C263&lt;Panel!$E$8+1)))=1,MAX($K$1:K262)+1,""))</f>
      </c>
    </row>
    <row r="264" spans="1:14" x14ac:dyDescent="0.25">
      <c r="K264">
        <f>IF($A264="","",IF((IF(Panel!$B$8="TODAS",1,--($A264=Panel!$B$8)))*(IF(Panel!$C$8="TODAS",1,--($B264=Panel!$C$8)))*(IF(Panel!$D$8="",1,--($C264&gt;=Panel!$D$8)))*(IF(Panel!$E$8="",1,--($C264&lt;Panel!$E$8+1)))=1,MAX($K$1:K263)+1,""))</f>
      </c>
    </row>
    <row r="265" spans="1:14" x14ac:dyDescent="0.25">
      <c r="K265">
        <f>IF($A265="","",IF((IF(Panel!$B$8="TODAS",1,--($A265=Panel!$B$8)))*(IF(Panel!$C$8="TODAS",1,--($B265=Panel!$C$8)))*(IF(Panel!$D$8="",1,--($C265&gt;=Panel!$D$8)))*(IF(Panel!$E$8="",1,--($C265&lt;Panel!$E$8+1)))=1,MAX($K$1:K264)+1,""))</f>
      </c>
    </row>
    <row r="266" spans="1:14" x14ac:dyDescent="0.25">
      <c r="K266">
        <f>IF($A266="","",IF((IF(Panel!$B$8="TODAS",1,--($A266=Panel!$B$8)))*(IF(Panel!$C$8="TODAS",1,--($B266=Panel!$C$8)))*(IF(Panel!$D$8="",1,--($C266&gt;=Panel!$D$8)))*(IF(Panel!$E$8="",1,--($C266&lt;Panel!$E$8+1)))=1,MAX($K$1:K265)+1,""))</f>
      </c>
    </row>
    <row r="267" spans="1:14" x14ac:dyDescent="0.25">
      <c r="K267">
        <f>IF($A267="","",IF((IF(Panel!$B$8="TODAS",1,--($A267=Panel!$B$8)))*(IF(Panel!$C$8="TODAS",1,--($B267=Panel!$C$8)))*(IF(Panel!$D$8="",1,--($C267&gt;=Panel!$D$8)))*(IF(Panel!$E$8="",1,--($C267&lt;Panel!$E$8+1)))=1,MAX($K$1:K266)+1,""))</f>
      </c>
    </row>
    <row r="268" spans="1:14" x14ac:dyDescent="0.25">
      <c r="K268">
        <f>IF($A268="","",IF((IF(Panel!$B$8="TODAS",1,--($A268=Panel!$B$8)))*(IF(Panel!$C$8="TODAS",1,--($B268=Panel!$C$8)))*(IF(Panel!$D$8="",1,--($C268&gt;=Panel!$D$8)))*(IF(Panel!$E$8="",1,--($C268&lt;Panel!$E$8+1)))=1,MAX($K$1:K267)+1,""))</f>
      </c>
    </row>
    <row r="269" spans="1:14" x14ac:dyDescent="0.25">
      <c r="K269">
        <f>IF($A269="","",IF((IF(Panel!$B$8="TODAS",1,--($A269=Panel!$B$8)))*(IF(Panel!$C$8="TODAS",1,--($B269=Panel!$C$8)))*(IF(Panel!$D$8="",1,--($C269&gt;=Panel!$D$8)))*(IF(Panel!$E$8="",1,--($C269&lt;Panel!$E$8+1)))=1,MAX($K$1:K268)+1,""))</f>
      </c>
    </row>
    <row r="270" spans="1:14" x14ac:dyDescent="0.25">
      <c r="K270">
        <f>IF($A270="","",IF((IF(Panel!$B$8="TODAS",1,--($A270=Panel!$B$8)))*(IF(Panel!$C$8="TODAS",1,--($B270=Panel!$C$8)))*(IF(Panel!$D$8="",1,--($C270&gt;=Panel!$D$8)))*(IF(Panel!$E$8="",1,--($C270&lt;Panel!$E$8+1)))=1,MAX($K$1:K269)+1,""))</f>
      </c>
    </row>
    <row r="271" spans="1:14" x14ac:dyDescent="0.25">
      <c r="K271">
        <f>IF($A271="","",IF((IF(Panel!$B$8="TODAS",1,--($A271=Panel!$B$8)))*(IF(Panel!$C$8="TODAS",1,--($B271=Panel!$C$8)))*(IF(Panel!$D$8="",1,--($C271&gt;=Panel!$D$8)))*(IF(Panel!$E$8="",1,--($C271&lt;Panel!$E$8+1)))=1,MAX($K$1:K270)+1,""))</f>
      </c>
    </row>
    <row r="272" spans="1:14" x14ac:dyDescent="0.25">
      <c r="K272">
        <f>IF($A272="","",IF((IF(Panel!$B$8="TODAS",1,--($A272=Panel!$B$8)))*(IF(Panel!$C$8="TODAS",1,--($B272=Panel!$C$8)))*(IF(Panel!$D$8="",1,--($C272&gt;=Panel!$D$8)))*(IF(Panel!$E$8="",1,--($C272&lt;Panel!$E$8+1)))=1,MAX($K$1:K271)+1,""))</f>
      </c>
    </row>
    <row r="273" spans="1:14" x14ac:dyDescent="0.25">
      <c r="K273">
        <f>IF($A273="","",IF((IF(Panel!$B$8="TODAS",1,--($A273=Panel!$B$8)))*(IF(Panel!$C$8="TODAS",1,--($B273=Panel!$C$8)))*(IF(Panel!$D$8="",1,--($C273&gt;=Panel!$D$8)))*(IF(Panel!$E$8="",1,--($C273&lt;Panel!$E$8+1)))=1,MAX($K$1:K272)+1,""))</f>
      </c>
    </row>
    <row r="274" spans="1:14" x14ac:dyDescent="0.25">
      <c r="K274">
        <f>IF($A274="","",IF((IF(Panel!$B$8="TODAS",1,--($A274=Panel!$B$8)))*(IF(Panel!$C$8="TODAS",1,--($B274=Panel!$C$8)))*(IF(Panel!$D$8="",1,--($C274&gt;=Panel!$D$8)))*(IF(Panel!$E$8="",1,--($C274&lt;Panel!$E$8+1)))=1,MAX($K$1:K273)+1,""))</f>
      </c>
    </row>
    <row r="275" spans="1:14" x14ac:dyDescent="0.25">
      <c r="K275">
        <f>IF($A275="","",IF((IF(Panel!$B$8="TODAS",1,--($A275=Panel!$B$8)))*(IF(Panel!$C$8="TODAS",1,--($B275=Panel!$C$8)))*(IF(Panel!$D$8="",1,--($C275&gt;=Panel!$D$8)))*(IF(Panel!$E$8="",1,--($C275&lt;Panel!$E$8+1)))=1,MAX($K$1:K274)+1,""))</f>
      </c>
    </row>
    <row r="276" spans="1:14" x14ac:dyDescent="0.25">
      <c r="K276">
        <f>IF($A276="","",IF((IF(Panel!$B$8="TODAS",1,--($A276=Panel!$B$8)))*(IF(Panel!$C$8="TODAS",1,--($B276=Panel!$C$8)))*(IF(Panel!$D$8="",1,--($C276&gt;=Panel!$D$8)))*(IF(Panel!$E$8="",1,--($C276&lt;Panel!$E$8+1)))=1,MAX($K$1:K275)+1,""))</f>
      </c>
    </row>
    <row r="277" spans="1:14" x14ac:dyDescent="0.25">
      <c r="K277">
        <f>IF($A277="","",IF((IF(Panel!$B$8="TODAS",1,--($A277=Panel!$B$8)))*(IF(Panel!$C$8="TODAS",1,--($B277=Panel!$C$8)))*(IF(Panel!$D$8="",1,--($C277&gt;=Panel!$D$8)))*(IF(Panel!$E$8="",1,--($C277&lt;Panel!$E$8+1)))=1,MAX($K$1:K276)+1,""))</f>
      </c>
    </row>
    <row r="278" spans="1:14" x14ac:dyDescent="0.25">
      <c r="K278">
        <f>IF($A278="","",IF((IF(Panel!$B$8="TODAS",1,--($A278=Panel!$B$8)))*(IF(Panel!$C$8="TODAS",1,--($B278=Panel!$C$8)))*(IF(Panel!$D$8="",1,--($C278&gt;=Panel!$D$8)))*(IF(Panel!$E$8="",1,--($C278&lt;Panel!$E$8+1)))=1,MAX($K$1:K277)+1,""))</f>
      </c>
    </row>
    <row r="279" spans="1:14" x14ac:dyDescent="0.25">
      <c r="K279">
        <f>IF($A279="","",IF((IF(Panel!$B$8="TODAS",1,--($A279=Panel!$B$8)))*(IF(Panel!$C$8="TODAS",1,--($B279=Panel!$C$8)))*(IF(Panel!$D$8="",1,--($C279&gt;=Panel!$D$8)))*(IF(Panel!$E$8="",1,--($C279&lt;Panel!$E$8+1)))=1,MAX($K$1:K278)+1,""))</f>
      </c>
    </row>
    <row r="280" spans="1:14" x14ac:dyDescent="0.25">
      <c r="K280">
        <f>IF($A280="","",IF((IF(Panel!$B$8="TODAS",1,--($A280=Panel!$B$8)))*(IF(Panel!$C$8="TODAS",1,--($B280=Panel!$C$8)))*(IF(Panel!$D$8="",1,--($C280&gt;=Panel!$D$8)))*(IF(Panel!$E$8="",1,--($C280&lt;Panel!$E$8+1)))=1,MAX($K$1:K279)+1,""))</f>
      </c>
    </row>
    <row r="281" spans="1:14" x14ac:dyDescent="0.25">
      <c r="K281">
        <f>IF($A281="","",IF((IF(Panel!$B$8="TODAS",1,--($A281=Panel!$B$8)))*(IF(Panel!$C$8="TODAS",1,--($B281=Panel!$C$8)))*(IF(Panel!$D$8="",1,--($C281&gt;=Panel!$D$8)))*(IF(Panel!$E$8="",1,--($C281&lt;Panel!$E$8+1)))=1,MAX($K$1:K280)+1,""))</f>
      </c>
    </row>
    <row r="282" spans="1:14" x14ac:dyDescent="0.25">
      <c r="K282">
        <f>IF($A282="","",IF((IF(Panel!$B$8="TODAS",1,--($A282=Panel!$B$8)))*(IF(Panel!$C$8="TODAS",1,--($B282=Panel!$C$8)))*(IF(Panel!$D$8="",1,--($C282&gt;=Panel!$D$8)))*(IF(Panel!$E$8="",1,--($C282&lt;Panel!$E$8+1)))=1,MAX($K$1:K281)+1,""))</f>
      </c>
    </row>
    <row r="283" spans="1:14" x14ac:dyDescent="0.25">
      <c r="K283">
        <f>IF($A283="","",IF((IF(Panel!$B$8="TODAS",1,--($A283=Panel!$B$8)))*(IF(Panel!$C$8="TODAS",1,--($B283=Panel!$C$8)))*(IF(Panel!$D$8="",1,--($C283&gt;=Panel!$D$8)))*(IF(Panel!$E$8="",1,--($C283&lt;Panel!$E$8+1)))=1,MAX($K$1:K282)+1,""))</f>
      </c>
    </row>
    <row r="284" spans="1:14" x14ac:dyDescent="0.25">
      <c r="K284">
        <f>IF($A284="","",IF((IF(Panel!$B$8="TODAS",1,--($A284=Panel!$B$8)))*(IF(Panel!$C$8="TODAS",1,--($B284=Panel!$C$8)))*(IF(Panel!$D$8="",1,--($C284&gt;=Panel!$D$8)))*(IF(Panel!$E$8="",1,--($C284&lt;Panel!$E$8+1)))=1,MAX($K$1:K283)+1,""))</f>
      </c>
    </row>
    <row r="285" spans="1:14" x14ac:dyDescent="0.25">
      <c r="K285">
        <f>IF($A285="","",IF((IF(Panel!$B$8="TODAS",1,--($A285=Panel!$B$8)))*(IF(Panel!$C$8="TODAS",1,--($B285=Panel!$C$8)))*(IF(Panel!$D$8="",1,--($C285&gt;=Panel!$D$8)))*(IF(Panel!$E$8="",1,--($C285&lt;Panel!$E$8+1)))=1,MAX($K$1:K284)+1,""))</f>
      </c>
    </row>
    <row r="286" spans="1:14" x14ac:dyDescent="0.25">
      <c r="K286">
        <f>IF($A286="","",IF((IF(Panel!$B$8="TODAS",1,--($A286=Panel!$B$8)))*(IF(Panel!$C$8="TODAS",1,--($B286=Panel!$C$8)))*(IF(Panel!$D$8="",1,--($C286&gt;=Panel!$D$8)))*(IF(Panel!$E$8="",1,--($C286&lt;Panel!$E$8+1)))=1,MAX($K$1:K285)+1,""))</f>
      </c>
    </row>
    <row r="287" spans="1:14" x14ac:dyDescent="0.25">
      <c r="K287">
        <f>IF($A287="","",IF((IF(Panel!$B$8="TODAS",1,--($A287=Panel!$B$8)))*(IF(Panel!$C$8="TODAS",1,--($B287=Panel!$C$8)))*(IF(Panel!$D$8="",1,--($C287&gt;=Panel!$D$8)))*(IF(Panel!$E$8="",1,--($C287&lt;Panel!$E$8+1)))=1,MAX($K$1:K286)+1,""))</f>
      </c>
    </row>
    <row r="288" spans="1:14" x14ac:dyDescent="0.25">
      <c r="K288">
        <f>IF($A288="","",IF((IF(Panel!$B$8="TODAS",1,--($A288=Panel!$B$8)))*(IF(Panel!$C$8="TODAS",1,--($B288=Panel!$C$8)))*(IF(Panel!$D$8="",1,--($C288&gt;=Panel!$D$8)))*(IF(Panel!$E$8="",1,--($C288&lt;Panel!$E$8+1)))=1,MAX($K$1:K287)+1,""))</f>
      </c>
    </row>
    <row r="289" spans="1:14" x14ac:dyDescent="0.25">
      <c r="K289">
        <f>IF($A289="","",IF((IF(Panel!$B$8="TODAS",1,--($A289=Panel!$B$8)))*(IF(Panel!$C$8="TODAS",1,--($B289=Panel!$C$8)))*(IF(Panel!$D$8="",1,--($C289&gt;=Panel!$D$8)))*(IF(Panel!$E$8="",1,--($C289&lt;Panel!$E$8+1)))=1,MAX($K$1:K288)+1,""))</f>
      </c>
    </row>
    <row r="290" spans="1:14" x14ac:dyDescent="0.25">
      <c r="K290">
        <f>IF($A290="","",IF((IF(Panel!$B$8="TODAS",1,--($A290=Panel!$B$8)))*(IF(Panel!$C$8="TODAS",1,--($B290=Panel!$C$8)))*(IF(Panel!$D$8="",1,--($C290&gt;=Panel!$D$8)))*(IF(Panel!$E$8="",1,--($C290&lt;Panel!$E$8+1)))=1,MAX($K$1:K289)+1,""))</f>
      </c>
    </row>
    <row r="291" spans="1:14" x14ac:dyDescent="0.25">
      <c r="K291">
        <f>IF($A291="","",IF((IF(Panel!$B$8="TODAS",1,--($A291=Panel!$B$8)))*(IF(Panel!$C$8="TODAS",1,--($B291=Panel!$C$8)))*(IF(Panel!$D$8="",1,--($C291&gt;=Panel!$D$8)))*(IF(Panel!$E$8="",1,--($C291&lt;Panel!$E$8+1)))=1,MAX($K$1:K290)+1,""))</f>
      </c>
    </row>
    <row r="292" spans="1:14" x14ac:dyDescent="0.25">
      <c r="K292">
        <f>IF($A292="","",IF((IF(Panel!$B$8="TODAS",1,--($A292=Panel!$B$8)))*(IF(Panel!$C$8="TODAS",1,--($B292=Panel!$C$8)))*(IF(Panel!$D$8="",1,--($C292&gt;=Panel!$D$8)))*(IF(Panel!$E$8="",1,--($C292&lt;Panel!$E$8+1)))=1,MAX($K$1:K291)+1,""))</f>
      </c>
    </row>
    <row r="293" spans="1:14" x14ac:dyDescent="0.25">
      <c r="K293">
        <f>IF($A293="","",IF((IF(Panel!$B$8="TODAS",1,--($A293=Panel!$B$8)))*(IF(Panel!$C$8="TODAS",1,--($B293=Panel!$C$8)))*(IF(Panel!$D$8="",1,--($C293&gt;=Panel!$D$8)))*(IF(Panel!$E$8="",1,--($C293&lt;Panel!$E$8+1)))=1,MAX($K$1:K292)+1,""))</f>
      </c>
    </row>
    <row r="294" spans="1:14" x14ac:dyDescent="0.25">
      <c r="K294">
        <f>IF($A294="","",IF((IF(Panel!$B$8="TODAS",1,--($A294=Panel!$B$8)))*(IF(Panel!$C$8="TODAS",1,--($B294=Panel!$C$8)))*(IF(Panel!$D$8="",1,--($C294&gt;=Panel!$D$8)))*(IF(Panel!$E$8="",1,--($C294&lt;Panel!$E$8+1)))=1,MAX($K$1:K293)+1,""))</f>
      </c>
    </row>
    <row r="295" spans="1:14" x14ac:dyDescent="0.25">
      <c r="K295">
        <f>IF($A295="","",IF((IF(Panel!$B$8="TODAS",1,--($A295=Panel!$B$8)))*(IF(Panel!$C$8="TODAS",1,--($B295=Panel!$C$8)))*(IF(Panel!$D$8="",1,--($C295&gt;=Panel!$D$8)))*(IF(Panel!$E$8="",1,--($C295&lt;Panel!$E$8+1)))=1,MAX($K$1:K294)+1,""))</f>
      </c>
    </row>
    <row r="296" spans="1:14" x14ac:dyDescent="0.25">
      <c r="K296">
        <f>IF($A296="","",IF((IF(Panel!$B$8="TODAS",1,--($A296=Panel!$B$8)))*(IF(Panel!$C$8="TODAS",1,--($B296=Panel!$C$8)))*(IF(Panel!$D$8="",1,--($C296&gt;=Panel!$D$8)))*(IF(Panel!$E$8="",1,--($C296&lt;Panel!$E$8+1)))=1,MAX($K$1:K295)+1,""))</f>
      </c>
    </row>
    <row r="297" spans="1:14" x14ac:dyDescent="0.25">
      <c r="K297">
        <f>IF($A297="","",IF((IF(Panel!$B$8="TODAS",1,--($A297=Panel!$B$8)))*(IF(Panel!$C$8="TODAS",1,--($B297=Panel!$C$8)))*(IF(Panel!$D$8="",1,--($C297&gt;=Panel!$D$8)))*(IF(Panel!$E$8="",1,--($C297&lt;Panel!$E$8+1)))=1,MAX($K$1:K296)+1,""))</f>
      </c>
    </row>
    <row r="298" spans="1:14" x14ac:dyDescent="0.25">
      <c r="K298">
        <f>IF($A298="","",IF((IF(Panel!$B$8="TODAS",1,--($A298=Panel!$B$8)))*(IF(Panel!$C$8="TODAS",1,--($B298=Panel!$C$8)))*(IF(Panel!$D$8="",1,--($C298&gt;=Panel!$D$8)))*(IF(Panel!$E$8="",1,--($C298&lt;Panel!$E$8+1)))=1,MAX($K$1:K297)+1,""))</f>
      </c>
    </row>
    <row r="299" spans="1:14" x14ac:dyDescent="0.25">
      <c r="K299">
        <f>IF($A299="","",IF((IF(Panel!$B$8="TODAS",1,--($A299=Panel!$B$8)))*(IF(Panel!$C$8="TODAS",1,--($B299=Panel!$C$8)))*(IF(Panel!$D$8="",1,--($C299&gt;=Panel!$D$8)))*(IF(Panel!$E$8="",1,--($C299&lt;Panel!$E$8+1)))=1,MAX($K$1:K298)+1,""))</f>
      </c>
    </row>
    <row r="300" spans="1:14" x14ac:dyDescent="0.25">
      <c r="K300">
        <f>IF($A300="","",IF((IF(Panel!$B$8="TODAS",1,--($A300=Panel!$B$8)))*(IF(Panel!$C$8="TODAS",1,--($B300=Panel!$C$8)))*(IF(Panel!$D$8="",1,--($C300&gt;=Panel!$D$8)))*(IF(Panel!$E$8="",1,--($C300&lt;Panel!$E$8+1)))=1,MAX($K$1:K299)+1,""))</f>
      </c>
    </row>
    <row r="301" spans="1:14" x14ac:dyDescent="0.25">
      <c r="K301">
        <f>IF($A301="","",IF((IF(Panel!$B$8="TODAS",1,--($A301=Panel!$B$8)))*(IF(Panel!$C$8="TODAS",1,--($B301=Panel!$C$8)))*(IF(Panel!$D$8="",1,--($C301&gt;=Panel!$D$8)))*(IF(Panel!$E$8="",1,--($C301&lt;Panel!$E$8+1)))=1,MAX($K$1:K300)+1,""))</f>
      </c>
    </row>
    <row r="302" spans="1:14" x14ac:dyDescent="0.25">
      <c r="K302">
        <f>IF($A302="","",IF((IF(Panel!$B$8="TODAS",1,--($A302=Panel!$B$8)))*(IF(Panel!$C$8="TODAS",1,--($B302=Panel!$C$8)))*(IF(Panel!$D$8="",1,--($C302&gt;=Panel!$D$8)))*(IF(Panel!$E$8="",1,--($C302&lt;Panel!$E$8+1)))=1,MAX($K$1:K301)+1,""))</f>
      </c>
    </row>
    <row r="303" spans="1:14" x14ac:dyDescent="0.25">
      <c r="K303">
        <f>IF($A303="","",IF((IF(Panel!$B$8="TODAS",1,--($A303=Panel!$B$8)))*(IF(Panel!$C$8="TODAS",1,--($B303=Panel!$C$8)))*(IF(Panel!$D$8="",1,--($C303&gt;=Panel!$D$8)))*(IF(Panel!$E$8="",1,--($C303&lt;Panel!$E$8+1)))=1,MAX($K$1:K302)+1,""))</f>
      </c>
    </row>
    <row r="304" spans="1:14" x14ac:dyDescent="0.25">
      <c r="K304">
        <f>IF($A304="","",IF((IF(Panel!$B$8="TODAS",1,--($A304=Panel!$B$8)))*(IF(Panel!$C$8="TODAS",1,--($B304=Panel!$C$8)))*(IF(Panel!$D$8="",1,--($C304&gt;=Panel!$D$8)))*(IF(Panel!$E$8="",1,--($C304&lt;Panel!$E$8+1)))=1,MAX($K$1:K303)+1,""))</f>
      </c>
    </row>
    <row r="305" spans="1:14" x14ac:dyDescent="0.25">
      <c r="K305">
        <f>IF($A305="","",IF((IF(Panel!$B$8="TODAS",1,--($A305=Panel!$B$8)))*(IF(Panel!$C$8="TODAS",1,--($B305=Panel!$C$8)))*(IF(Panel!$D$8="",1,--($C305&gt;=Panel!$D$8)))*(IF(Panel!$E$8="",1,--($C305&lt;Panel!$E$8+1)))=1,MAX($K$1:K304)+1,""))</f>
      </c>
    </row>
    <row r="306" spans="1:14" x14ac:dyDescent="0.25">
      <c r="K306">
        <f>IF($A306="","",IF((IF(Panel!$B$8="TODAS",1,--($A306=Panel!$B$8)))*(IF(Panel!$C$8="TODAS",1,--($B306=Panel!$C$8)))*(IF(Panel!$D$8="",1,--($C306&gt;=Panel!$D$8)))*(IF(Panel!$E$8="",1,--($C306&lt;Panel!$E$8+1)))=1,MAX($K$1:K305)+1,""))</f>
      </c>
    </row>
    <row r="307" spans="1:14" x14ac:dyDescent="0.25">
      <c r="K307">
        <f>IF($A307="","",IF((IF(Panel!$B$8="TODAS",1,--($A307=Panel!$B$8)))*(IF(Panel!$C$8="TODAS",1,--($B307=Panel!$C$8)))*(IF(Panel!$D$8="",1,--($C307&gt;=Panel!$D$8)))*(IF(Panel!$E$8="",1,--($C307&lt;Panel!$E$8+1)))=1,MAX($K$1:K306)+1,""))</f>
      </c>
    </row>
    <row r="308" spans="1:14" x14ac:dyDescent="0.25">
      <c r="K308">
        <f>IF($A308="","",IF((IF(Panel!$B$8="TODAS",1,--($A308=Panel!$B$8)))*(IF(Panel!$C$8="TODAS",1,--($B308=Panel!$C$8)))*(IF(Panel!$D$8="",1,--($C308&gt;=Panel!$D$8)))*(IF(Panel!$E$8="",1,--($C308&lt;Panel!$E$8+1)))=1,MAX($K$1:K307)+1,""))</f>
      </c>
    </row>
    <row r="309" spans="1:14" x14ac:dyDescent="0.25">
      <c r="K309">
        <f>IF($A309="","",IF((IF(Panel!$B$8="TODAS",1,--($A309=Panel!$B$8)))*(IF(Panel!$C$8="TODAS",1,--($B309=Panel!$C$8)))*(IF(Panel!$D$8="",1,--($C309&gt;=Panel!$D$8)))*(IF(Panel!$E$8="",1,--($C309&lt;Panel!$E$8+1)))=1,MAX($K$1:K308)+1,""))</f>
      </c>
    </row>
    <row r="310" spans="1:14" x14ac:dyDescent="0.25">
      <c r="K310">
        <f>IF($A310="","",IF((IF(Panel!$B$8="TODAS",1,--($A310=Panel!$B$8)))*(IF(Panel!$C$8="TODAS",1,--($B310=Panel!$C$8)))*(IF(Panel!$D$8="",1,--($C310&gt;=Panel!$D$8)))*(IF(Panel!$E$8="",1,--($C310&lt;Panel!$E$8+1)))=1,MAX($K$1:K309)+1,""))</f>
      </c>
    </row>
    <row r="311" spans="1:14" x14ac:dyDescent="0.25">
      <c r="K311">
        <f>IF($A311="","",IF((IF(Panel!$B$8="TODAS",1,--($A311=Panel!$B$8)))*(IF(Panel!$C$8="TODAS",1,--($B311=Panel!$C$8)))*(IF(Panel!$D$8="",1,--($C311&gt;=Panel!$D$8)))*(IF(Panel!$E$8="",1,--($C311&lt;Panel!$E$8+1)))=1,MAX($K$1:K310)+1,""))</f>
      </c>
    </row>
    <row r="312" spans="1:14" x14ac:dyDescent="0.25">
      <c r="K312">
        <f>IF($A312="","",IF((IF(Panel!$B$8="TODAS",1,--($A312=Panel!$B$8)))*(IF(Panel!$C$8="TODAS",1,--($B312=Panel!$C$8)))*(IF(Panel!$D$8="",1,--($C312&gt;=Panel!$D$8)))*(IF(Panel!$E$8="",1,--($C312&lt;Panel!$E$8+1)))=1,MAX($K$1:K311)+1,""))</f>
      </c>
    </row>
    <row r="313" spans="1:14" x14ac:dyDescent="0.25">
      <c r="K313">
        <f>IF($A313="","",IF((IF(Panel!$B$8="TODAS",1,--($A313=Panel!$B$8)))*(IF(Panel!$C$8="TODAS",1,--($B313=Panel!$C$8)))*(IF(Panel!$D$8="",1,--($C313&gt;=Panel!$D$8)))*(IF(Panel!$E$8="",1,--($C313&lt;Panel!$E$8+1)))=1,MAX($K$1:K312)+1,""))</f>
      </c>
    </row>
    <row r="314" spans="1:14" x14ac:dyDescent="0.25">
      <c r="K314">
        <f>IF($A314="","",IF((IF(Panel!$B$8="TODAS",1,--($A314=Panel!$B$8)))*(IF(Panel!$C$8="TODAS",1,--($B314=Panel!$C$8)))*(IF(Panel!$D$8="",1,--($C314&gt;=Panel!$D$8)))*(IF(Panel!$E$8="",1,--($C314&lt;Panel!$E$8+1)))=1,MAX($K$1:K313)+1,""))</f>
      </c>
    </row>
    <row r="315" spans="1:14" x14ac:dyDescent="0.25">
      <c r="K315">
        <f>IF($A315="","",IF((IF(Panel!$B$8="TODAS",1,--($A315=Panel!$B$8)))*(IF(Panel!$C$8="TODAS",1,--($B315=Panel!$C$8)))*(IF(Panel!$D$8="",1,--($C315&gt;=Panel!$D$8)))*(IF(Panel!$E$8="",1,--($C315&lt;Panel!$E$8+1)))=1,MAX($K$1:K314)+1,""))</f>
      </c>
    </row>
    <row r="316" spans="1:14" x14ac:dyDescent="0.25">
      <c r="K316">
        <f>IF($A316="","",IF((IF(Panel!$B$8="TODAS",1,--($A316=Panel!$B$8)))*(IF(Panel!$C$8="TODAS",1,--($B316=Panel!$C$8)))*(IF(Panel!$D$8="",1,--($C316&gt;=Panel!$D$8)))*(IF(Panel!$E$8="",1,--($C316&lt;Panel!$E$8+1)))=1,MAX($K$1:K315)+1,""))</f>
      </c>
    </row>
    <row r="317" spans="1:14" x14ac:dyDescent="0.25">
      <c r="K317">
        <f>IF($A317="","",IF((IF(Panel!$B$8="TODAS",1,--($A317=Panel!$B$8)))*(IF(Panel!$C$8="TODAS",1,--($B317=Panel!$C$8)))*(IF(Panel!$D$8="",1,--($C317&gt;=Panel!$D$8)))*(IF(Panel!$E$8="",1,--($C317&lt;Panel!$E$8+1)))=1,MAX($K$1:K316)+1,""))</f>
      </c>
    </row>
    <row r="318" spans="1:14" x14ac:dyDescent="0.25">
      <c r="K318">
        <f>IF($A318="","",IF((IF(Panel!$B$8="TODAS",1,--($A318=Panel!$B$8)))*(IF(Panel!$C$8="TODAS",1,--($B318=Panel!$C$8)))*(IF(Panel!$D$8="",1,--($C318&gt;=Panel!$D$8)))*(IF(Panel!$E$8="",1,--($C318&lt;Panel!$E$8+1)))=1,MAX($K$1:K317)+1,""))</f>
      </c>
    </row>
    <row r="319" spans="1:14" x14ac:dyDescent="0.25">
      <c r="K319">
        <f>IF($A319="","",IF((IF(Panel!$B$8="TODAS",1,--($A319=Panel!$B$8)))*(IF(Panel!$C$8="TODAS",1,--($B319=Panel!$C$8)))*(IF(Panel!$D$8="",1,--($C319&gt;=Panel!$D$8)))*(IF(Panel!$E$8="",1,--($C319&lt;Panel!$E$8+1)))=1,MAX($K$1:K318)+1,""))</f>
      </c>
    </row>
    <row r="320" spans="1:14" x14ac:dyDescent="0.25">
      <c r="K320">
        <f>IF($A320="","",IF((IF(Panel!$B$8="TODAS",1,--($A320=Panel!$B$8)))*(IF(Panel!$C$8="TODAS",1,--($B320=Panel!$C$8)))*(IF(Panel!$D$8="",1,--($C320&gt;=Panel!$D$8)))*(IF(Panel!$E$8="",1,--($C320&lt;Panel!$E$8+1)))=1,MAX($K$1:K319)+1,""))</f>
      </c>
    </row>
    <row r="321" spans="1:14" x14ac:dyDescent="0.25">
      <c r="K321">
        <f>IF($A321="","",IF((IF(Panel!$B$8="TODAS",1,--($A321=Panel!$B$8)))*(IF(Panel!$C$8="TODAS",1,--($B321=Panel!$C$8)))*(IF(Panel!$D$8="",1,--($C321&gt;=Panel!$D$8)))*(IF(Panel!$E$8="",1,--($C321&lt;Panel!$E$8+1)))=1,MAX($K$1:K320)+1,""))</f>
      </c>
    </row>
    <row r="322" spans="1:14" x14ac:dyDescent="0.25">
      <c r="K322">
        <f>IF($A322="","",IF((IF(Panel!$B$8="TODAS",1,--($A322=Panel!$B$8)))*(IF(Panel!$C$8="TODAS",1,--($B322=Panel!$C$8)))*(IF(Panel!$D$8="",1,--($C322&gt;=Panel!$D$8)))*(IF(Panel!$E$8="",1,--($C322&lt;Panel!$E$8+1)))=1,MAX($K$1:K321)+1,""))</f>
      </c>
    </row>
    <row r="323" spans="1:14" x14ac:dyDescent="0.25">
      <c r="K323">
        <f>IF($A323="","",IF((IF(Panel!$B$8="TODAS",1,--($A323=Panel!$B$8)))*(IF(Panel!$C$8="TODAS",1,--($B323=Panel!$C$8)))*(IF(Panel!$D$8="",1,--($C323&gt;=Panel!$D$8)))*(IF(Panel!$E$8="",1,--($C323&lt;Panel!$E$8+1)))=1,MAX($K$1:K322)+1,""))</f>
      </c>
    </row>
    <row r="324" spans="1:14" x14ac:dyDescent="0.25">
      <c r="K324">
        <f>IF($A324="","",IF((IF(Panel!$B$8="TODAS",1,--($A324=Panel!$B$8)))*(IF(Panel!$C$8="TODAS",1,--($B324=Panel!$C$8)))*(IF(Panel!$D$8="",1,--($C324&gt;=Panel!$D$8)))*(IF(Panel!$E$8="",1,--($C324&lt;Panel!$E$8+1)))=1,MAX($K$1:K323)+1,""))</f>
      </c>
    </row>
    <row r="325" spans="1:14" x14ac:dyDescent="0.25">
      <c r="K325">
        <f>IF($A325="","",IF((IF(Panel!$B$8="TODAS",1,--($A325=Panel!$B$8)))*(IF(Panel!$C$8="TODAS",1,--($B325=Panel!$C$8)))*(IF(Panel!$D$8="",1,--($C325&gt;=Panel!$D$8)))*(IF(Panel!$E$8="",1,--($C325&lt;Panel!$E$8+1)))=1,MAX($K$1:K324)+1,""))</f>
      </c>
    </row>
    <row r="326" spans="1:14" x14ac:dyDescent="0.25">
      <c r="K326">
        <f>IF($A326="","",IF((IF(Panel!$B$8="TODAS",1,--($A326=Panel!$B$8)))*(IF(Panel!$C$8="TODAS",1,--($B326=Panel!$C$8)))*(IF(Panel!$D$8="",1,--($C326&gt;=Panel!$D$8)))*(IF(Panel!$E$8="",1,--($C326&lt;Panel!$E$8+1)))=1,MAX($K$1:K325)+1,""))</f>
      </c>
    </row>
    <row r="327" spans="1:14" x14ac:dyDescent="0.25">
      <c r="K327">
        <f>IF($A327="","",IF((IF(Panel!$B$8="TODAS",1,--($A327=Panel!$B$8)))*(IF(Panel!$C$8="TODAS",1,--($B327=Panel!$C$8)))*(IF(Panel!$D$8="",1,--($C327&gt;=Panel!$D$8)))*(IF(Panel!$E$8="",1,--($C327&lt;Panel!$E$8+1)))=1,MAX($K$1:K326)+1,""))</f>
      </c>
    </row>
    <row r="328" spans="1:14" x14ac:dyDescent="0.25">
      <c r="K328">
        <f>IF($A328="","",IF((IF(Panel!$B$8="TODAS",1,--($A328=Panel!$B$8)))*(IF(Panel!$C$8="TODAS",1,--($B328=Panel!$C$8)))*(IF(Panel!$D$8="",1,--($C328&gt;=Panel!$D$8)))*(IF(Panel!$E$8="",1,--($C328&lt;Panel!$E$8+1)))=1,MAX($K$1:K327)+1,""))</f>
      </c>
    </row>
    <row r="329" spans="1:14" x14ac:dyDescent="0.25">
      <c r="K329">
        <f>IF($A329="","",IF((IF(Panel!$B$8="TODAS",1,--($A329=Panel!$B$8)))*(IF(Panel!$C$8="TODAS",1,--($B329=Panel!$C$8)))*(IF(Panel!$D$8="",1,--($C329&gt;=Panel!$D$8)))*(IF(Panel!$E$8="",1,--($C329&lt;Panel!$E$8+1)))=1,MAX($K$1:K328)+1,""))</f>
      </c>
    </row>
    <row r="330" spans="1:14" x14ac:dyDescent="0.25">
      <c r="K330">
        <f>IF($A330="","",IF((IF(Panel!$B$8="TODAS",1,--($A330=Panel!$B$8)))*(IF(Panel!$C$8="TODAS",1,--($B330=Panel!$C$8)))*(IF(Panel!$D$8="",1,--($C330&gt;=Panel!$D$8)))*(IF(Panel!$E$8="",1,--($C330&lt;Panel!$E$8+1)))=1,MAX($K$1:K329)+1,""))</f>
      </c>
    </row>
    <row r="331" spans="1:14" x14ac:dyDescent="0.25">
      <c r="K331">
        <f>IF($A331="","",IF((IF(Panel!$B$8="TODAS",1,--($A331=Panel!$B$8)))*(IF(Panel!$C$8="TODAS",1,--($B331=Panel!$C$8)))*(IF(Panel!$D$8="",1,--($C331&gt;=Panel!$D$8)))*(IF(Panel!$E$8="",1,--($C331&lt;Panel!$E$8+1)))=1,MAX($K$1:K330)+1,""))</f>
      </c>
    </row>
    <row r="332" spans="1:14" x14ac:dyDescent="0.25">
      <c r="K332">
        <f>IF($A332="","",IF((IF(Panel!$B$8="TODAS",1,--($A332=Panel!$B$8)))*(IF(Panel!$C$8="TODAS",1,--($B332=Panel!$C$8)))*(IF(Panel!$D$8="",1,--($C332&gt;=Panel!$D$8)))*(IF(Panel!$E$8="",1,--($C332&lt;Panel!$E$8+1)))=1,MAX($K$1:K331)+1,""))</f>
      </c>
    </row>
    <row r="333" spans="1:14" x14ac:dyDescent="0.25">
      <c r="K333">
        <f>IF($A333="","",IF((IF(Panel!$B$8="TODAS",1,--($A333=Panel!$B$8)))*(IF(Panel!$C$8="TODAS",1,--($B333=Panel!$C$8)))*(IF(Panel!$D$8="",1,--($C333&gt;=Panel!$D$8)))*(IF(Panel!$E$8="",1,--($C333&lt;Panel!$E$8+1)))=1,MAX($K$1:K332)+1,""))</f>
      </c>
    </row>
    <row r="334" spans="1:14" x14ac:dyDescent="0.25">
      <c r="K334">
        <f>IF($A334="","",IF((IF(Panel!$B$8="TODAS",1,--($A334=Panel!$B$8)))*(IF(Panel!$C$8="TODAS",1,--($B334=Panel!$C$8)))*(IF(Panel!$D$8="",1,--($C334&gt;=Panel!$D$8)))*(IF(Panel!$E$8="",1,--($C334&lt;Panel!$E$8+1)))=1,MAX($K$1:K333)+1,""))</f>
      </c>
    </row>
    <row r="335" spans="1:14" x14ac:dyDescent="0.25">
      <c r="K335">
        <f>IF($A335="","",IF((IF(Panel!$B$8="TODAS",1,--($A335=Panel!$B$8)))*(IF(Panel!$C$8="TODAS",1,--($B335=Panel!$C$8)))*(IF(Panel!$D$8="",1,--($C335&gt;=Panel!$D$8)))*(IF(Panel!$E$8="",1,--($C335&lt;Panel!$E$8+1)))=1,MAX($K$1:K334)+1,""))</f>
      </c>
    </row>
    <row r="336" spans="1:14" x14ac:dyDescent="0.25">
      <c r="K336">
        <f>IF($A336="","",IF((IF(Panel!$B$8="TODAS",1,--($A336=Panel!$B$8)))*(IF(Panel!$C$8="TODAS",1,--($B336=Panel!$C$8)))*(IF(Panel!$D$8="",1,--($C336&gt;=Panel!$D$8)))*(IF(Panel!$E$8="",1,--($C336&lt;Panel!$E$8+1)))=1,MAX($K$1:K335)+1,""))</f>
      </c>
    </row>
    <row r="337" spans="1:14" x14ac:dyDescent="0.25">
      <c r="K337">
        <f>IF($A337="","",IF((IF(Panel!$B$8="TODAS",1,--($A337=Panel!$B$8)))*(IF(Panel!$C$8="TODAS",1,--($B337=Panel!$C$8)))*(IF(Panel!$D$8="",1,--($C337&gt;=Panel!$D$8)))*(IF(Panel!$E$8="",1,--($C337&lt;Panel!$E$8+1)))=1,MAX($K$1:K336)+1,""))</f>
      </c>
    </row>
    <row r="338" spans="1:14" x14ac:dyDescent="0.25">
      <c r="K338">
        <f>IF($A338="","",IF((IF(Panel!$B$8="TODAS",1,--($A338=Panel!$B$8)))*(IF(Panel!$C$8="TODAS",1,--($B338=Panel!$C$8)))*(IF(Panel!$D$8="",1,--($C338&gt;=Panel!$D$8)))*(IF(Panel!$E$8="",1,--($C338&lt;Panel!$E$8+1)))=1,MAX($K$1:K337)+1,""))</f>
      </c>
    </row>
    <row r="339" spans="1:14" x14ac:dyDescent="0.25">
      <c r="K339">
        <f>IF($A339="","",IF((IF(Panel!$B$8="TODAS",1,--($A339=Panel!$B$8)))*(IF(Panel!$C$8="TODAS",1,--($B339=Panel!$C$8)))*(IF(Panel!$D$8="",1,--($C339&gt;=Panel!$D$8)))*(IF(Panel!$E$8="",1,--($C339&lt;Panel!$E$8+1)))=1,MAX($K$1:K338)+1,""))</f>
      </c>
    </row>
    <row r="340" spans="1:14" x14ac:dyDescent="0.25">
      <c r="K340">
        <f>IF($A340="","",IF((IF(Panel!$B$8="TODAS",1,--($A340=Panel!$B$8)))*(IF(Panel!$C$8="TODAS",1,--($B340=Panel!$C$8)))*(IF(Panel!$D$8="",1,--($C340&gt;=Panel!$D$8)))*(IF(Panel!$E$8="",1,--($C340&lt;Panel!$E$8+1)))=1,MAX($K$1:K339)+1,""))</f>
      </c>
    </row>
    <row r="341" spans="1:14" x14ac:dyDescent="0.25">
      <c r="K341">
        <f>IF($A341="","",IF((IF(Panel!$B$8="TODAS",1,--($A341=Panel!$B$8)))*(IF(Panel!$C$8="TODAS",1,--($B341=Panel!$C$8)))*(IF(Panel!$D$8="",1,--($C341&gt;=Panel!$D$8)))*(IF(Panel!$E$8="",1,--($C341&lt;Panel!$E$8+1)))=1,MAX($K$1:K340)+1,""))</f>
      </c>
    </row>
    <row r="342" spans="1:14" x14ac:dyDescent="0.25">
      <c r="K342">
        <f>IF($A342="","",IF((IF(Panel!$B$8="TODAS",1,--($A342=Panel!$B$8)))*(IF(Panel!$C$8="TODAS",1,--($B342=Panel!$C$8)))*(IF(Panel!$D$8="",1,--($C342&gt;=Panel!$D$8)))*(IF(Panel!$E$8="",1,--($C342&lt;Panel!$E$8+1)))=1,MAX($K$1:K341)+1,""))</f>
      </c>
    </row>
    <row r="343" spans="1:14" x14ac:dyDescent="0.25">
      <c r="K343">
        <f>IF($A343="","",IF((IF(Panel!$B$8="TODAS",1,--($A343=Panel!$B$8)))*(IF(Panel!$C$8="TODAS",1,--($B343=Panel!$C$8)))*(IF(Panel!$D$8="",1,--($C343&gt;=Panel!$D$8)))*(IF(Panel!$E$8="",1,--($C343&lt;Panel!$E$8+1)))=1,MAX($K$1:K342)+1,""))</f>
      </c>
    </row>
    <row r="344" spans="1:14" x14ac:dyDescent="0.25">
      <c r="K344">
        <f>IF($A344="","",IF((IF(Panel!$B$8="TODAS",1,--($A344=Panel!$B$8)))*(IF(Panel!$C$8="TODAS",1,--($B344=Panel!$C$8)))*(IF(Panel!$D$8="",1,--($C344&gt;=Panel!$D$8)))*(IF(Panel!$E$8="",1,--($C344&lt;Panel!$E$8+1)))=1,MAX($K$1:K343)+1,""))</f>
      </c>
    </row>
    <row r="345" spans="1:14" x14ac:dyDescent="0.25">
      <c r="K345">
        <f>IF($A345="","",IF((IF(Panel!$B$8="TODAS",1,--($A345=Panel!$B$8)))*(IF(Panel!$C$8="TODAS",1,--($B345=Panel!$C$8)))*(IF(Panel!$D$8="",1,--($C345&gt;=Panel!$D$8)))*(IF(Panel!$E$8="",1,--($C345&lt;Panel!$E$8+1)))=1,MAX($K$1:K344)+1,""))</f>
      </c>
    </row>
    <row r="346" spans="1:14" x14ac:dyDescent="0.25">
      <c r="K346">
        <f>IF($A346="","",IF((IF(Panel!$B$8="TODAS",1,--($A346=Panel!$B$8)))*(IF(Panel!$C$8="TODAS",1,--($B346=Panel!$C$8)))*(IF(Panel!$D$8="",1,--($C346&gt;=Panel!$D$8)))*(IF(Panel!$E$8="",1,--($C346&lt;Panel!$E$8+1)))=1,MAX($K$1:K345)+1,""))</f>
      </c>
    </row>
    <row r="347" spans="1:14" x14ac:dyDescent="0.25">
      <c r="K347">
        <f>IF($A347="","",IF((IF(Panel!$B$8="TODAS",1,--($A347=Panel!$B$8)))*(IF(Panel!$C$8="TODAS",1,--($B347=Panel!$C$8)))*(IF(Panel!$D$8="",1,--($C347&gt;=Panel!$D$8)))*(IF(Panel!$E$8="",1,--($C347&lt;Panel!$E$8+1)))=1,MAX($K$1:K346)+1,""))</f>
      </c>
    </row>
    <row r="348" spans="1:14" x14ac:dyDescent="0.25">
      <c r="K348">
        <f>IF($A348="","",IF((IF(Panel!$B$8="TODAS",1,--($A348=Panel!$B$8)))*(IF(Panel!$C$8="TODAS",1,--($B348=Panel!$C$8)))*(IF(Panel!$D$8="",1,--($C348&gt;=Panel!$D$8)))*(IF(Panel!$E$8="",1,--($C348&lt;Panel!$E$8+1)))=1,MAX($K$1:K347)+1,""))</f>
      </c>
    </row>
    <row r="349" spans="1:14" x14ac:dyDescent="0.25">
      <c r="K349">
        <f>IF($A349="","",IF((IF(Panel!$B$8="TODAS",1,--($A349=Panel!$B$8)))*(IF(Panel!$C$8="TODAS",1,--($B349=Panel!$C$8)))*(IF(Panel!$D$8="",1,--($C349&gt;=Panel!$D$8)))*(IF(Panel!$E$8="",1,--($C349&lt;Panel!$E$8+1)))=1,MAX($K$1:K348)+1,""))</f>
      </c>
    </row>
    <row r="350" spans="1:14" x14ac:dyDescent="0.25">
      <c r="K350">
        <f>IF($A350="","",IF((IF(Panel!$B$8="TODAS",1,--($A350=Panel!$B$8)))*(IF(Panel!$C$8="TODAS",1,--($B350=Panel!$C$8)))*(IF(Panel!$D$8="",1,--($C350&gt;=Panel!$D$8)))*(IF(Panel!$E$8="",1,--($C350&lt;Panel!$E$8+1)))=1,MAX($K$1:K349)+1,""))</f>
      </c>
    </row>
    <row r="351" spans="1:14" x14ac:dyDescent="0.25">
      <c r="K351">
        <f>IF($A351="","",IF((IF(Panel!$B$8="TODAS",1,--($A351=Panel!$B$8)))*(IF(Panel!$C$8="TODAS",1,--($B351=Panel!$C$8)))*(IF(Panel!$D$8="",1,--($C351&gt;=Panel!$D$8)))*(IF(Panel!$E$8="",1,--($C351&lt;Panel!$E$8+1)))=1,MAX($K$1:K350)+1,""))</f>
      </c>
    </row>
    <row r="352" spans="1:14" x14ac:dyDescent="0.25">
      <c r="K352">
        <f>IF($A352="","",IF((IF(Panel!$B$8="TODAS",1,--($A352=Panel!$B$8)))*(IF(Panel!$C$8="TODAS",1,--($B352=Panel!$C$8)))*(IF(Panel!$D$8="",1,--($C352&gt;=Panel!$D$8)))*(IF(Panel!$E$8="",1,--($C352&lt;Panel!$E$8+1)))=1,MAX($K$1:K351)+1,""))</f>
      </c>
    </row>
    <row r="353" spans="1:14" x14ac:dyDescent="0.25">
      <c r="K353">
        <f>IF($A353="","",IF((IF(Panel!$B$8="TODAS",1,--($A353=Panel!$B$8)))*(IF(Panel!$C$8="TODAS",1,--($B353=Panel!$C$8)))*(IF(Panel!$D$8="",1,--($C353&gt;=Panel!$D$8)))*(IF(Panel!$E$8="",1,--($C353&lt;Panel!$E$8+1)))=1,MAX($K$1:K352)+1,""))</f>
      </c>
    </row>
    <row r="354" spans="1:14" x14ac:dyDescent="0.25">
      <c r="K354">
        <f>IF($A354="","",IF((IF(Panel!$B$8="TODAS",1,--($A354=Panel!$B$8)))*(IF(Panel!$C$8="TODAS",1,--($B354=Panel!$C$8)))*(IF(Panel!$D$8="",1,--($C354&gt;=Panel!$D$8)))*(IF(Panel!$E$8="",1,--($C354&lt;Panel!$E$8+1)))=1,MAX($K$1:K353)+1,""))</f>
      </c>
    </row>
    <row r="355" spans="1:14" x14ac:dyDescent="0.25">
      <c r="K355">
        <f>IF($A355="","",IF((IF(Panel!$B$8="TODAS",1,--($A355=Panel!$B$8)))*(IF(Panel!$C$8="TODAS",1,--($B355=Panel!$C$8)))*(IF(Panel!$D$8="",1,--($C355&gt;=Panel!$D$8)))*(IF(Panel!$E$8="",1,--($C355&lt;Panel!$E$8+1)))=1,MAX($K$1:K354)+1,""))</f>
      </c>
    </row>
    <row r="356" spans="1:14" x14ac:dyDescent="0.25">
      <c r="K356">
        <f>IF($A356="","",IF((IF(Panel!$B$8="TODAS",1,--($A356=Panel!$B$8)))*(IF(Panel!$C$8="TODAS",1,--($B356=Panel!$C$8)))*(IF(Panel!$D$8="",1,--($C356&gt;=Panel!$D$8)))*(IF(Panel!$E$8="",1,--($C356&lt;Panel!$E$8+1)))=1,MAX($K$1:K355)+1,""))</f>
      </c>
    </row>
    <row r="357" spans="1:14" x14ac:dyDescent="0.25">
      <c r="K357">
        <f>IF($A357="","",IF((IF(Panel!$B$8="TODAS",1,--($A357=Panel!$B$8)))*(IF(Panel!$C$8="TODAS",1,--($B357=Panel!$C$8)))*(IF(Panel!$D$8="",1,--($C357&gt;=Panel!$D$8)))*(IF(Panel!$E$8="",1,--($C357&lt;Panel!$E$8+1)))=1,MAX($K$1:K356)+1,""))</f>
      </c>
    </row>
    <row r="358" spans="1:14" x14ac:dyDescent="0.25">
      <c r="K358">
        <f>IF($A358="","",IF((IF(Panel!$B$8="TODAS",1,--($A358=Panel!$B$8)))*(IF(Panel!$C$8="TODAS",1,--($B358=Panel!$C$8)))*(IF(Panel!$D$8="",1,--($C358&gt;=Panel!$D$8)))*(IF(Panel!$E$8="",1,--($C358&lt;Panel!$E$8+1)))=1,MAX($K$1:K357)+1,""))</f>
      </c>
    </row>
    <row r="359" spans="1:14" x14ac:dyDescent="0.25">
      <c r="K359">
        <f>IF($A359="","",IF((IF(Panel!$B$8="TODAS",1,--($A359=Panel!$B$8)))*(IF(Panel!$C$8="TODAS",1,--($B359=Panel!$C$8)))*(IF(Panel!$D$8="",1,--($C359&gt;=Panel!$D$8)))*(IF(Panel!$E$8="",1,--($C359&lt;Panel!$E$8+1)))=1,MAX($K$1:K358)+1,""))</f>
      </c>
    </row>
    <row r="360" spans="1:14" x14ac:dyDescent="0.25">
      <c r="K360">
        <f>IF($A360="","",IF((IF(Panel!$B$8="TODAS",1,--($A360=Panel!$B$8)))*(IF(Panel!$C$8="TODAS",1,--($B360=Panel!$C$8)))*(IF(Panel!$D$8="",1,--($C360&gt;=Panel!$D$8)))*(IF(Panel!$E$8="",1,--($C360&lt;Panel!$E$8+1)))=1,MAX($K$1:K359)+1,""))</f>
      </c>
    </row>
    <row r="361" spans="1:14" x14ac:dyDescent="0.25">
      <c r="K361">
        <f>IF($A361="","",IF((IF(Panel!$B$8="TODAS",1,--($A361=Panel!$B$8)))*(IF(Panel!$C$8="TODAS",1,--($B361=Panel!$C$8)))*(IF(Panel!$D$8="",1,--($C361&gt;=Panel!$D$8)))*(IF(Panel!$E$8="",1,--($C361&lt;Panel!$E$8+1)))=1,MAX($K$1:K360)+1,""))</f>
      </c>
    </row>
    <row r="362" spans="1:14" x14ac:dyDescent="0.25">
      <c r="K362">
        <f>IF($A362="","",IF((IF(Panel!$B$8="TODAS",1,--($A362=Panel!$B$8)))*(IF(Panel!$C$8="TODAS",1,--($B362=Panel!$C$8)))*(IF(Panel!$D$8="",1,--($C362&gt;=Panel!$D$8)))*(IF(Panel!$E$8="",1,--($C362&lt;Panel!$E$8+1)))=1,MAX($K$1:K361)+1,""))</f>
      </c>
    </row>
    <row r="363" spans="1:14" x14ac:dyDescent="0.25">
      <c r="K363">
        <f>IF($A363="","",IF((IF(Panel!$B$8="TODAS",1,--($A363=Panel!$B$8)))*(IF(Panel!$C$8="TODAS",1,--($B363=Panel!$C$8)))*(IF(Panel!$D$8="",1,--($C363&gt;=Panel!$D$8)))*(IF(Panel!$E$8="",1,--($C363&lt;Panel!$E$8+1)))=1,MAX($K$1:K362)+1,""))</f>
      </c>
    </row>
    <row r="364" spans="1:14" x14ac:dyDescent="0.25">
      <c r="K364">
        <f>IF($A364="","",IF((IF(Panel!$B$8="TODAS",1,--($A364=Panel!$B$8)))*(IF(Panel!$C$8="TODAS",1,--($B364=Panel!$C$8)))*(IF(Panel!$D$8="",1,--($C364&gt;=Panel!$D$8)))*(IF(Panel!$E$8="",1,--($C364&lt;Panel!$E$8+1)))=1,MAX($K$1:K363)+1,""))</f>
      </c>
    </row>
    <row r="365" spans="1:14" x14ac:dyDescent="0.25">
      <c r="K365">
        <f>IF($A365="","",IF((IF(Panel!$B$8="TODAS",1,--($A365=Panel!$B$8)))*(IF(Panel!$C$8="TODAS",1,--($B365=Panel!$C$8)))*(IF(Panel!$D$8="",1,--($C365&gt;=Panel!$D$8)))*(IF(Panel!$E$8="",1,--($C365&lt;Panel!$E$8+1)))=1,MAX($K$1:K364)+1,""))</f>
      </c>
    </row>
    <row r="366" spans="1:14" x14ac:dyDescent="0.25">
      <c r="K366">
        <f>IF($A366="","",IF((IF(Panel!$B$8="TODAS",1,--($A366=Panel!$B$8)))*(IF(Panel!$C$8="TODAS",1,--($B366=Panel!$C$8)))*(IF(Panel!$D$8="",1,--($C366&gt;=Panel!$D$8)))*(IF(Panel!$E$8="",1,--($C366&lt;Panel!$E$8+1)))=1,MAX($K$1:K365)+1,""))</f>
      </c>
    </row>
    <row r="367" spans="1:14" x14ac:dyDescent="0.25">
      <c r="K367">
        <f>IF($A367="","",IF((IF(Panel!$B$8="TODAS",1,--($A367=Panel!$B$8)))*(IF(Panel!$C$8="TODAS",1,--($B367=Panel!$C$8)))*(IF(Panel!$D$8="",1,--($C367&gt;=Panel!$D$8)))*(IF(Panel!$E$8="",1,--($C367&lt;Panel!$E$8+1)))=1,MAX($K$1:K366)+1,""))</f>
      </c>
    </row>
    <row r="368" spans="1:14" x14ac:dyDescent="0.25">
      <c r="K368">
        <f>IF($A368="","",IF((IF(Panel!$B$8="TODAS",1,--($A368=Panel!$B$8)))*(IF(Panel!$C$8="TODAS",1,--($B368=Panel!$C$8)))*(IF(Panel!$D$8="",1,--($C368&gt;=Panel!$D$8)))*(IF(Panel!$E$8="",1,--($C368&lt;Panel!$E$8+1)))=1,MAX($K$1:K367)+1,""))</f>
      </c>
    </row>
    <row r="369" spans="1:14" x14ac:dyDescent="0.25">
      <c r="K369">
        <f>IF($A369="","",IF((IF(Panel!$B$8="TODAS",1,--($A369=Panel!$B$8)))*(IF(Panel!$C$8="TODAS",1,--($B369=Panel!$C$8)))*(IF(Panel!$D$8="",1,--($C369&gt;=Panel!$D$8)))*(IF(Panel!$E$8="",1,--($C369&lt;Panel!$E$8+1)))=1,MAX($K$1:K368)+1,""))</f>
      </c>
    </row>
    <row r="370" spans="1:14" x14ac:dyDescent="0.25">
      <c r="K370">
        <f>IF($A370="","",IF((IF(Panel!$B$8="TODAS",1,--($A370=Panel!$B$8)))*(IF(Panel!$C$8="TODAS",1,--($B370=Panel!$C$8)))*(IF(Panel!$D$8="",1,--($C370&gt;=Panel!$D$8)))*(IF(Panel!$E$8="",1,--($C370&lt;Panel!$E$8+1)))=1,MAX($K$1:K369)+1,""))</f>
      </c>
    </row>
    <row r="371" spans="1:14" x14ac:dyDescent="0.25">
      <c r="K371">
        <f>IF($A371="","",IF((IF(Panel!$B$8="TODAS",1,--($A371=Panel!$B$8)))*(IF(Panel!$C$8="TODAS",1,--($B371=Panel!$C$8)))*(IF(Panel!$D$8="",1,--($C371&gt;=Panel!$D$8)))*(IF(Panel!$E$8="",1,--($C371&lt;Panel!$E$8+1)))=1,MAX($K$1:K370)+1,""))</f>
      </c>
    </row>
    <row r="372" spans="1:14" x14ac:dyDescent="0.25">
      <c r="K372">
        <f>IF($A372="","",IF((IF(Panel!$B$8="TODAS",1,--($A372=Panel!$B$8)))*(IF(Panel!$C$8="TODAS",1,--($B372=Panel!$C$8)))*(IF(Panel!$D$8="",1,--($C372&gt;=Panel!$D$8)))*(IF(Panel!$E$8="",1,--($C372&lt;Panel!$E$8+1)))=1,MAX($K$1:K371)+1,""))</f>
      </c>
    </row>
    <row r="373" spans="1:14" x14ac:dyDescent="0.25">
      <c r="K373">
        <f>IF($A373="","",IF((IF(Panel!$B$8="TODAS",1,--($A373=Panel!$B$8)))*(IF(Panel!$C$8="TODAS",1,--($B373=Panel!$C$8)))*(IF(Panel!$D$8="",1,--($C373&gt;=Panel!$D$8)))*(IF(Panel!$E$8="",1,--($C373&lt;Panel!$E$8+1)))=1,MAX($K$1:K372)+1,""))</f>
      </c>
    </row>
    <row r="374" spans="1:14" x14ac:dyDescent="0.25">
      <c r="K374">
        <f>IF($A374="","",IF((IF(Panel!$B$8="TODAS",1,--($A374=Panel!$B$8)))*(IF(Panel!$C$8="TODAS",1,--($B374=Panel!$C$8)))*(IF(Panel!$D$8="",1,--($C374&gt;=Panel!$D$8)))*(IF(Panel!$E$8="",1,--($C374&lt;Panel!$E$8+1)))=1,MAX($K$1:K373)+1,""))</f>
      </c>
    </row>
    <row r="375" spans="1:14" x14ac:dyDescent="0.25">
      <c r="K375">
        <f>IF($A375="","",IF((IF(Panel!$B$8="TODAS",1,--($A375=Panel!$B$8)))*(IF(Panel!$C$8="TODAS",1,--($B375=Panel!$C$8)))*(IF(Panel!$D$8="",1,--($C375&gt;=Panel!$D$8)))*(IF(Panel!$E$8="",1,--($C375&lt;Panel!$E$8+1)))=1,MAX($K$1:K374)+1,""))</f>
      </c>
    </row>
    <row r="376" spans="1:14" x14ac:dyDescent="0.25">
      <c r="K376">
        <f>IF($A376="","",IF((IF(Panel!$B$8="TODAS",1,--($A376=Panel!$B$8)))*(IF(Panel!$C$8="TODAS",1,--($B376=Panel!$C$8)))*(IF(Panel!$D$8="",1,--($C376&gt;=Panel!$D$8)))*(IF(Panel!$E$8="",1,--($C376&lt;Panel!$E$8+1)))=1,MAX($K$1:K375)+1,""))</f>
      </c>
    </row>
    <row r="377" spans="1:14" x14ac:dyDescent="0.25">
      <c r="K377">
        <f>IF($A377="","",IF((IF(Panel!$B$8="TODAS",1,--($A377=Panel!$B$8)))*(IF(Panel!$C$8="TODAS",1,--($B377=Panel!$C$8)))*(IF(Panel!$D$8="",1,--($C377&gt;=Panel!$D$8)))*(IF(Panel!$E$8="",1,--($C377&lt;Panel!$E$8+1)))=1,MAX($K$1:K376)+1,""))</f>
      </c>
    </row>
    <row r="378" spans="1:14" x14ac:dyDescent="0.25">
      <c r="K378">
        <f>IF($A378="","",IF((IF(Panel!$B$8="TODAS",1,--($A378=Panel!$B$8)))*(IF(Panel!$C$8="TODAS",1,--($B378=Panel!$C$8)))*(IF(Panel!$D$8="",1,--($C378&gt;=Panel!$D$8)))*(IF(Panel!$E$8="",1,--($C378&lt;Panel!$E$8+1)))=1,MAX($K$1:K377)+1,""))</f>
      </c>
    </row>
    <row r="379" spans="1:14" x14ac:dyDescent="0.25">
      <c r="K379">
        <f>IF($A379="","",IF((IF(Panel!$B$8="TODAS",1,--($A379=Panel!$B$8)))*(IF(Panel!$C$8="TODAS",1,--($B379=Panel!$C$8)))*(IF(Panel!$D$8="",1,--($C379&gt;=Panel!$D$8)))*(IF(Panel!$E$8="",1,--($C379&lt;Panel!$E$8+1)))=1,MAX($K$1:K378)+1,""))</f>
      </c>
    </row>
    <row r="380" spans="1:14" x14ac:dyDescent="0.25">
      <c r="K380">
        <f>IF($A380="","",IF((IF(Panel!$B$8="TODAS",1,--($A380=Panel!$B$8)))*(IF(Panel!$C$8="TODAS",1,--($B380=Panel!$C$8)))*(IF(Panel!$D$8="",1,--($C380&gt;=Panel!$D$8)))*(IF(Panel!$E$8="",1,--($C380&lt;Panel!$E$8+1)))=1,MAX($K$1:K379)+1,""))</f>
      </c>
    </row>
    <row r="381" spans="1:14" x14ac:dyDescent="0.25">
      <c r="K381">
        <f>IF($A381="","",IF((IF(Panel!$B$8="TODAS",1,--($A381=Panel!$B$8)))*(IF(Panel!$C$8="TODAS",1,--($B381=Panel!$C$8)))*(IF(Panel!$D$8="",1,--($C381&gt;=Panel!$D$8)))*(IF(Panel!$E$8="",1,--($C381&lt;Panel!$E$8+1)))=1,MAX($K$1:K380)+1,""))</f>
      </c>
    </row>
    <row r="382" spans="1:14" x14ac:dyDescent="0.25">
      <c r="K382">
        <f>IF($A382="","",IF((IF(Panel!$B$8="TODAS",1,--($A382=Panel!$B$8)))*(IF(Panel!$C$8="TODAS",1,--($B382=Panel!$C$8)))*(IF(Panel!$D$8="",1,--($C382&gt;=Panel!$D$8)))*(IF(Panel!$E$8="",1,--($C382&lt;Panel!$E$8+1)))=1,MAX($K$1:K381)+1,""))</f>
      </c>
    </row>
    <row r="383" spans="1:14" x14ac:dyDescent="0.25">
      <c r="K383">
        <f>IF($A383="","",IF((IF(Panel!$B$8="TODAS",1,--($A383=Panel!$B$8)))*(IF(Panel!$C$8="TODAS",1,--($B383=Panel!$C$8)))*(IF(Panel!$D$8="",1,--($C383&gt;=Panel!$D$8)))*(IF(Panel!$E$8="",1,--($C383&lt;Panel!$E$8+1)))=1,MAX($K$1:K382)+1,""))</f>
      </c>
    </row>
    <row r="384" spans="1:14" x14ac:dyDescent="0.25">
      <c r="K384">
        <f>IF($A384="","",IF((IF(Panel!$B$8="TODAS",1,--($A384=Panel!$B$8)))*(IF(Panel!$C$8="TODAS",1,--($B384=Panel!$C$8)))*(IF(Panel!$D$8="",1,--($C384&gt;=Panel!$D$8)))*(IF(Panel!$E$8="",1,--($C384&lt;Panel!$E$8+1)))=1,MAX($K$1:K383)+1,""))</f>
      </c>
    </row>
    <row r="385" spans="1:14" x14ac:dyDescent="0.25">
      <c r="K385">
        <f>IF($A385="","",IF((IF(Panel!$B$8="TODAS",1,--($A385=Panel!$B$8)))*(IF(Panel!$C$8="TODAS",1,--($B385=Panel!$C$8)))*(IF(Panel!$D$8="",1,--($C385&gt;=Panel!$D$8)))*(IF(Panel!$E$8="",1,--($C385&lt;Panel!$E$8+1)))=1,MAX($K$1:K384)+1,""))</f>
      </c>
    </row>
    <row r="386" spans="1:14" x14ac:dyDescent="0.25">
      <c r="K386">
        <f>IF($A386="","",IF((IF(Panel!$B$8="TODAS",1,--($A386=Panel!$B$8)))*(IF(Panel!$C$8="TODAS",1,--($B386=Panel!$C$8)))*(IF(Panel!$D$8="",1,--($C386&gt;=Panel!$D$8)))*(IF(Panel!$E$8="",1,--($C386&lt;Panel!$E$8+1)))=1,MAX($K$1:K385)+1,""))</f>
      </c>
    </row>
    <row r="387" spans="1:14" x14ac:dyDescent="0.25">
      <c r="K387">
        <f>IF($A387="","",IF((IF(Panel!$B$8="TODAS",1,--($A387=Panel!$B$8)))*(IF(Panel!$C$8="TODAS",1,--($B387=Panel!$C$8)))*(IF(Panel!$D$8="",1,--($C387&gt;=Panel!$D$8)))*(IF(Panel!$E$8="",1,--($C387&lt;Panel!$E$8+1)))=1,MAX($K$1:K386)+1,""))</f>
      </c>
    </row>
    <row r="388" spans="1:14" x14ac:dyDescent="0.25">
      <c r="K388">
        <f>IF($A388="","",IF((IF(Panel!$B$8="TODAS",1,--($A388=Panel!$B$8)))*(IF(Panel!$C$8="TODAS",1,--($B388=Panel!$C$8)))*(IF(Panel!$D$8="",1,--($C388&gt;=Panel!$D$8)))*(IF(Panel!$E$8="",1,--($C388&lt;Panel!$E$8+1)))=1,MAX($K$1:K387)+1,""))</f>
      </c>
    </row>
    <row r="389" spans="1:14" x14ac:dyDescent="0.25">
      <c r="K389">
        <f>IF($A389="","",IF((IF(Panel!$B$8="TODAS",1,--($A389=Panel!$B$8)))*(IF(Panel!$C$8="TODAS",1,--($B389=Panel!$C$8)))*(IF(Panel!$D$8="",1,--($C389&gt;=Panel!$D$8)))*(IF(Panel!$E$8="",1,--($C389&lt;Panel!$E$8+1)))=1,MAX($K$1:K388)+1,""))</f>
      </c>
    </row>
    <row r="390" spans="1:14" x14ac:dyDescent="0.25">
      <c r="K390">
        <f>IF($A390="","",IF((IF(Panel!$B$8="TODAS",1,--($A390=Panel!$B$8)))*(IF(Panel!$C$8="TODAS",1,--($B390=Panel!$C$8)))*(IF(Panel!$D$8="",1,--($C390&gt;=Panel!$D$8)))*(IF(Panel!$E$8="",1,--($C390&lt;Panel!$E$8+1)))=1,MAX($K$1:K389)+1,""))</f>
      </c>
    </row>
    <row r="391" spans="1:14" x14ac:dyDescent="0.25">
      <c r="K391">
        <f>IF($A391="","",IF((IF(Panel!$B$8="TODAS",1,--($A391=Panel!$B$8)))*(IF(Panel!$C$8="TODAS",1,--($B391=Panel!$C$8)))*(IF(Panel!$D$8="",1,--($C391&gt;=Panel!$D$8)))*(IF(Panel!$E$8="",1,--($C391&lt;Panel!$E$8+1)))=1,MAX($K$1:K390)+1,""))</f>
      </c>
    </row>
    <row r="392" spans="1:14" x14ac:dyDescent="0.25">
      <c r="K392">
        <f>IF($A392="","",IF((IF(Panel!$B$8="TODAS",1,--($A392=Panel!$B$8)))*(IF(Panel!$C$8="TODAS",1,--($B392=Panel!$C$8)))*(IF(Panel!$D$8="",1,--($C392&gt;=Panel!$D$8)))*(IF(Panel!$E$8="",1,--($C392&lt;Panel!$E$8+1)))=1,MAX($K$1:K391)+1,""))</f>
      </c>
    </row>
    <row r="393" spans="1:14" x14ac:dyDescent="0.25">
      <c r="K393">
        <f>IF($A393="","",IF((IF(Panel!$B$8="TODAS",1,--($A393=Panel!$B$8)))*(IF(Panel!$C$8="TODAS",1,--($B393=Panel!$C$8)))*(IF(Panel!$D$8="",1,--($C393&gt;=Panel!$D$8)))*(IF(Panel!$E$8="",1,--($C393&lt;Panel!$E$8+1)))=1,MAX($K$1:K392)+1,""))</f>
      </c>
    </row>
    <row r="394" spans="1:14" x14ac:dyDescent="0.25">
      <c r="K394">
        <f>IF($A394="","",IF((IF(Panel!$B$8="TODAS",1,--($A394=Panel!$B$8)))*(IF(Panel!$C$8="TODAS",1,--($B394=Panel!$C$8)))*(IF(Panel!$D$8="",1,--($C394&gt;=Panel!$D$8)))*(IF(Panel!$E$8="",1,--($C394&lt;Panel!$E$8+1)))=1,MAX($K$1:K393)+1,""))</f>
      </c>
    </row>
    <row r="395" spans="1:14" x14ac:dyDescent="0.25">
      <c r="K395">
        <f>IF($A395="","",IF((IF(Panel!$B$8="TODAS",1,--($A395=Panel!$B$8)))*(IF(Panel!$C$8="TODAS",1,--($B395=Panel!$C$8)))*(IF(Panel!$D$8="",1,--($C395&gt;=Panel!$D$8)))*(IF(Panel!$E$8="",1,--($C395&lt;Panel!$E$8+1)))=1,MAX($K$1:K394)+1,""))</f>
      </c>
    </row>
    <row r="396" spans="1:14" x14ac:dyDescent="0.25">
      <c r="K396">
        <f>IF($A396="","",IF((IF(Panel!$B$8="TODAS",1,--($A396=Panel!$B$8)))*(IF(Panel!$C$8="TODAS",1,--($B396=Panel!$C$8)))*(IF(Panel!$D$8="",1,--($C396&gt;=Panel!$D$8)))*(IF(Panel!$E$8="",1,--($C396&lt;Panel!$E$8+1)))=1,MAX($K$1:K395)+1,""))</f>
      </c>
    </row>
    <row r="397" spans="1:14" x14ac:dyDescent="0.25">
      <c r="K397">
        <f>IF($A397="","",IF((IF(Panel!$B$8="TODAS",1,--($A397=Panel!$B$8)))*(IF(Panel!$C$8="TODAS",1,--($B397=Panel!$C$8)))*(IF(Panel!$D$8="",1,--($C397&gt;=Panel!$D$8)))*(IF(Panel!$E$8="",1,--($C397&lt;Panel!$E$8+1)))=1,MAX($K$1:K396)+1,""))</f>
      </c>
    </row>
    <row r="398" spans="1:14" x14ac:dyDescent="0.25">
      <c r="K398">
        <f>IF($A398="","",IF((IF(Panel!$B$8="TODAS",1,--($A398=Panel!$B$8)))*(IF(Panel!$C$8="TODAS",1,--($B398=Panel!$C$8)))*(IF(Panel!$D$8="",1,--($C398&gt;=Panel!$D$8)))*(IF(Panel!$E$8="",1,--($C398&lt;Panel!$E$8+1)))=1,MAX($K$1:K397)+1,""))</f>
      </c>
    </row>
    <row r="399" spans="1:14" x14ac:dyDescent="0.25">
      <c r="K399">
        <f>IF($A399="","",IF((IF(Panel!$B$8="TODAS",1,--($A399=Panel!$B$8)))*(IF(Panel!$C$8="TODAS",1,--($B399=Panel!$C$8)))*(IF(Panel!$D$8="",1,--($C399&gt;=Panel!$D$8)))*(IF(Panel!$E$8="",1,--($C399&lt;Panel!$E$8+1)))=1,MAX($K$1:K398)+1,""))</f>
      </c>
    </row>
    <row r="400" spans="1:14" x14ac:dyDescent="0.25">
      <c r="K400">
        <f>IF($A400="","",IF((IF(Panel!$B$8="TODAS",1,--($A400=Panel!$B$8)))*(IF(Panel!$C$8="TODAS",1,--($B400=Panel!$C$8)))*(IF(Panel!$D$8="",1,--($C400&gt;=Panel!$D$8)))*(IF(Panel!$E$8="",1,--($C400&lt;Panel!$E$8+1)))=1,MAX($K$1:K399)+1,""))</f>
      </c>
    </row>
    <row r="401" spans="1:14" x14ac:dyDescent="0.25">
      <c r="K401">
        <f>IF($A401="","",IF((IF(Panel!$B$8="TODAS",1,--($A401=Panel!$B$8)))*(IF(Panel!$C$8="TODAS",1,--($B401=Panel!$C$8)))*(IF(Panel!$D$8="",1,--($C401&gt;=Panel!$D$8)))*(IF(Panel!$E$8="",1,--($C401&lt;Panel!$E$8+1)))=1,MAX($K$1:K400)+1,""))</f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D3D9"/>
    <pageSetUpPr fitToPage="1"/>
  </sheetPr>
  <dimension ref="A1:K19"/>
  <sheetViews>
    <sheetView workbookViewId="0" showGridLines="0" zoomScale="100" zoomScaleNormal="100">
      <pane ySplit="6" topLeftCell="A7" activePane="bottomLeft" state="frozen"/>
      <selection pane="bottomLeft"/>
    </sheetView>
  </sheetViews>
  <sheetFormatPr defaultRowHeight="14.4" outlineLevelRow="0" outlineLevelCol="0" x14ac:dyDescent="0.3" defaultColWidth="8.6640625" customHeight="1"/>
  <cols>
    <col min="1" max="1" width="12" customWidth="1"/>
    <col min="2" max="2" width="11" customWidth="1"/>
    <col min="3" max="3" width="18" customWidth="1"/>
    <col min="4" max="4" width="20" customWidth="1"/>
    <col min="5" max="7" width="30" customWidth="1"/>
    <col min="8" max="8" width="46" customWidth="1"/>
    <col min="9" max="9" width="11" customWidth="1"/>
    <col min="10" max="11" width="13" customWidth="1"/>
  </cols>
  <sheetData>
    <row r="1" ht="7.5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5.5" customHeight="1" spans="1:11" x14ac:dyDescent="0.25">
      <c r="A2" s="1"/>
      <c r="B2" s="16" t="s">
        <v>104</v>
      </c>
      <c r="C2" s="16"/>
      <c r="D2" s="16"/>
      <c r="E2" s="16"/>
      <c r="F2" s="16"/>
      <c r="G2" s="16"/>
      <c r="H2" s="16"/>
      <c r="I2" s="1"/>
      <c r="J2" s="1"/>
      <c r="K2" s="1"/>
    </row>
    <row r="3" ht="18" customHeight="1" spans="1:11" x14ac:dyDescent="0.25">
      <c r="A3" s="1"/>
      <c r="B3" s="17" t="s">
        <v>105</v>
      </c>
      <c r="C3" s="17"/>
      <c r="D3" s="17"/>
      <c r="E3" s="17"/>
      <c r="F3" s="17"/>
      <c r="G3" s="17"/>
      <c r="H3" s="17"/>
      <c r="I3" s="1"/>
      <c r="J3" s="1"/>
      <c r="K3" s="1"/>
    </row>
    <row r="4" ht="7.5" customHeight="1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7.5" customHeight="1" x14ac:dyDescent="0.25"/>
    <row r="6" ht="25.5" customHeight="1" spans="1:11" x14ac:dyDescent="0.25">
      <c r="A6" s="18" t="s">
        <v>17</v>
      </c>
      <c r="B6" s="18" t="s">
        <v>82</v>
      </c>
      <c r="C6" s="18" t="s">
        <v>83</v>
      </c>
      <c r="D6" s="18" t="s">
        <v>18</v>
      </c>
      <c r="E6" s="18" t="s">
        <v>106</v>
      </c>
      <c r="F6" s="18" t="s">
        <v>107</v>
      </c>
      <c r="G6" s="18" t="s">
        <v>108</v>
      </c>
      <c r="H6" s="18" t="s">
        <v>84</v>
      </c>
      <c r="I6" s="18" t="s">
        <v>85</v>
      </c>
      <c r="J6" s="18" t="s">
        <v>86</v>
      </c>
      <c r="K6" s="18" t="s">
        <v>87</v>
      </c>
    </row>
    <row r="7" ht="120.75" customHeight="1" spans="1:11" x14ac:dyDescent="0.25">
      <c r="A7" s="52" t="s">
        <v>39</v>
      </c>
      <c r="B7" s="53" t="s">
        <v>33</v>
      </c>
      <c r="C7" s="43">
        <v>46239.555555555555</v>
      </c>
      <c r="D7" s="22" t="s">
        <v>40</v>
      </c>
      <c r="E7" s="22"/>
      <c r="F7" s="22"/>
      <c r="G7" s="22"/>
      <c r="H7" s="54" t="s">
        <v>95</v>
      </c>
      <c r="I7" s="24">
        <v>12</v>
      </c>
      <c r="J7" s="22" t="s">
        <v>48</v>
      </c>
      <c r="K7" s="44" t="s">
        <v>96</v>
      </c>
    </row>
    <row r="8" ht="120.75" customHeight="1" spans="1:11" x14ac:dyDescent="0.25">
      <c r="A8" s="52" t="s">
        <v>39</v>
      </c>
      <c r="B8" s="53" t="s">
        <v>35</v>
      </c>
      <c r="C8" s="43">
        <v>46239.819444444445</v>
      </c>
      <c r="D8" s="22" t="s">
        <v>40</v>
      </c>
      <c r="E8" s="22"/>
      <c r="F8" s="22"/>
      <c r="G8" s="22"/>
      <c r="H8" s="54" t="s">
        <v>97</v>
      </c>
      <c r="I8" s="24">
        <v>9</v>
      </c>
      <c r="J8" s="22" t="s">
        <v>48</v>
      </c>
      <c r="K8" s="44" t="s">
        <v>96</v>
      </c>
    </row>
    <row r="9" ht="120.75" customHeight="1" spans="1:11" x14ac:dyDescent="0.25">
      <c r="A9" s="52" t="s">
        <v>50</v>
      </c>
      <c r="B9" s="53" t="s">
        <v>33</v>
      </c>
      <c r="C9" s="43">
        <v>46240.555555555555</v>
      </c>
      <c r="D9" s="22" t="s">
        <v>51</v>
      </c>
      <c r="E9" s="22"/>
      <c r="F9" s="22"/>
      <c r="G9" s="22"/>
      <c r="H9" s="54" t="s">
        <v>95</v>
      </c>
      <c r="I9" s="24">
        <v>12</v>
      </c>
      <c r="J9" s="22" t="s">
        <v>48</v>
      </c>
      <c r="K9" s="44" t="s">
        <v>96</v>
      </c>
    </row>
    <row r="10" ht="120.75" customHeight="1" spans="1:11" x14ac:dyDescent="0.25">
      <c r="A10" s="52" t="s">
        <v>50</v>
      </c>
      <c r="B10" s="53" t="s">
        <v>35</v>
      </c>
      <c r="C10" s="43">
        <v>46240.819444444445</v>
      </c>
      <c r="D10" s="22" t="s">
        <v>51</v>
      </c>
      <c r="E10" s="22"/>
      <c r="F10" s="22"/>
      <c r="G10" s="22"/>
      <c r="H10" s="54" t="s">
        <v>97</v>
      </c>
      <c r="I10" s="24">
        <v>9</v>
      </c>
      <c r="J10" s="22" t="s">
        <v>48</v>
      </c>
      <c r="K10" s="44" t="s">
        <v>96</v>
      </c>
    </row>
    <row r="11" ht="120.75" customHeight="1" spans="1:11" x14ac:dyDescent="0.25">
      <c r="A11" s="52" t="s">
        <v>52</v>
      </c>
      <c r="B11" s="53" t="s">
        <v>33</v>
      </c>
      <c r="C11" s="43">
        <v>46241.555555555555</v>
      </c>
      <c r="D11" s="22" t="s">
        <v>53</v>
      </c>
      <c r="E11" s="22"/>
      <c r="F11" s="22"/>
      <c r="G11" s="22"/>
      <c r="H11" s="54" t="s">
        <v>95</v>
      </c>
      <c r="I11" s="24">
        <v>12</v>
      </c>
      <c r="J11" s="22" t="s">
        <v>48</v>
      </c>
      <c r="K11" s="44" t="s">
        <v>96</v>
      </c>
    </row>
    <row r="12" ht="120.75" customHeight="1" spans="1:11" x14ac:dyDescent="0.25">
      <c r="A12" s="52" t="s">
        <v>52</v>
      </c>
      <c r="B12" s="53" t="s">
        <v>35</v>
      </c>
      <c r="C12" s="43">
        <v>46241.819444444445</v>
      </c>
      <c r="D12" s="22" t="s">
        <v>53</v>
      </c>
      <c r="E12" s="22"/>
      <c r="F12" s="22"/>
      <c r="G12" s="22"/>
      <c r="H12" s="54" t="s">
        <v>97</v>
      </c>
      <c r="I12" s="24">
        <v>9</v>
      </c>
      <c r="J12" s="22" t="s">
        <v>48</v>
      </c>
      <c r="K12" s="44" t="s">
        <v>96</v>
      </c>
    </row>
    <row r="13" ht="120.75" customHeight="1" spans="1:11" x14ac:dyDescent="0.25">
      <c r="A13" s="52" t="s">
        <v>55</v>
      </c>
      <c r="B13" s="53" t="s">
        <v>33</v>
      </c>
      <c r="C13" s="43">
        <v>46242.555555555555</v>
      </c>
      <c r="D13" s="22" t="s">
        <v>56</v>
      </c>
      <c r="E13" s="22"/>
      <c r="F13" s="22"/>
      <c r="G13" s="22"/>
      <c r="H13" s="54" t="s">
        <v>95</v>
      </c>
      <c r="I13" s="47">
        <v>340</v>
      </c>
      <c r="J13" s="22" t="s">
        <v>48</v>
      </c>
      <c r="K13" s="44" t="s">
        <v>96</v>
      </c>
    </row>
    <row r="14" ht="120.75" customHeight="1" spans="1:11" x14ac:dyDescent="0.25">
      <c r="A14" s="52" t="s">
        <v>55</v>
      </c>
      <c r="B14" s="53" t="s">
        <v>35</v>
      </c>
      <c r="C14" s="43">
        <v>46242.819444444445</v>
      </c>
      <c r="D14" s="22" t="s">
        <v>56</v>
      </c>
      <c r="E14" s="22"/>
      <c r="F14" s="22"/>
      <c r="G14" s="22"/>
      <c r="H14" s="54" t="s">
        <v>97</v>
      </c>
      <c r="I14" s="24">
        <v>9</v>
      </c>
      <c r="J14" s="22" t="s">
        <v>48</v>
      </c>
      <c r="K14" s="44" t="s">
        <v>96</v>
      </c>
    </row>
    <row r="15" ht="120.75" customHeight="1" spans="1:11" x14ac:dyDescent="0.25">
      <c r="A15" s="52" t="s">
        <v>57</v>
      </c>
      <c r="B15" s="53" t="s">
        <v>33</v>
      </c>
      <c r="C15" s="43">
        <v>46243.555555555555</v>
      </c>
      <c r="D15" s="22" t="s">
        <v>58</v>
      </c>
      <c r="E15" s="22"/>
      <c r="F15" s="22"/>
      <c r="G15" s="22"/>
      <c r="H15" s="54" t="s">
        <v>95</v>
      </c>
      <c r="I15" s="24">
        <v>12</v>
      </c>
      <c r="J15" s="22" t="s">
        <v>48</v>
      </c>
      <c r="K15" s="44" t="s">
        <v>96</v>
      </c>
    </row>
    <row r="16" ht="120.75" customHeight="1" spans="1:11" x14ac:dyDescent="0.25">
      <c r="A16" s="52" t="s">
        <v>57</v>
      </c>
      <c r="B16" s="53" t="s">
        <v>35</v>
      </c>
      <c r="C16" s="43">
        <v>46243.819444444445</v>
      </c>
      <c r="D16" s="22" t="s">
        <v>58</v>
      </c>
      <c r="E16" s="22"/>
      <c r="F16" s="22"/>
      <c r="G16" s="22"/>
      <c r="H16" s="54" t="s">
        <v>97</v>
      </c>
      <c r="I16" s="24">
        <v>9</v>
      </c>
      <c r="J16" s="22" t="s">
        <v>48</v>
      </c>
      <c r="K16" s="44" t="s">
        <v>96</v>
      </c>
    </row>
    <row r="17" ht="120.75" customHeight="1" spans="1:11" x14ac:dyDescent="0.25">
      <c r="A17" s="52" t="s">
        <v>60</v>
      </c>
      <c r="B17" s="55" t="s">
        <v>33</v>
      </c>
      <c r="C17" s="43">
        <v>46244.555555555555</v>
      </c>
      <c r="D17" s="22" t="s">
        <v>61</v>
      </c>
      <c r="E17" s="22"/>
      <c r="F17" s="22"/>
      <c r="G17" s="22"/>
      <c r="H17" s="54" t="s">
        <v>95</v>
      </c>
      <c r="I17" s="24">
        <v>12</v>
      </c>
      <c r="J17" s="22" t="s">
        <v>48</v>
      </c>
      <c r="K17" s="44" t="s">
        <v>96</v>
      </c>
    </row>
    <row r="18" ht="120.75" customHeight="1" spans="1:11" x14ac:dyDescent="0.25">
      <c r="A18" s="52" t="s">
        <v>60</v>
      </c>
      <c r="B18" s="53" t="s">
        <v>35</v>
      </c>
      <c r="C18" s="43">
        <v>46244.819444444445</v>
      </c>
      <c r="D18" s="22" t="s">
        <v>61</v>
      </c>
      <c r="E18" s="22"/>
      <c r="F18" s="22"/>
      <c r="G18" s="22"/>
      <c r="H18" s="54" t="s">
        <v>97</v>
      </c>
      <c r="I18" s="24">
        <v>9</v>
      </c>
      <c r="J18" s="22" t="s">
        <v>48</v>
      </c>
      <c r="K18" s="44" t="s">
        <v>96</v>
      </c>
    </row>
    <row r="19" ht="120.75" customHeight="1" spans="1:11" x14ac:dyDescent="0.25">
      <c r="A19" s="52" t="s">
        <v>62</v>
      </c>
      <c r="B19" s="55" t="s">
        <v>33</v>
      </c>
      <c r="C19" s="43">
        <v>46245.555555555555</v>
      </c>
      <c r="D19" s="22" t="s">
        <v>63</v>
      </c>
      <c r="E19" s="22"/>
      <c r="F19" s="22"/>
      <c r="G19" s="22"/>
      <c r="H19" s="54" t="s">
        <v>95</v>
      </c>
      <c r="I19" s="24">
        <v>12</v>
      </c>
      <c r="J19" s="22" t="s">
        <v>48</v>
      </c>
      <c r="K19" s="44" t="s">
        <v>96</v>
      </c>
    </row>
  </sheetData>
  <autoFilter ref="A6:K19"/>
  <mergeCells count="2">
    <mergeCell ref="B2:H2"/>
    <mergeCell ref="B3:H3"/>
  </mergeCells>
  <conditionalFormatting sqref="A7:K19">
    <cfRule type="expression" dxfId="8" priority="2">
      <formula>AND($A7&lt;&gt;"",MOD(ROW(),2)=0)</formula>
    </cfRule>
    <cfRule type="expression" dxfId="9" priority="3">
      <formula>$A7&lt;&gt;""</formula>
    </cfRule>
  </conditionalFormatting>
  <hyperlinks>
    <hyperlink ref="K7" r:id="rId1"/>
    <hyperlink ref="K8" r:id="rId2"/>
    <hyperlink ref="K9" r:id="rId3"/>
    <hyperlink ref="K10" r:id="rId4"/>
    <hyperlink ref="K11" r:id="rId5"/>
    <hyperlink ref="K12" r:id="rId6"/>
    <hyperlink ref="K13" r:id="rId7"/>
    <hyperlink ref="K14" r:id="rId8"/>
    <hyperlink ref="K15" r:id="rId9"/>
    <hyperlink ref="K16" r:id="rId10"/>
    <hyperlink ref="K17" r:id="rId11"/>
    <hyperlink ref="K18" r:id="rId12"/>
    <hyperlink ref="K19" r:id="rId13"/>
  </hyperlinks>
  <pageMargins left="0.75" right="0.75" top="1" bottom="1" header="0.511811023622047" footer="0.511811023622047"/>
  <pageSetup orientation="landscape" horizontalDpi="300" verticalDpi="300" scale="100" fitToWidth="1" fitToHeight="0" firstPageNumber="1" useFirstPageNumber="1" copies="1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Portada</vt:lpstr>
      <vt:lpstr>Base de datos</vt:lpstr>
      <vt:lpstr>Panel</vt:lpstr>
      <vt:lpstr>Evidencia</vt:lpstr>
      <vt:lpstr>_datos</vt:lpstr>
      <vt:lpstr>Fotos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Sider Certificado</dc:creator>
  <dc:title/>
  <dc:subject/>
  <dc:description/>
  <dc:language>en-US</dc:language>
  <cp:lastModifiedBy>INOVA 2025</cp:lastModifiedBy>
  <dcterms:created xsi:type="dcterms:W3CDTF">2026-09-09T00:43:42Z</dcterms:created>
  <dcterms:modified xsi:type="dcterms:W3CDTF">2026-09-09T01:06:15Z</dcterms:modified>
</cp:coreProperties>
</file>