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Base" state="visible" r:id="rId5"/>
    <sheet sheetId="3" name="Por material" state="visible" r:id="rId6"/>
    <sheet sheetId="4" name="Por ubicación" state="visible" r:id="rId7"/>
    <sheet sheetId="5" name="Validar" state="visible" r:id="rId8"/>
    <sheet sheetId="6" name="Sin contar" state="visible" r:id="rId9"/>
  </sheets>
  <definedNames>
    <definedName name="_xlnm._FilterDatabase" localSheetId="1" hidden="1">Base!$A$6:$Z$14</definedName>
    <definedName name="_xlnm._FilterDatabase" localSheetId="2" hidden="1">'Por material'!$A$6:$L$10</definedName>
    <definedName name="_xlnm._FilterDatabase" localSheetId="3" hidden="1">'Por ubicación'!$A$6:$J$13</definedName>
    <definedName name="_xlnm._FilterDatabase" localSheetId="4" hidden="1">Validar!$A$6:$H$14</definedName>
    <definedName name="_xlnm._FilterDatabase" localSheetId="5" hidden="1">'Sin contar'!$A$6:$F$8</definedName>
    <definedName name="_xlnm.Print_Area" localSheetId="0">'Resumen'!$A1:$J39</definedName>
    <definedName name="_xlnm.Print_Titles" localSheetId="1">'Base'!$6:$6</definedName>
    <definedName name="_xlnm.Print_Titles" localSheetId="2">'Por material'!$6:$6</definedName>
  </definedNames>
  <calcPr calcId="171027" fullCalcOnLoad="1"/>
</workbook>
</file>

<file path=xl/sharedStrings.xml><?xml version="1.0" encoding="utf-8"?>
<sst xmlns="http://schemas.openxmlformats.org/spreadsheetml/2006/main" count="387" uniqueCount="138">
  <si>
    <t>Inventario consolidado · AG01</t>
  </si>
  <si>
    <t>UBICACIONES DEL ALMACÉN</t>
  </si>
  <si>
    <t>Martes, 22 de septiembre de 2026  ·  2 FEFO enviados · exportó Cristian</t>
  </si>
  <si>
    <t xml:space="preserve">  AVANCE DEL CONTEO</t>
  </si>
  <si>
    <t>██████████████░░░░</t>
  </si>
  <si>
    <t>7 de 9 ubicaciones</t>
  </si>
  <si>
    <t>cada bloque ≈ 1 ubicaciones</t>
  </si>
  <si>
    <t xml:space="preserve">SIN CONTAR  </t>
  </si>
  <si>
    <t>LO CONTADO</t>
  </si>
  <si>
    <t>CAJAS</t>
  </si>
  <si>
    <t>UNIDADES</t>
  </si>
  <si>
    <t>ESTIBAS</t>
  </si>
  <si>
    <t>RENGLONES</t>
  </si>
  <si>
    <t>PARA REVISAR</t>
  </si>
  <si>
    <t>MATERIALES</t>
  </si>
  <si>
    <t>VENCIDAS · CAJAS</t>
  </si>
  <si>
    <t>POR VALIDAR</t>
  </si>
  <si>
    <t>CON MARGEN</t>
  </si>
  <si>
    <t>Riesgo de vencimiento</t>
  </si>
  <si>
    <t>Franja</t>
  </si>
  <si>
    <t>Cajas</t>
  </si>
  <si>
    <t>Unidades</t>
  </si>
  <si>
    <t>Materiales</t>
  </si>
  <si>
    <t>Ubicaciones</t>
  </si>
  <si>
    <t>% de cajas</t>
  </si>
  <si>
    <t/>
  </si>
  <si>
    <t>Ya vencido</t>
  </si>
  <si>
    <t>█</t>
  </si>
  <si>
    <t>Ya no alcanza a salir</t>
  </si>
  <si>
    <t>Sale esta semana</t>
  </si>
  <si>
    <t>███</t>
  </si>
  <si>
    <t>Sale en 8 a 15 días</t>
  </si>
  <si>
    <t>Sale en 16 a 30 días</t>
  </si>
  <si>
    <t>██</t>
  </si>
  <si>
    <t>Con margen</t>
  </si>
  <si>
    <t>Sin fecha</t>
  </si>
  <si>
    <t>Total</t>
  </si>
  <si>
    <t>4 distintos</t>
  </si>
  <si>
    <t>Recorridos que entran en la base</t>
  </si>
  <si>
    <t>Recorrido</t>
  </si>
  <si>
    <t>Contó</t>
  </si>
  <si>
    <t>Enviado</t>
  </si>
  <si>
    <t>Renglones</t>
  </si>
  <si>
    <t>FEFO-01</t>
  </si>
  <si>
    <t>Santiago Leal</t>
  </si>
  <si>
    <t>22/9 07:00</t>
  </si>
  <si>
    <t>FEFO-02</t>
  </si>
  <si>
    <t>Génesis Visbal</t>
  </si>
  <si>
    <t>22/9 13:00</t>
  </si>
  <si>
    <t>Cuadre de cajas</t>
  </si>
  <si>
    <t>1.220 en los recorridos  −  1.200 en el consolidado (lo que se volvió a contar)</t>
  </si>
  <si>
    <t>La base toma, de cada ubicación, el ÚLTIMO recorrido del día que pasó por ella: una calle caminada dos veces no se suma dos veces. El detalle está en las hojas Base, Por material, Por ubicación y Sin contar.</t>
  </si>
  <si>
    <t>Base consolidada del día</t>
  </si>
  <si>
    <t>Contado</t>
  </si>
  <si>
    <t>Calle</t>
  </si>
  <si>
    <t>Módulo</t>
  </si>
  <si>
    <t>Lado</t>
  </si>
  <si>
    <t>Ubicación</t>
  </si>
  <si>
    <t>Código</t>
  </si>
  <si>
    <t>Material</t>
  </si>
  <si>
    <t>Tipo</t>
  </si>
  <si>
    <t>Familia</t>
  </si>
  <si>
    <t>Estibas</t>
  </si>
  <si>
    <t>Cajas sueltas</t>
  </si>
  <si>
    <t>Saldo</t>
  </si>
  <si>
    <t>Total cajas</t>
  </si>
  <si>
    <t>Fabricación</t>
  </si>
  <si>
    <t>Vencimiento</t>
  </si>
  <si>
    <t>Días p/vencer</t>
  </si>
  <si>
    <t>Días p/salir</t>
  </si>
  <si>
    <t>Rota</t>
  </si>
  <si>
    <t>Avería</t>
  </si>
  <si>
    <t>PNC</t>
  </si>
  <si>
    <t>Estado envase</t>
  </si>
  <si>
    <t>Nota</t>
  </si>
  <si>
    <t>A</t>
  </si>
  <si>
    <t>01</t>
  </si>
  <si>
    <t>DER</t>
  </si>
  <si>
    <t>A01DER</t>
  </si>
  <si>
    <t>3128</t>
  </si>
  <si>
    <t>Águila Original 330 ml x 30</t>
  </si>
  <si>
    <t>PRODUCTO</t>
  </si>
  <si>
    <t>Cerveza</t>
  </si>
  <si>
    <t>IZQ</t>
  </si>
  <si>
    <t>A01IZQ</t>
  </si>
  <si>
    <t>02</t>
  </si>
  <si>
    <t>A02IZQ</t>
  </si>
  <si>
    <t>B</t>
  </si>
  <si>
    <t>B01IZQ</t>
  </si>
  <si>
    <t>3130</t>
  </si>
  <si>
    <t>Póker 330</t>
  </si>
  <si>
    <t>C</t>
  </si>
  <si>
    <t>C01IZQ</t>
  </si>
  <si>
    <t>900</t>
  </si>
  <si>
    <t>Canasta 30</t>
  </si>
  <si>
    <t>ENVASE</t>
  </si>
  <si>
    <t>Sí</t>
  </si>
  <si>
    <t>rota</t>
  </si>
  <si>
    <t>C02IZQ</t>
  </si>
  <si>
    <t>7777</t>
  </si>
  <si>
    <t>Fuera del maestro</t>
  </si>
  <si>
    <t>Z</t>
  </si>
  <si>
    <t>09</t>
  </si>
  <si>
    <t>Z09DER</t>
  </si>
  <si>
    <t>3129</t>
  </si>
  <si>
    <t>Águila Light 330</t>
  </si>
  <si>
    <t>TOTAL (lo filtrado)</t>
  </si>
  <si>
    <t>Por material</t>
  </si>
  <si>
    <t>Vence primero</t>
  </si>
  <si>
    <t>En riesgo (cajas)</t>
  </si>
  <si>
    <t>Por ubicación</t>
  </si>
  <si>
    <t>Capacidad (estibas)</t>
  </si>
  <si>
    <t>Ocupación</t>
  </si>
  <si>
    <t>Para validar</t>
  </si>
  <si>
    <t>4 grave(s) · 4 para mirar · Martes, 22 de septiembre de 2026  ·  2 FEFO enviados · exportó Cristian</t>
  </si>
  <si>
    <t>Qué</t>
  </si>
  <si>
    <t>Grave</t>
  </si>
  <si>
    <t>Detalle</t>
  </si>
  <si>
    <t>Revisado ✓</t>
  </si>
  <si>
    <t>Código fuera del maestro</t>
  </si>
  <si>
    <t>El código no está en el maestro de materiales.</t>
  </si>
  <si>
    <t>Repetido</t>
  </si>
  <si>
    <t>Mismo material y vencimiento anotado dos veces en la misma ubicación.</t>
  </si>
  <si>
    <t>Producto sin fecha de vencimiento: no se puede saber cuándo sale.</t>
  </si>
  <si>
    <t>Vencido</t>
  </si>
  <si>
    <t>Venció hace 3 día(s). 80 cajas.</t>
  </si>
  <si>
    <t>Reemplazado</t>
  </si>
  <si>
    <t>Esa ubicación se volvió a contar ese día: vale el recorrido más reciente. Aquí decía 999 cajas.</t>
  </si>
  <si>
    <t>Sin unidades por caja</t>
  </si>
  <si>
    <t>El maestro no trae unidades por caja: no suma en unidades.</t>
  </si>
  <si>
    <t>Sobre capacidad</t>
  </si>
  <si>
    <t>Hay 6 estibas y caben 3.</t>
  </si>
  <si>
    <t>Sin contar ese día</t>
  </si>
  <si>
    <t>2 de 9 posiciones activas · Martes, 22 de septiembre de 2026  ·  2 FEFO enviados · exportó Cristian</t>
  </si>
  <si>
    <t>Capacidad</t>
  </si>
  <si>
    <t>D01IZQ</t>
  </si>
  <si>
    <t>D</t>
  </si>
  <si>
    <t>D02DER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</si>
</sst>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\-#,##0;\–"/>
    <numFmt numFmtId="165" formatCode="0.0%"/>
    <numFmt numFmtId="166" formatCode="0.0%;\-0.0%;\–"/>
    <numFmt numFmtId="167" formatCode="dd/mm/yy hh:mm"/>
    <numFmt numFmtId="168" formatCode="dd/mm/yyyy"/>
  </numFmts>
  <fonts count="38" x14ac:knownFonts="1">
    <font>
      <color theme="1"/>
      <family val="2"/>
      <scheme val="minor"/>
      <sz val="11"/>
      <name val="Calibri"/>
    </font>
    <font>
      <b/>
      <color rgb="FF23262C"/>
      <sz val="22"/>
      <name val="Calibri"/>
    </font>
    <font>
      <b/>
      <color rgb="FF727478"/>
      <sz val="7.5"/>
      <name val="Calibri"/>
    </font>
    <font>
      <color rgb="FF727478"/>
      <sz val="9.5"/>
      <name val="Calibri"/>
    </font>
    <font>
      <b/>
      <color rgb="FF23262C"/>
      <sz val="12"/>
      <name val="Calibri"/>
    </font>
    <font>
      <b/>
      <color rgb="FF727478"/>
      <sz val="8.5"/>
      <name val="Calibri"/>
    </font>
    <font>
      <b/>
      <color rgb="FF23262C"/>
      <sz val="40"/>
      <name val="Calibri"/>
    </font>
    <font>
      <color rgb="FFFFC000"/>
      <sz val="20"/>
      <name val="Calibri"/>
    </font>
    <font>
      <b/>
      <color rgb="FFC6202A"/>
      <sz val="32"/>
      <name val="Calibri"/>
    </font>
    <font>
      <b/>
      <color rgb="FF727478"/>
      <sz val="10"/>
      <name val="Calibri"/>
    </font>
    <font>
      <color rgb="FF727478"/>
      <sz val="9"/>
      <name val="Calibri"/>
    </font>
    <font>
      <b/>
      <color rgb="FF727478"/>
      <sz val="9"/>
      <name val="Calibri"/>
    </font>
    <font>
      <b/>
      <color rgb="FF23262C"/>
      <sz val="8"/>
      <name val="Calibri"/>
    </font>
    <font>
      <b/>
      <color rgb="FFC6202A"/>
      <sz val="22"/>
      <name val="Calibri"/>
    </font>
    <font>
      <b/>
      <color rgb="FF1F7A45"/>
      <sz val="22"/>
      <name val="Calibri"/>
    </font>
    <font>
      <b/>
      <color rgb="FF23262C"/>
      <sz val="11"/>
      <name val="Calibri"/>
    </font>
    <font>
      <b/>
      <color rgb="FF23262C"/>
      <sz val="9"/>
      <name val="Calibri"/>
    </font>
    <font>
      <b/>
      <color rgb="FFC6202A"/>
      <sz val="9.5"/>
      <name val="Calibri"/>
    </font>
    <font>
      <color rgb="FF23262C"/>
      <sz val="9.5"/>
      <name val="Calibri"/>
    </font>
    <font>
      <b/>
      <color rgb="FF23262C"/>
      <sz val="9.5"/>
      <name val="Calibri"/>
    </font>
    <font>
      <color rgb="FFC6202A"/>
      <sz val="10"/>
      <name val="Calibri"/>
    </font>
    <font>
      <b/>
      <color rgb="FFB4530A"/>
      <sz val="9.5"/>
      <name val="Calibri"/>
    </font>
    <font>
      <color rgb="FFB4530A"/>
      <sz val="10"/>
      <name val="Calibri"/>
    </font>
    <font>
      <b/>
      <color rgb="FF8A6A00"/>
      <sz val="9.5"/>
      <name val="Calibri"/>
    </font>
    <font>
      <color rgb="FF8A6A00"/>
      <sz val="10"/>
      <name val="Calibri"/>
    </font>
    <font>
      <b/>
      <color rgb="FF5E7314"/>
      <sz val="9.5"/>
      <name val="Calibri"/>
    </font>
    <font>
      <color rgb="FF5E7314"/>
      <sz val="10"/>
      <name val="Calibri"/>
    </font>
    <font>
      <b/>
      <color rgb="FF1F7A45"/>
      <sz val="9.5"/>
      <name val="Calibri"/>
    </font>
    <font>
      <color rgb="FF1F7A45"/>
      <sz val="10"/>
      <name val="Calibri"/>
    </font>
    <font>
      <b/>
      <color rgb="FF6B6B66"/>
      <sz val="9.5"/>
      <name val="Calibri"/>
    </font>
    <font>
      <color rgb="FF6B6B66"/>
      <sz val="10"/>
      <name val="Calibri"/>
    </font>
    <font>
      <color rgb="FF727478"/>
      <sz val="8.5"/>
      <name val="Calibri"/>
    </font>
    <font>
      <b/>
      <color rgb="FFC6202A"/>
      <sz val="10"/>
      <name val="Calibri"/>
    </font>
    <font>
      <b/>
      <u/>
      <color rgb="FFC6202A"/>
      <sz val="10"/>
      <name val="Calibri"/>
    </font>
    <font>
      <i/>
      <color rgb="FF727478"/>
      <sz val="8"/>
      <name val="Calibri"/>
    </font>
    <font>
      <b/>
      <color rgb="FF23262C"/>
      <sz val="16"/>
      <name val="Calibri"/>
    </font>
    <font>
      <b/>
      <color rgb="FF8A6800"/>
      <sz val="9.5"/>
      <name val="Calibri"/>
    </font>
    <font>
      <b/>
      <color rgb="FFFFFFFF"/>
      <sz val="9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3F3F3"/>
      </patternFill>
    </fill>
    <fill>
      <patternFill patternType="solid">
        <fgColor rgb="FFF7F7F8"/>
      </patternFill>
    </fill>
    <fill>
      <patternFill patternType="solid">
        <fgColor rgb="FFDEDEDF"/>
      </patternFill>
    </fill>
    <fill>
      <patternFill patternType="solid">
        <fgColor rgb="FFFDE3E3"/>
      </patternFill>
    </fill>
    <fill>
      <patternFill patternType="solid">
        <fgColor rgb="FFFDEBDB"/>
      </patternFill>
    </fill>
    <fill>
      <patternFill patternType="solid">
        <fgColor rgb="FFFFF4D1"/>
      </patternFill>
    </fill>
    <fill>
      <patternFill patternType="solid">
        <fgColor rgb="FFF1F6DC"/>
      </patternFill>
    </fill>
    <fill>
      <patternFill patternType="solid">
        <fgColor rgb="FFE3F2E8"/>
      </patternFill>
    </fill>
    <fill>
      <patternFill patternType="solid">
        <fgColor rgb="FFF0F0EE"/>
      </patternFill>
    </fill>
    <fill>
      <patternFill patternType="solid">
        <fgColor rgb="FFF5F5F6"/>
      </patternFill>
    </fill>
    <fill>
      <patternFill patternType="solid">
        <fgColor rgb="FFFFF4F4"/>
      </patternFill>
    </fill>
    <fill>
      <patternFill patternType="solid">
        <fgColor rgb="FF23262C"/>
      </patternFill>
    </fill>
  </fills>
  <borders count="8">
    <border>
      <left/>
      <right/>
      <top/>
      <bottom/>
      <diagonal/>
    </border>
    <border>
      <left style="thick">
        <color rgb="FFFFC000"/>
      </left>
      <right/>
      <top/>
      <bottom/>
      <diagonal/>
    </border>
    <border>
      <left style="thick">
        <color rgb="FFFFC000"/>
      </left>
      <right style="thick">
        <color rgb="FFFFFFFF"/>
      </right>
      <top/>
      <bottom/>
      <diagonal/>
    </border>
    <border>
      <left style="thick">
        <color rgb="FFC6202A"/>
      </left>
      <right style="thick">
        <color rgb="FFFFFFFF"/>
      </right>
      <top/>
      <bottom/>
      <diagonal/>
    </border>
    <border>
      <left style="thick">
        <color rgb="FF1F7A45"/>
      </left>
      <right style="thick">
        <color rgb="FFFFFFFF"/>
      </right>
      <top/>
      <bottom/>
      <diagonal/>
    </border>
    <border>
      <left/>
      <right/>
      <top/>
      <bottom style="thin">
        <color rgb="FFE5E5E6"/>
      </bottom>
      <diagonal/>
    </border>
    <border>
      <left/>
      <right/>
      <top style="medium">
        <color rgb="FF23262C"/>
      </top>
      <bottom/>
      <diagonal/>
    </border>
    <border>
      <left style="thick">
        <color rgb="FFC6202A"/>
      </left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bottom"/>
    </xf>
    <xf numFmtId="0" fontId="3" fillId="0" borderId="0" xfId="0" applyFont="1"/>
    <xf numFmtId="164" fontId="4" fillId="0" borderId="0" xfId="0" applyNumberFormat="1" applyFont="1" applyAlignment="1">
      <alignment horizontal="right" vertical="top"/>
    </xf>
    <xf numFmtId="0" fontId="5" fillId="3" borderId="1" xfId="0" applyFont="1" applyFill="1" applyBorder="1" applyAlignment="1">
      <alignment vertical="bottom"/>
    </xf>
    <xf numFmtId="0" fontId="0" fillId="3" borderId="0" xfId="0" applyFill="1"/>
    <xf numFmtId="165" fontId="6" fillId="3" borderId="1" xfId="0" applyNumberFormat="1" applyFont="1" applyFill="1" applyBorder="1" applyAlignment="1">
      <alignment horizontal="left" vertical="center" indent="1"/>
    </xf>
    <xf numFmtId="0" fontId="7" fillId="3" borderId="0" xfId="0" applyFont="1" applyFill="1" applyAlignment="1">
      <alignment vertical="center"/>
    </xf>
    <xf numFmtId="3" fontId="8" fillId="3" borderId="0" xfId="0" applyNumberFormat="1" applyFont="1" applyFill="1" applyAlignment="1">
      <alignment horizontal="right" vertical="center" indent="1"/>
    </xf>
    <xf numFmtId="0" fontId="9" fillId="3" borderId="1" xfId="0" applyFont="1" applyFill="1" applyBorder="1" applyAlignment="1">
      <alignment vertical="bottom" indent="1"/>
    </xf>
    <xf numFmtId="0" fontId="10" fillId="3" borderId="0" xfId="0" applyFont="1" applyFill="1" applyAlignment="1">
      <alignment vertical="center"/>
    </xf>
    <xf numFmtId="0" fontId="11" fillId="3" borderId="0" xfId="0" applyFont="1" applyFill="1" applyAlignment="1">
      <alignment horizontal="right" vertical="bottom"/>
    </xf>
    <xf numFmtId="0" fontId="0" fillId="3" borderId="1" xfId="0" applyFill="1" applyBorder="1"/>
    <xf numFmtId="0" fontId="12" fillId="0" borderId="0" xfId="0" applyFont="1"/>
    <xf numFmtId="0" fontId="2" fillId="4" borderId="2" xfId="0" applyFont="1" applyFill="1" applyBorder="1" applyAlignment="1">
      <alignment horizontal="left" vertical="bottom" indent="1"/>
    </xf>
    <xf numFmtId="164" fontId="1" fillId="4" borderId="2" xfId="0" applyNumberFormat="1" applyFont="1" applyFill="1" applyBorder="1" applyAlignment="1">
      <alignment horizontal="left" vertical="center" indent="1"/>
    </xf>
    <xf numFmtId="0" fontId="2" fillId="4" borderId="3" xfId="0" applyFont="1" applyFill="1" applyBorder="1" applyAlignment="1">
      <alignment horizontal="left" vertical="bottom" indent="1"/>
    </xf>
    <xf numFmtId="0" fontId="2" fillId="4" borderId="4" xfId="0" applyFont="1" applyFill="1" applyBorder="1" applyAlignment="1">
      <alignment horizontal="left" vertical="bottom" indent="1"/>
    </xf>
    <xf numFmtId="164" fontId="13" fillId="4" borderId="3" xfId="0" applyNumberFormat="1" applyFont="1" applyFill="1" applyBorder="1" applyAlignment="1">
      <alignment horizontal="left" vertical="center" indent="1"/>
    </xf>
    <xf numFmtId="166" fontId="14" fillId="4" borderId="4" xfId="0" applyNumberFormat="1" applyFont="1" applyFill="1" applyBorder="1" applyAlignment="1">
      <alignment horizontal="left" vertical="center" indent="1"/>
    </xf>
    <xf numFmtId="0" fontId="15" fillId="0" borderId="0" xfId="0" applyFont="1"/>
    <xf numFmtId="0" fontId="16" fillId="5" borderId="0" xfId="0" applyFont="1" applyFill="1" applyAlignment="1">
      <alignment horizontal="left" vertical="center" indent="1"/>
    </xf>
    <xf numFmtId="0" fontId="16" fillId="5" borderId="0" xfId="0" applyFont="1" applyFill="1" applyAlignment="1">
      <alignment horizontal="right" vertical="center" indent="1"/>
    </xf>
    <xf numFmtId="0" fontId="17" fillId="6" borderId="5" xfId="0" applyFont="1" applyFill="1" applyBorder="1" applyAlignment="1">
      <alignment horizontal="left" vertical="center" indent="1"/>
    </xf>
    <xf numFmtId="164" fontId="18" fillId="0" borderId="5" xfId="0" applyNumberFormat="1" applyFont="1" applyBorder="1" applyAlignment="1">
      <alignment horizontal="right" vertical="center" indent="1"/>
    </xf>
    <xf numFmtId="166" fontId="19" fillId="0" borderId="5" xfId="0" applyNumberFormat="1" applyFont="1" applyBorder="1" applyAlignment="1">
      <alignment horizontal="right" vertical="center" indent="1"/>
    </xf>
    <xf numFmtId="0" fontId="20" fillId="0" borderId="5" xfId="0" applyFont="1" applyBorder="1" applyAlignment="1">
      <alignment horizontal="left" vertical="center"/>
    </xf>
    <xf numFmtId="0" fontId="21" fillId="7" borderId="5" xfId="0" applyFont="1" applyFill="1" applyBorder="1" applyAlignment="1">
      <alignment horizontal="left" vertical="center" indent="1"/>
    </xf>
    <xf numFmtId="0" fontId="22" fillId="0" borderId="5" xfId="0" applyFont="1" applyBorder="1" applyAlignment="1">
      <alignment horizontal="left" vertical="center"/>
    </xf>
    <xf numFmtId="0" fontId="23" fillId="8" borderId="5" xfId="0" applyFont="1" applyFill="1" applyBorder="1" applyAlignment="1">
      <alignment horizontal="left" vertical="center" indent="1"/>
    </xf>
    <xf numFmtId="0" fontId="24" fillId="0" borderId="5" xfId="0" applyFont="1" applyBorder="1" applyAlignment="1">
      <alignment horizontal="left" vertical="center"/>
    </xf>
    <xf numFmtId="0" fontId="25" fillId="9" borderId="5" xfId="0" applyFont="1" applyFill="1" applyBorder="1" applyAlignment="1">
      <alignment horizontal="left" vertical="center" indent="1"/>
    </xf>
    <xf numFmtId="0" fontId="26" fillId="0" borderId="5" xfId="0" applyFont="1" applyBorder="1" applyAlignment="1">
      <alignment horizontal="left" vertical="center"/>
    </xf>
    <xf numFmtId="0" fontId="27" fillId="10" borderId="5" xfId="0" applyFont="1" applyFill="1" applyBorder="1" applyAlignment="1">
      <alignment horizontal="left" vertical="center" indent="1"/>
    </xf>
    <xf numFmtId="0" fontId="28" fillId="0" borderId="5" xfId="0" applyFont="1" applyBorder="1" applyAlignment="1">
      <alignment horizontal="left" vertical="center"/>
    </xf>
    <xf numFmtId="0" fontId="29" fillId="11" borderId="5" xfId="0" applyFont="1" applyFill="1" applyBorder="1" applyAlignment="1">
      <alignment horizontal="left" vertical="center" indent="1"/>
    </xf>
    <xf numFmtId="0" fontId="30" fillId="0" borderId="5" xfId="0" applyFont="1" applyBorder="1" applyAlignment="1">
      <alignment horizontal="left" vertical="center"/>
    </xf>
    <xf numFmtId="0" fontId="19" fillId="12" borderId="6" xfId="0" applyFont="1" applyFill="1" applyBorder="1" applyAlignment="1">
      <alignment horizontal="left" vertical="center" indent="1"/>
    </xf>
    <xf numFmtId="164" fontId="19" fillId="12" borderId="6" xfId="0" applyNumberFormat="1" applyFont="1" applyFill="1" applyBorder="1" applyAlignment="1">
      <alignment horizontal="right" vertical="center" indent="1"/>
    </xf>
    <xf numFmtId="0" fontId="31" fillId="12" borderId="6" xfId="0" applyFont="1" applyFill="1" applyBorder="1" applyAlignment="1">
      <alignment horizontal="right" vertical="center" indent="1"/>
    </xf>
    <xf numFmtId="0" fontId="19" fillId="12" borderId="6" xfId="0" applyFont="1" applyFill="1" applyBorder="1" applyAlignment="1">
      <alignment horizontal="right" vertical="center" indent="1"/>
    </xf>
    <xf numFmtId="166" fontId="19" fillId="12" borderId="6" xfId="0" applyNumberFormat="1" applyFont="1" applyFill="1" applyBorder="1" applyAlignment="1">
      <alignment horizontal="right" vertical="center" indent="1"/>
    </xf>
    <xf numFmtId="0" fontId="18" fillId="0" borderId="5" xfId="0" applyFont="1" applyBorder="1" applyAlignment="1">
      <alignment horizontal="left" vertical="center" indent="1"/>
    </xf>
    <xf numFmtId="0" fontId="18" fillId="0" borderId="5" xfId="0" applyFont="1" applyBorder="1" applyAlignment="1">
      <alignment horizontal="right" vertical="center" indent="1"/>
    </xf>
    <xf numFmtId="0" fontId="11" fillId="0" borderId="0" xfId="0" applyFont="1" applyAlignment="1">
      <alignment vertical="center" indent="1"/>
    </xf>
    <xf numFmtId="0" fontId="10" fillId="0" borderId="0" xfId="0" applyFont="1" applyAlignment="1">
      <alignment vertical="center" wrapText="1"/>
    </xf>
    <xf numFmtId="164" fontId="32" fillId="0" borderId="0" xfId="0" applyNumberFormat="1" applyFont="1" applyAlignment="1">
      <alignment horizontal="right" vertical="center" indent="1"/>
    </xf>
    <xf numFmtId="0" fontId="33" fillId="13" borderId="7" xfId="0" applyFont="1" applyFill="1" applyBorder="1" applyAlignment="1">
      <alignment vertical="center"/>
    </xf>
    <xf numFmtId="0" fontId="34" fillId="0" borderId="0" xfId="0" applyFont="1" applyAlignment="1">
      <alignment vertical="top" wrapText="1"/>
    </xf>
    <xf numFmtId="0" fontId="35" fillId="0" borderId="0" xfId="0" applyFont="1" applyAlignment="1">
      <alignment vertical="center"/>
    </xf>
    <xf numFmtId="0" fontId="36" fillId="0" borderId="0" xfId="0" applyFont="1"/>
    <xf numFmtId="0" fontId="37" fillId="14" borderId="0" xfId="0" applyFont="1" applyFill="1" applyAlignment="1">
      <alignment horizontal="center" vertical="center" wrapText="1"/>
    </xf>
    <xf numFmtId="0" fontId="18" fillId="0" borderId="5" xfId="0" applyFont="1" applyBorder="1" applyAlignment="1">
      <alignment vertical="center"/>
    </xf>
    <xf numFmtId="167" fontId="18" fillId="0" borderId="5" xfId="0" applyNumberFormat="1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3" fontId="18" fillId="0" borderId="5" xfId="0" applyNumberFormat="1" applyFont="1" applyBorder="1" applyAlignment="1">
      <alignment vertical="center"/>
    </xf>
    <xf numFmtId="3" fontId="19" fillId="0" borderId="5" xfId="0" applyNumberFormat="1" applyFont="1" applyBorder="1" applyAlignment="1">
      <alignment vertical="center"/>
    </xf>
    <xf numFmtId="168" fontId="18" fillId="0" borderId="5" xfId="0" applyNumberFormat="1" applyFont="1" applyBorder="1" applyAlignment="1">
      <alignment vertical="center"/>
    </xf>
    <xf numFmtId="1" fontId="18" fillId="0" borderId="5" xfId="0" applyNumberFormat="1" applyFont="1" applyBorder="1" applyAlignment="1">
      <alignment vertical="center"/>
    </xf>
    <xf numFmtId="1" fontId="17" fillId="0" borderId="5" xfId="0" applyNumberFormat="1" applyFont="1" applyBorder="1" applyAlignment="1">
      <alignment vertical="center"/>
    </xf>
    <xf numFmtId="0" fontId="17" fillId="6" borderId="5" xfId="0" applyFont="1" applyFill="1" applyBorder="1" applyAlignment="1">
      <alignment vertical="center"/>
    </xf>
    <xf numFmtId="0" fontId="18" fillId="12" borderId="5" xfId="0" applyFont="1" applyFill="1" applyBorder="1" applyAlignment="1">
      <alignment vertical="center"/>
    </xf>
    <xf numFmtId="167" fontId="18" fillId="12" borderId="5" xfId="0" applyNumberFormat="1" applyFont="1" applyFill="1" applyBorder="1" applyAlignment="1">
      <alignment vertical="center"/>
    </xf>
    <xf numFmtId="0" fontId="19" fillId="12" borderId="5" xfId="0" applyFont="1" applyFill="1" applyBorder="1" applyAlignment="1">
      <alignment vertical="center"/>
    </xf>
    <xf numFmtId="3" fontId="18" fillId="12" borderId="5" xfId="0" applyNumberFormat="1" applyFont="1" applyFill="1" applyBorder="1" applyAlignment="1">
      <alignment vertical="center"/>
    </xf>
    <xf numFmtId="3" fontId="19" fillId="12" borderId="5" xfId="0" applyNumberFormat="1" applyFont="1" applyFill="1" applyBorder="1" applyAlignment="1">
      <alignment vertical="center"/>
    </xf>
    <xf numFmtId="168" fontId="18" fillId="12" borderId="5" xfId="0" applyNumberFormat="1" applyFont="1" applyFill="1" applyBorder="1" applyAlignment="1">
      <alignment vertical="center"/>
    </xf>
    <xf numFmtId="1" fontId="18" fillId="12" borderId="5" xfId="0" applyNumberFormat="1" applyFont="1" applyFill="1" applyBorder="1" applyAlignment="1">
      <alignment vertical="center"/>
    </xf>
    <xf numFmtId="0" fontId="25" fillId="9" borderId="5" xfId="0" applyFont="1" applyFill="1" applyBorder="1" applyAlignment="1">
      <alignment vertical="center"/>
    </xf>
    <xf numFmtId="0" fontId="21" fillId="7" borderId="5" xfId="0" applyFont="1" applyFill="1" applyBorder="1" applyAlignment="1">
      <alignment vertical="center"/>
    </xf>
    <xf numFmtId="0" fontId="29" fillId="11" borderId="5" xfId="0" applyFont="1" applyFill="1" applyBorder="1" applyAlignment="1">
      <alignment vertical="center"/>
    </xf>
    <xf numFmtId="0" fontId="27" fillId="10" borderId="5" xfId="0" applyFont="1" applyFill="1" applyBorder="1" applyAlignment="1">
      <alignment vertical="center"/>
    </xf>
    <xf numFmtId="0" fontId="19" fillId="12" borderId="6" xfId="0" applyFont="1" applyFill="1" applyBorder="1" applyAlignment="1">
      <alignment vertical="center"/>
    </xf>
    <xf numFmtId="164" fontId="19" fillId="12" borderId="6" xfId="0" applyNumberFormat="1" applyFont="1" applyFill="1" applyBorder="1" applyAlignment="1">
      <alignment vertical="center"/>
    </xf>
    <xf numFmtId="9" fontId="18" fillId="0" borderId="5" xfId="0" applyNumberFormat="1" applyFont="1" applyBorder="1" applyAlignment="1">
      <alignment vertical="center"/>
    </xf>
    <xf numFmtId="9" fontId="18" fillId="12" borderId="5" xfId="0" applyNumberFormat="1" applyFont="1" applyFill="1" applyBorder="1" applyAlignment="1">
      <alignment vertical="center"/>
    </xf>
    <xf numFmtId="9" fontId="17" fillId="6" borderId="5" xfId="0" applyNumberFormat="1" applyFont="1" applyFill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8" fillId="0" borderId="5" xfId="0" applyFont="1" applyBorder="1" applyAlignment="1">
      <alignment vertical="center" wrapText="1"/>
    </xf>
    <xf numFmtId="0" fontId="17" fillId="12" borderId="5" xfId="0" applyFont="1" applyFill="1" applyBorder="1" applyAlignment="1">
      <alignment vertical="center"/>
    </xf>
    <xf numFmtId="0" fontId="18" fillId="12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6750</xdr:colOff>
      <xdr:row>2</xdr:row>
      <xdr:rowOff>27000</xdr:rowOff>
    </xdr:from>
    <xdr:ext cx="400050" cy="400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B1:J39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13.5" customWidth="1"/>
    <col min="3" max="3" width="11" customWidth="1"/>
    <col min="4" max="5" width="11.5" customWidth="1"/>
    <col min="6" max="6" width="11" customWidth="1"/>
    <col min="7" max="7" width="11.5" customWidth="1"/>
    <col min="8" max="9" width="11" customWidth="1"/>
    <col min="10" max="10" width="2" customWidth="1"/>
  </cols>
  <sheetData>
    <row r="1" ht="6" customHeight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ht="9.75" customHeight="1" x14ac:dyDescent="0.25"/>
    <row r="3" ht="33.75" customHeight="1" spans="3:9" x14ac:dyDescent="0.25">
      <c r="C3" s="2" t="s">
        <v>0</v>
      </c>
      <c r="H3" s="3" t="s">
        <v>1</v>
      </c>
      <c r="I3" s="3"/>
    </row>
    <row r="4" ht="18" customHeight="1" spans="3:9" x14ac:dyDescent="0.25">
      <c r="C4" s="4" t="s">
        <v>2</v>
      </c>
      <c r="H4" s="5">
        <v>9</v>
      </c>
      <c r="I4" s="5"/>
    </row>
    <row r="5" ht="13.5" customHeight="1" x14ac:dyDescent="0.25"/>
    <row r="6" ht="15.75" customHeight="1" spans="2:9" x14ac:dyDescent="0.25">
      <c r="B6" s="6" t="s">
        <v>3</v>
      </c>
      <c r="C6" s="7"/>
      <c r="D6" s="7"/>
      <c r="E6" s="7"/>
      <c r="F6" s="7"/>
      <c r="G6" s="7"/>
      <c r="H6" s="7"/>
      <c r="I6" s="7"/>
    </row>
    <row r="7" ht="43.5" customHeight="1" spans="2:9" x14ac:dyDescent="0.25">
      <c r="B7" s="8">
        <v>0.7777777777777778</v>
      </c>
      <c r="C7" s="8"/>
      <c r="D7" s="8"/>
      <c r="E7" s="9" t="s">
        <v>4</v>
      </c>
      <c r="F7" s="9"/>
      <c r="G7" s="9"/>
      <c r="H7" s="10">
        <v>2</v>
      </c>
      <c r="I7" s="10"/>
    </row>
    <row r="8" ht="19.5" customHeight="1" spans="2:9" x14ac:dyDescent="0.25">
      <c r="B8" s="11" t="s">
        <v>5</v>
      </c>
      <c r="C8" s="11"/>
      <c r="D8" s="11"/>
      <c r="E8" s="12" t="s">
        <v>6</v>
      </c>
      <c r="F8" s="12"/>
      <c r="G8" s="12"/>
      <c r="H8" s="13" t="s">
        <v>7</v>
      </c>
      <c r="I8" s="13"/>
    </row>
    <row r="9" ht="12" customHeight="1" spans="2:9" x14ac:dyDescent="0.25">
      <c r="B9" s="14"/>
      <c r="C9" s="7"/>
      <c r="D9" s="7"/>
      <c r="E9" s="7"/>
      <c r="F9" s="7"/>
      <c r="G9" s="7"/>
      <c r="H9" s="7"/>
      <c r="I9" s="7"/>
    </row>
    <row r="10" ht="13.5" customHeight="1" x14ac:dyDescent="0.25"/>
    <row r="11" ht="15.75" customHeight="1" spans="2:2" x14ac:dyDescent="0.25">
      <c r="B11" s="15" t="s">
        <v>8</v>
      </c>
    </row>
    <row r="12" ht="18" customHeight="1" spans="2:9" x14ac:dyDescent="0.25">
      <c r="B12" s="16" t="s">
        <v>9</v>
      </c>
      <c r="C12" s="16"/>
      <c r="D12" s="16" t="s">
        <v>10</v>
      </c>
      <c r="E12" s="16"/>
      <c r="F12" s="16" t="s">
        <v>11</v>
      </c>
      <c r="G12" s="16"/>
      <c r="H12" s="16" t="s">
        <v>12</v>
      </c>
      <c r="I12" s="16"/>
    </row>
    <row r="13" ht="33.75" customHeight="1" spans="2:9" x14ac:dyDescent="0.25">
      <c r="B13" s="17">
        <v>1200</v>
      </c>
      <c r="C13" s="17"/>
      <c r="D13" s="17">
        <v>26400</v>
      </c>
      <c r="E13" s="17"/>
      <c r="F13" s="17">
        <v>18</v>
      </c>
      <c r="G13" s="17"/>
      <c r="H13" s="17">
        <v>8</v>
      </c>
      <c r="I13" s="17"/>
    </row>
    <row r="14" ht="13.5" customHeight="1" x14ac:dyDescent="0.25"/>
    <row r="15" ht="15.75" customHeight="1" spans="2:2" x14ac:dyDescent="0.25">
      <c r="B15" s="15" t="s">
        <v>13</v>
      </c>
    </row>
    <row r="16" ht="18" customHeight="1" spans="2:9" x14ac:dyDescent="0.25">
      <c r="B16" s="16" t="s">
        <v>14</v>
      </c>
      <c r="C16" s="16"/>
      <c r="D16" s="18" t="s">
        <v>15</v>
      </c>
      <c r="E16" s="18"/>
      <c r="F16" s="18" t="s">
        <v>16</v>
      </c>
      <c r="G16" s="18"/>
      <c r="H16" s="19" t="s">
        <v>17</v>
      </c>
      <c r="I16" s="19"/>
    </row>
    <row r="17" ht="33.75" customHeight="1" spans="2:9" x14ac:dyDescent="0.25">
      <c r="B17" s="17">
        <v>4</v>
      </c>
      <c r="C17" s="17"/>
      <c r="D17" s="20">
        <v>80</v>
      </c>
      <c r="E17" s="20"/>
      <c r="F17" s="20">
        <v>4</v>
      </c>
      <c r="G17" s="20"/>
      <c r="H17" s="21">
        <v>0.13333333333333333</v>
      </c>
      <c r="I17" s="21"/>
    </row>
    <row r="18" ht="13.5" customHeight="1" x14ac:dyDescent="0.25"/>
    <row r="19" ht="6" customHeight="1" x14ac:dyDescent="0.25"/>
    <row r="20" ht="19.5" customHeight="1" spans="2:2" x14ac:dyDescent="0.25">
      <c r="B20" s="22" t="s">
        <v>18</v>
      </c>
    </row>
    <row r="21" ht="21.75" customHeight="1" spans="2:9" x14ac:dyDescent="0.25">
      <c r="B21" s="23" t="s">
        <v>19</v>
      </c>
      <c r="C21" s="23"/>
      <c r="D21" s="24" t="s">
        <v>20</v>
      </c>
      <c r="E21" s="24" t="s">
        <v>21</v>
      </c>
      <c r="F21" s="24" t="s">
        <v>22</v>
      </c>
      <c r="G21" s="24" t="s">
        <v>23</v>
      </c>
      <c r="H21" s="24" t="s">
        <v>24</v>
      </c>
      <c r="I21" s="23" t="s">
        <v>25</v>
      </c>
    </row>
    <row r="22" ht="19.5" customHeight="1" spans="2:9" x14ac:dyDescent="0.25">
      <c r="B22" s="25" t="s">
        <v>26</v>
      </c>
      <c r="C22" s="25"/>
      <c r="D22" s="26">
        <v>80</v>
      </c>
      <c r="E22" s="26">
        <v>2400</v>
      </c>
      <c r="F22" s="26">
        <v>1</v>
      </c>
      <c r="G22" s="26">
        <v>1</v>
      </c>
      <c r="H22" s="27">
        <v>0.06666666666666667</v>
      </c>
      <c r="I22" s="28" t="s">
        <v>27</v>
      </c>
    </row>
    <row r="23" ht="19.5" customHeight="1" spans="2:9" x14ac:dyDescent="0.25">
      <c r="B23" s="25" t="s">
        <v>28</v>
      </c>
      <c r="C23" s="25"/>
      <c r="D23" s="26">
        <v>0</v>
      </c>
      <c r="E23" s="26">
        <v>0</v>
      </c>
      <c r="F23" s="26">
        <v>0</v>
      </c>
      <c r="G23" s="26">
        <v>0</v>
      </c>
      <c r="H23" s="27">
        <v>0</v>
      </c>
      <c r="I23" s="28" t="s">
        <v>25</v>
      </c>
    </row>
    <row r="24" ht="19.5" customHeight="1" spans="2:9" x14ac:dyDescent="0.25">
      <c r="B24" s="29" t="s">
        <v>29</v>
      </c>
      <c r="C24" s="29"/>
      <c r="D24" s="26">
        <v>480</v>
      </c>
      <c r="E24" s="26">
        <v>14400</v>
      </c>
      <c r="F24" s="26">
        <v>1</v>
      </c>
      <c r="G24" s="26">
        <v>2</v>
      </c>
      <c r="H24" s="27">
        <v>0.4</v>
      </c>
      <c r="I24" s="30" t="s">
        <v>30</v>
      </c>
    </row>
    <row r="25" ht="19.5" customHeight="1" spans="2:9" x14ac:dyDescent="0.25">
      <c r="B25" s="31" t="s">
        <v>31</v>
      </c>
      <c r="C25" s="31"/>
      <c r="D25" s="26">
        <v>0</v>
      </c>
      <c r="E25" s="26">
        <v>0</v>
      </c>
      <c r="F25" s="26">
        <v>0</v>
      </c>
      <c r="G25" s="26">
        <v>0</v>
      </c>
      <c r="H25" s="27">
        <v>0</v>
      </c>
      <c r="I25" s="32" t="s">
        <v>25</v>
      </c>
    </row>
    <row r="26" ht="19.5" customHeight="1" spans="2:9" x14ac:dyDescent="0.25">
      <c r="B26" s="33" t="s">
        <v>32</v>
      </c>
      <c r="C26" s="33"/>
      <c r="D26" s="26">
        <v>320</v>
      </c>
      <c r="E26" s="26">
        <v>4800</v>
      </c>
      <c r="F26" s="26">
        <v>2</v>
      </c>
      <c r="G26" s="26">
        <v>2</v>
      </c>
      <c r="H26" s="27">
        <v>0.26666666666666666</v>
      </c>
      <c r="I26" s="34" t="s">
        <v>33</v>
      </c>
    </row>
    <row r="27" ht="19.5" customHeight="1" spans="2:9" x14ac:dyDescent="0.25">
      <c r="B27" s="35" t="s">
        <v>34</v>
      </c>
      <c r="C27" s="35"/>
      <c r="D27" s="26">
        <v>160</v>
      </c>
      <c r="E27" s="26">
        <v>4800</v>
      </c>
      <c r="F27" s="26">
        <v>1</v>
      </c>
      <c r="G27" s="26">
        <v>1</v>
      </c>
      <c r="H27" s="27">
        <v>0.13333333333333333</v>
      </c>
      <c r="I27" s="36" t="s">
        <v>27</v>
      </c>
    </row>
    <row r="28" ht="19.5" customHeight="1" spans="2:9" x14ac:dyDescent="0.25">
      <c r="B28" s="37" t="s">
        <v>35</v>
      </c>
      <c r="C28" s="37"/>
      <c r="D28" s="26">
        <v>160</v>
      </c>
      <c r="E28" s="26">
        <v>0</v>
      </c>
      <c r="F28" s="26">
        <v>1</v>
      </c>
      <c r="G28" s="26">
        <v>1</v>
      </c>
      <c r="H28" s="27">
        <v>0.13333333333333333</v>
      </c>
      <c r="I28" s="38" t="s">
        <v>27</v>
      </c>
    </row>
    <row r="29" ht="21.75" customHeight="1" spans="2:9" x14ac:dyDescent="0.25">
      <c r="B29" s="39" t="s">
        <v>36</v>
      </c>
      <c r="C29" s="39"/>
      <c r="D29" s="40">
        <f>SUM(D22:D28)</f>
        <v>1200</v>
      </c>
      <c r="E29" s="40">
        <f>SUM(E22:E28)</f>
        <v>26400</v>
      </c>
      <c r="F29" s="41" t="s">
        <v>37</v>
      </c>
      <c r="G29" s="42"/>
      <c r="H29" s="43">
        <f>SUM(H22:H28)</f>
        <v>1</v>
      </c>
      <c r="I29" s="42"/>
    </row>
    <row r="30" ht="13.5" customHeight="1" x14ac:dyDescent="0.25"/>
    <row r="31" ht="19.5" customHeight="1" spans="2:2" x14ac:dyDescent="0.25">
      <c r="B31" s="22" t="s">
        <v>38</v>
      </c>
    </row>
    <row r="32" ht="21.75" customHeight="1" spans="2:9" x14ac:dyDescent="0.25">
      <c r="B32" s="23" t="s">
        <v>39</v>
      </c>
      <c r="C32" s="23"/>
      <c r="D32" s="23" t="s">
        <v>40</v>
      </c>
      <c r="E32" s="23" t="s">
        <v>41</v>
      </c>
      <c r="F32" s="24" t="s">
        <v>42</v>
      </c>
      <c r="G32" s="24" t="s">
        <v>23</v>
      </c>
      <c r="H32" s="24" t="s">
        <v>20</v>
      </c>
      <c r="I32" s="23" t="s">
        <v>25</v>
      </c>
    </row>
    <row r="33" ht="19.5" customHeight="1" spans="2:9" x14ac:dyDescent="0.25">
      <c r="B33" s="44" t="s">
        <v>43</v>
      </c>
      <c r="C33" s="44"/>
      <c r="D33" s="44" t="s">
        <v>44</v>
      </c>
      <c r="E33" s="44" t="s">
        <v>45</v>
      </c>
      <c r="F33" s="26">
        <v>2</v>
      </c>
      <c r="G33" s="26">
        <v>2</v>
      </c>
      <c r="H33" s="26">
        <v>320</v>
      </c>
      <c r="I33" s="45" t="s">
        <v>25</v>
      </c>
    </row>
    <row r="34" ht="19.5" customHeight="1" spans="2:9" x14ac:dyDescent="0.25">
      <c r="B34" s="44" t="s">
        <v>46</v>
      </c>
      <c r="C34" s="44"/>
      <c r="D34" s="44" t="s">
        <v>47</v>
      </c>
      <c r="E34" s="44" t="s">
        <v>48</v>
      </c>
      <c r="F34" s="26">
        <v>6</v>
      </c>
      <c r="G34" s="26">
        <v>5</v>
      </c>
      <c r="H34" s="26">
        <v>900</v>
      </c>
      <c r="I34" s="45" t="s">
        <v>25</v>
      </c>
    </row>
    <row r="35" ht="21.75" customHeight="1" spans="2:9" x14ac:dyDescent="0.25">
      <c r="B35" s="39" t="s">
        <v>36</v>
      </c>
      <c r="C35" s="39"/>
      <c r="D35" s="42"/>
      <c r="E35" s="42"/>
      <c r="F35" s="40">
        <f>SUM(F33:F34)</f>
        <v>8</v>
      </c>
      <c r="G35" s="40">
        <f>SUM(G33:G34)</f>
        <v>7</v>
      </c>
      <c r="H35" s="40">
        <f>SUM(H33:H34)</f>
        <v>1220</v>
      </c>
      <c r="I35" s="42"/>
    </row>
    <row r="36" ht="21.75" customHeight="1" spans="2:8" x14ac:dyDescent="0.25">
      <c r="B36" s="46" t="s">
        <v>49</v>
      </c>
      <c r="C36" s="46"/>
      <c r="D36" s="47" t="s">
        <v>50</v>
      </c>
      <c r="E36" s="47"/>
      <c r="F36" s="47"/>
      <c r="G36" s="47"/>
      <c r="H36" s="48">
        <f>H35-D29</f>
        <v>20</v>
      </c>
    </row>
    <row r="37" ht="12" customHeight="1" x14ac:dyDescent="0.25"/>
    <row r="38" ht="27.75" customHeight="1" spans="2:9" x14ac:dyDescent="0.25">
      <c r="B38" s="49" t="str">
        <f>HYPERLINK("#'Validar'!A1","  ⚠  4 renglónes por validar  →  abrir la hoja Validar")</f>
        <v>  ⚠  4 renglónes por validar  →  abrir la hoja Validar</v>
      </c>
      <c r="C38" s="49"/>
      <c r="D38" s="49"/>
      <c r="E38" s="49"/>
      <c r="F38" s="49"/>
      <c r="G38" s="49"/>
      <c r="H38" s="49"/>
      <c r="I38" s="49"/>
    </row>
    <row r="39" ht="31.5" customHeight="1" spans="2:9" x14ac:dyDescent="0.25">
      <c r="B39" s="50" t="s">
        <v>51</v>
      </c>
      <c r="C39" s="50"/>
      <c r="D39" s="50"/>
      <c r="E39" s="50"/>
      <c r="F39" s="50"/>
      <c r="G39" s="50"/>
      <c r="H39" s="50"/>
      <c r="I39" s="50"/>
    </row>
  </sheetData>
  <mergeCells count="41">
    <mergeCell ref="H3:I3"/>
    <mergeCell ref="H4:I4"/>
    <mergeCell ref="B7:D7"/>
    <mergeCell ref="E7:G7"/>
    <mergeCell ref="H7:I7"/>
    <mergeCell ref="B8:D8"/>
    <mergeCell ref="E8:G8"/>
    <mergeCell ref="H8:I8"/>
    <mergeCell ref="B12:C12"/>
    <mergeCell ref="D12:E12"/>
    <mergeCell ref="F12:G12"/>
    <mergeCell ref="H12:I12"/>
    <mergeCell ref="B13:C13"/>
    <mergeCell ref="D13:E13"/>
    <mergeCell ref="F13:G13"/>
    <mergeCell ref="H13:I13"/>
    <mergeCell ref="B16:C16"/>
    <mergeCell ref="D16:E16"/>
    <mergeCell ref="F16:G16"/>
    <mergeCell ref="H16:I16"/>
    <mergeCell ref="B17:C17"/>
    <mergeCell ref="D17:E17"/>
    <mergeCell ref="F17:G17"/>
    <mergeCell ref="H17:I17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2:C32"/>
    <mergeCell ref="B33:C33"/>
    <mergeCell ref="B34:C34"/>
    <mergeCell ref="B35:C35"/>
    <mergeCell ref="B36:C36"/>
    <mergeCell ref="D36:G36"/>
    <mergeCell ref="B38:I38"/>
    <mergeCell ref="B39:I39"/>
  </mergeCells>
  <printOptions horizontalCentered="1"/>
  <pageMargins left="0.4" right="0.4" top="0.5" bottom="0.5" header="0.2" footer="0.2"/>
  <pageSetup orientation="portrait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3262C"/>
    <pageSetUpPr fitToPage="1"/>
  </sheetPr>
  <dimension ref="A1:Z15"/>
  <sheetViews>
    <sheetView workbookViewId="0" showGridLines="0">
      <pane xSplit="8" ySplit="6" topLeftCell="I7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6" customWidth="1"/>
    <col min="4" max="4" width="7" customWidth="1"/>
    <col min="5" max="5" width="8" customWidth="1"/>
    <col min="6" max="6" width="7" customWidth="1"/>
    <col min="7" max="7" width="13" customWidth="1"/>
    <col min="8" max="8" width="10" customWidth="1"/>
    <col min="9" max="9" width="34" customWidth="1"/>
    <col min="10" max="10" width="11" customWidth="1"/>
    <col min="11" max="11" width="14" customWidth="1"/>
    <col min="13" max="13" width="10" customWidth="1"/>
    <col min="14" max="14" width="8" customWidth="1"/>
    <col min="15" max="15" width="11" customWidth="1"/>
    <col min="16" max="18" width="12" customWidth="1"/>
    <col min="19" max="20" width="10" customWidth="1"/>
    <col min="21" max="21" width="18" customWidth="1"/>
    <col min="22" max="22" width="6" customWidth="1"/>
    <col min="23" max="23" width="7" customWidth="1"/>
    <col min="24" max="24" width="6" customWidth="1"/>
    <col min="25" max="25" width="14" customWidth="1"/>
    <col min="26" max="26" width="30" customWidth="1"/>
  </cols>
  <sheetData>
    <row r="1" ht="6" customHeight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8" customHeight="1" x14ac:dyDescent="0.25"/>
    <row r="3" ht="26" customHeight="1" spans="1:1" x14ac:dyDescent="0.25">
      <c r="A3" s="51" t="s">
        <v>52</v>
      </c>
    </row>
    <row r="4" ht="16" customHeight="1" spans="1:1" x14ac:dyDescent="0.25">
      <c r="A4" s="4" t="s">
        <v>2</v>
      </c>
    </row>
    <row r="5" ht="16" customHeight="1" spans="1:1" x14ac:dyDescent="0.25">
      <c r="A5" s="52" t="str">
        <f>HYPERLINK("#'Resumen'!A1","← volver al resumen")</f>
        <v>← volver al resumen</v>
      </c>
    </row>
    <row r="6" ht="26" customHeight="1" spans="1:26" x14ac:dyDescent="0.25">
      <c r="A6" s="53" t="s">
        <v>39</v>
      </c>
      <c r="B6" s="53" t="s">
        <v>40</v>
      </c>
      <c r="C6" s="53" t="s">
        <v>53</v>
      </c>
      <c r="D6" s="53" t="s">
        <v>54</v>
      </c>
      <c r="E6" s="53" t="s">
        <v>55</v>
      </c>
      <c r="F6" s="53" t="s">
        <v>56</v>
      </c>
      <c r="G6" s="53" t="s">
        <v>57</v>
      </c>
      <c r="H6" s="53" t="s">
        <v>58</v>
      </c>
      <c r="I6" s="53" t="s">
        <v>59</v>
      </c>
      <c r="J6" s="53" t="s">
        <v>60</v>
      </c>
      <c r="K6" s="53" t="s">
        <v>61</v>
      </c>
      <c r="L6" s="53" t="s">
        <v>62</v>
      </c>
      <c r="M6" s="53" t="s">
        <v>63</v>
      </c>
      <c r="N6" s="53" t="s">
        <v>64</v>
      </c>
      <c r="O6" s="53" t="s">
        <v>65</v>
      </c>
      <c r="P6" s="53" t="s">
        <v>21</v>
      </c>
      <c r="Q6" s="53" t="s">
        <v>66</v>
      </c>
      <c r="R6" s="53" t="s">
        <v>67</v>
      </c>
      <c r="S6" s="53" t="s">
        <v>68</v>
      </c>
      <c r="T6" s="53" t="s">
        <v>69</v>
      </c>
      <c r="U6" s="53" t="s">
        <v>19</v>
      </c>
      <c r="V6" s="53" t="s">
        <v>70</v>
      </c>
      <c r="W6" s="53" t="s">
        <v>71</v>
      </c>
      <c r="X6" s="53" t="s">
        <v>72</v>
      </c>
      <c r="Y6" s="53" t="s">
        <v>73</v>
      </c>
      <c r="Z6" s="53" t="s">
        <v>74</v>
      </c>
    </row>
    <row r="7" ht="18" customHeight="1" spans="1:26" x14ac:dyDescent="0.25">
      <c r="A7" s="54" t="s">
        <v>46</v>
      </c>
      <c r="B7" s="54" t="s">
        <v>47</v>
      </c>
      <c r="C7" s="55">
        <v>46287.58333333333</v>
      </c>
      <c r="D7" s="54" t="s">
        <v>75</v>
      </c>
      <c r="E7" s="54" t="s">
        <v>76</v>
      </c>
      <c r="F7" s="54" t="s">
        <v>77</v>
      </c>
      <c r="G7" s="54" t="s">
        <v>78</v>
      </c>
      <c r="H7" s="56" t="s">
        <v>79</v>
      </c>
      <c r="I7" s="54" t="s">
        <v>80</v>
      </c>
      <c r="J7" s="54" t="s">
        <v>81</v>
      </c>
      <c r="K7" s="54" t="s">
        <v>82</v>
      </c>
      <c r="L7" s="57">
        <v>2</v>
      </c>
      <c r="M7" s="57">
        <v>0</v>
      </c>
      <c r="N7" s="57">
        <v>0</v>
      </c>
      <c r="O7" s="58">
        <v>80</v>
      </c>
      <c r="P7" s="57">
        <v>2400</v>
      </c>
      <c r="Q7" s="59">
        <v>46174.5</v>
      </c>
      <c r="R7" s="59">
        <v>46284.5</v>
      </c>
      <c r="S7" s="60">
        <v>-3</v>
      </c>
      <c r="T7" s="61">
        <v>-33</v>
      </c>
      <c r="U7" s="62" t="s">
        <v>26</v>
      </c>
      <c r="V7" s="54" t="s">
        <v>25</v>
      </c>
      <c r="W7" s="54" t="s">
        <v>25</v>
      </c>
      <c r="X7" s="54" t="s">
        <v>25</v>
      </c>
      <c r="Y7" s="54" t="s">
        <v>25</v>
      </c>
      <c r="Z7" s="54" t="s">
        <v>25</v>
      </c>
    </row>
    <row r="8" ht="18" customHeight="1" spans="1:26" x14ac:dyDescent="0.25">
      <c r="A8" s="63" t="s">
        <v>46</v>
      </c>
      <c r="B8" s="63" t="s">
        <v>47</v>
      </c>
      <c r="C8" s="64">
        <v>46287.58333333333</v>
      </c>
      <c r="D8" s="63" t="s">
        <v>75</v>
      </c>
      <c r="E8" s="63" t="s">
        <v>76</v>
      </c>
      <c r="F8" s="63" t="s">
        <v>83</v>
      </c>
      <c r="G8" s="63" t="s">
        <v>84</v>
      </c>
      <c r="H8" s="65" t="s">
        <v>79</v>
      </c>
      <c r="I8" s="63" t="s">
        <v>80</v>
      </c>
      <c r="J8" s="63" t="s">
        <v>81</v>
      </c>
      <c r="K8" s="63" t="s">
        <v>82</v>
      </c>
      <c r="L8" s="66">
        <v>2</v>
      </c>
      <c r="M8" s="66">
        <v>0</v>
      </c>
      <c r="N8" s="66">
        <v>0</v>
      </c>
      <c r="O8" s="67">
        <v>160</v>
      </c>
      <c r="P8" s="66">
        <v>4800</v>
      </c>
      <c r="Q8" s="68">
        <v>46174.5</v>
      </c>
      <c r="R8" s="68">
        <v>46347.5</v>
      </c>
      <c r="S8" s="69">
        <v>60</v>
      </c>
      <c r="T8" s="69">
        <v>30</v>
      </c>
      <c r="U8" s="70" t="s">
        <v>32</v>
      </c>
      <c r="V8" s="63" t="s">
        <v>25</v>
      </c>
      <c r="W8" s="63" t="s">
        <v>25</v>
      </c>
      <c r="X8" s="63" t="s">
        <v>25</v>
      </c>
      <c r="Y8" s="63" t="s">
        <v>25</v>
      </c>
      <c r="Z8" s="63" t="s">
        <v>25</v>
      </c>
    </row>
    <row r="9" ht="18" customHeight="1" spans="1:26" x14ac:dyDescent="0.25">
      <c r="A9" s="54" t="s">
        <v>46</v>
      </c>
      <c r="B9" s="54" t="s">
        <v>47</v>
      </c>
      <c r="C9" s="55">
        <v>46287.58333333333</v>
      </c>
      <c r="D9" s="54" t="s">
        <v>75</v>
      </c>
      <c r="E9" s="54" t="s">
        <v>85</v>
      </c>
      <c r="F9" s="54" t="s">
        <v>83</v>
      </c>
      <c r="G9" s="54" t="s">
        <v>86</v>
      </c>
      <c r="H9" s="56" t="s">
        <v>79</v>
      </c>
      <c r="I9" s="54" t="s">
        <v>80</v>
      </c>
      <c r="J9" s="54" t="s">
        <v>81</v>
      </c>
      <c r="K9" s="54" t="s">
        <v>82</v>
      </c>
      <c r="L9" s="57">
        <v>5</v>
      </c>
      <c r="M9" s="57">
        <v>0</v>
      </c>
      <c r="N9" s="57">
        <v>0</v>
      </c>
      <c r="O9" s="58">
        <v>400</v>
      </c>
      <c r="P9" s="57">
        <v>12000</v>
      </c>
      <c r="Q9" s="59">
        <v>46174.5</v>
      </c>
      <c r="R9" s="59">
        <v>46319.5</v>
      </c>
      <c r="S9" s="60">
        <v>32</v>
      </c>
      <c r="T9" s="60">
        <v>2</v>
      </c>
      <c r="U9" s="71" t="s">
        <v>29</v>
      </c>
      <c r="V9" s="54" t="s">
        <v>25</v>
      </c>
      <c r="W9" s="54" t="s">
        <v>25</v>
      </c>
      <c r="X9" s="54" t="s">
        <v>25</v>
      </c>
      <c r="Y9" s="54" t="s">
        <v>25</v>
      </c>
      <c r="Z9" s="54" t="s">
        <v>25</v>
      </c>
    </row>
    <row r="10" ht="18" customHeight="1" spans="1:26" x14ac:dyDescent="0.25">
      <c r="A10" s="63" t="s">
        <v>46</v>
      </c>
      <c r="B10" s="63" t="s">
        <v>47</v>
      </c>
      <c r="C10" s="64">
        <v>46287.58333333333</v>
      </c>
      <c r="D10" s="63" t="s">
        <v>75</v>
      </c>
      <c r="E10" s="63" t="s">
        <v>85</v>
      </c>
      <c r="F10" s="63" t="s">
        <v>83</v>
      </c>
      <c r="G10" s="63" t="s">
        <v>86</v>
      </c>
      <c r="H10" s="65" t="s">
        <v>79</v>
      </c>
      <c r="I10" s="63" t="s">
        <v>80</v>
      </c>
      <c r="J10" s="63" t="s">
        <v>81</v>
      </c>
      <c r="K10" s="63" t="s">
        <v>82</v>
      </c>
      <c r="L10" s="66">
        <v>1</v>
      </c>
      <c r="M10" s="66">
        <v>0</v>
      </c>
      <c r="N10" s="66">
        <v>0</v>
      </c>
      <c r="O10" s="67">
        <v>80</v>
      </c>
      <c r="P10" s="66">
        <v>2400</v>
      </c>
      <c r="Q10" s="68">
        <v>46174.5</v>
      </c>
      <c r="R10" s="68">
        <v>46319.5</v>
      </c>
      <c r="S10" s="69">
        <v>32</v>
      </c>
      <c r="T10" s="69">
        <v>2</v>
      </c>
      <c r="U10" s="71" t="s">
        <v>29</v>
      </c>
      <c r="V10" s="63" t="s">
        <v>25</v>
      </c>
      <c r="W10" s="63" t="s">
        <v>25</v>
      </c>
      <c r="X10" s="63" t="s">
        <v>25</v>
      </c>
      <c r="Y10" s="63" t="s">
        <v>25</v>
      </c>
      <c r="Z10" s="63" t="s">
        <v>25</v>
      </c>
    </row>
    <row r="11" ht="18" customHeight="1" spans="1:26" x14ac:dyDescent="0.25">
      <c r="A11" s="54" t="s">
        <v>46</v>
      </c>
      <c r="B11" s="54" t="s">
        <v>47</v>
      </c>
      <c r="C11" s="55">
        <v>46287.58333333333</v>
      </c>
      <c r="D11" s="54" t="s">
        <v>87</v>
      </c>
      <c r="E11" s="54" t="s">
        <v>76</v>
      </c>
      <c r="F11" s="54" t="s">
        <v>83</v>
      </c>
      <c r="G11" s="54" t="s">
        <v>88</v>
      </c>
      <c r="H11" s="56" t="s">
        <v>89</v>
      </c>
      <c r="I11" s="54" t="s">
        <v>90</v>
      </c>
      <c r="J11" s="54" t="s">
        <v>81</v>
      </c>
      <c r="K11" s="54" t="s">
        <v>82</v>
      </c>
      <c r="L11" s="57">
        <v>2</v>
      </c>
      <c r="M11" s="57">
        <v>0</v>
      </c>
      <c r="N11" s="57">
        <v>0</v>
      </c>
      <c r="O11" s="58">
        <v>160</v>
      </c>
      <c r="P11" s="57"/>
      <c r="Q11" s="59">
        <v>46174.5</v>
      </c>
      <c r="R11" s="59"/>
      <c r="S11" s="60"/>
      <c r="T11" s="60"/>
      <c r="U11" s="72" t="s">
        <v>35</v>
      </c>
      <c r="V11" s="54" t="s">
        <v>25</v>
      </c>
      <c r="W11" s="54" t="s">
        <v>25</v>
      </c>
      <c r="X11" s="54" t="s">
        <v>25</v>
      </c>
      <c r="Y11" s="54" t="s">
        <v>25</v>
      </c>
      <c r="Z11" s="54" t="s">
        <v>25</v>
      </c>
    </row>
    <row r="12" ht="18" customHeight="1" spans="1:26" x14ac:dyDescent="0.25">
      <c r="A12" s="63" t="s">
        <v>46</v>
      </c>
      <c r="B12" s="63" t="s">
        <v>47</v>
      </c>
      <c r="C12" s="64">
        <v>46287.58333333333</v>
      </c>
      <c r="D12" s="63" t="s">
        <v>91</v>
      </c>
      <c r="E12" s="63" t="s">
        <v>76</v>
      </c>
      <c r="F12" s="63" t="s">
        <v>83</v>
      </c>
      <c r="G12" s="63" t="s">
        <v>92</v>
      </c>
      <c r="H12" s="65" t="s">
        <v>93</v>
      </c>
      <c r="I12" s="63" t="s">
        <v>94</v>
      </c>
      <c r="J12" s="63" t="s">
        <v>95</v>
      </c>
      <c r="K12" s="63" t="s">
        <v>82</v>
      </c>
      <c r="L12" s="66">
        <v>2</v>
      </c>
      <c r="M12" s="66">
        <v>0</v>
      </c>
      <c r="N12" s="66">
        <v>0</v>
      </c>
      <c r="O12" s="67">
        <v>160</v>
      </c>
      <c r="P12" s="66">
        <v>4800</v>
      </c>
      <c r="Q12" s="68">
        <v>46174.5</v>
      </c>
      <c r="R12" s="68"/>
      <c r="S12" s="69"/>
      <c r="T12" s="69"/>
      <c r="U12" s="63" t="s">
        <v>35</v>
      </c>
      <c r="V12" s="63" t="s">
        <v>25</v>
      </c>
      <c r="W12" s="63" t="s">
        <v>96</v>
      </c>
      <c r="X12" s="63" t="s">
        <v>25</v>
      </c>
      <c r="Y12" s="63" t="s">
        <v>25</v>
      </c>
      <c r="Z12" s="63" t="s">
        <v>97</v>
      </c>
    </row>
    <row r="13" ht="18" customHeight="1" spans="1:26" x14ac:dyDescent="0.25">
      <c r="A13" s="54" t="s">
        <v>46</v>
      </c>
      <c r="B13" s="54" t="s">
        <v>47</v>
      </c>
      <c r="C13" s="55">
        <v>46287.58333333333</v>
      </c>
      <c r="D13" s="54" t="s">
        <v>91</v>
      </c>
      <c r="E13" s="54" t="s">
        <v>85</v>
      </c>
      <c r="F13" s="54" t="s">
        <v>83</v>
      </c>
      <c r="G13" s="54" t="s">
        <v>98</v>
      </c>
      <c r="H13" s="56" t="s">
        <v>99</v>
      </c>
      <c r="I13" s="54" t="s">
        <v>100</v>
      </c>
      <c r="J13" s="54" t="s">
        <v>81</v>
      </c>
      <c r="K13" s="54" t="s">
        <v>82</v>
      </c>
      <c r="L13" s="57">
        <v>2</v>
      </c>
      <c r="M13" s="57">
        <v>0</v>
      </c>
      <c r="N13" s="57">
        <v>0</v>
      </c>
      <c r="O13" s="58">
        <v>160</v>
      </c>
      <c r="P13" s="57"/>
      <c r="Q13" s="59">
        <v>46174.5</v>
      </c>
      <c r="R13" s="59">
        <v>46347.5</v>
      </c>
      <c r="S13" s="60">
        <v>60</v>
      </c>
      <c r="T13" s="60">
        <v>30</v>
      </c>
      <c r="U13" s="70" t="s">
        <v>32</v>
      </c>
      <c r="V13" s="54" t="s">
        <v>25</v>
      </c>
      <c r="W13" s="54" t="s">
        <v>25</v>
      </c>
      <c r="X13" s="54" t="s">
        <v>25</v>
      </c>
      <c r="Y13" s="54" t="s">
        <v>25</v>
      </c>
      <c r="Z13" s="54" t="s">
        <v>25</v>
      </c>
    </row>
    <row r="14" ht="18" customHeight="1" spans="1:26" x14ac:dyDescent="0.25">
      <c r="A14" s="63" t="s">
        <v>43</v>
      </c>
      <c r="B14" s="63" t="s">
        <v>47</v>
      </c>
      <c r="C14" s="64">
        <v>46287.58333333333</v>
      </c>
      <c r="D14" s="63" t="s">
        <v>101</v>
      </c>
      <c r="E14" s="63" t="s">
        <v>102</v>
      </c>
      <c r="F14" s="63" t="s">
        <v>77</v>
      </c>
      <c r="G14" s="63" t="s">
        <v>103</v>
      </c>
      <c r="H14" s="65" t="s">
        <v>104</v>
      </c>
      <c r="I14" s="63" t="s">
        <v>105</v>
      </c>
      <c r="J14" s="63" t="s">
        <v>81</v>
      </c>
      <c r="K14" s="63" t="s">
        <v>82</v>
      </c>
      <c r="L14" s="66">
        <v>2</v>
      </c>
      <c r="M14" s="66">
        <v>0</v>
      </c>
      <c r="N14" s="66">
        <v>0</v>
      </c>
      <c r="O14" s="67">
        <v>160</v>
      </c>
      <c r="P14" s="66">
        <v>4800</v>
      </c>
      <c r="Q14" s="68">
        <v>46174.5</v>
      </c>
      <c r="R14" s="68">
        <v>46377.5</v>
      </c>
      <c r="S14" s="69">
        <v>90</v>
      </c>
      <c r="T14" s="69">
        <v>60</v>
      </c>
      <c r="U14" s="73" t="s">
        <v>34</v>
      </c>
      <c r="V14" s="63" t="s">
        <v>25</v>
      </c>
      <c r="W14" s="63" t="s">
        <v>25</v>
      </c>
      <c r="X14" s="63" t="s">
        <v>25</v>
      </c>
      <c r="Y14" s="63" t="s">
        <v>25</v>
      </c>
      <c r="Z14" s="63" t="s">
        <v>25</v>
      </c>
    </row>
    <row r="15" ht="22" customHeight="1" spans="1:26" x14ac:dyDescent="0.25">
      <c r="A15" s="74" t="s">
        <v>106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5">
        <f>SUBTOTAL(109,L7:L14)</f>
        <v>18</v>
      </c>
      <c r="M15" s="75">
        <f>SUBTOTAL(109,M7:M14)</f>
        <v>0</v>
      </c>
      <c r="N15" s="75">
        <f>SUBTOTAL(109,N7:N14)</f>
        <v>0</v>
      </c>
      <c r="O15" s="75">
        <f>SUBTOTAL(109,O7:O14)</f>
        <v>1360</v>
      </c>
      <c r="P15" s="75">
        <f>SUBTOTAL(109,P7:P14)</f>
        <v>31200</v>
      </c>
      <c r="Q15" s="74"/>
      <c r="R15" s="74"/>
      <c r="S15" s="74"/>
      <c r="T15" s="74"/>
      <c r="U15" s="74"/>
      <c r="V15" s="74"/>
      <c r="W15" s="74"/>
      <c r="X15" s="74"/>
      <c r="Y15" s="74"/>
      <c r="Z15" s="74"/>
    </row>
  </sheetData>
  <autoFilter ref="A6:Z14"/>
  <pageMargins left="0.4" right="0.4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7A45"/>
    <pageSetUpPr fitToPage="1"/>
  </sheetPr>
  <dimension ref="A1:L11"/>
  <sheetViews>
    <sheetView workbookViewId="0" showGridLines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6" customWidth="1"/>
    <col min="3" max="3" width="11" customWidth="1"/>
    <col min="4" max="4" width="14" customWidth="1"/>
    <col min="5" max="5" width="12" customWidth="1"/>
    <col min="6" max="6" width="10" customWidth="1"/>
    <col min="7" max="7" width="11" customWidth="1"/>
    <col min="8" max="8" width="12" customWidth="1"/>
    <col min="9" max="9" width="13" customWidth="1"/>
    <col min="10" max="10" width="11" customWidth="1"/>
    <col min="11" max="11" width="20" customWidth="1"/>
    <col min="12" max="12" width="14" customWidth="1"/>
  </cols>
  <sheetData>
    <row r="1" ht="6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8" customHeight="1" x14ac:dyDescent="0.25"/>
    <row r="3" ht="26" customHeight="1" spans="1:1" x14ac:dyDescent="0.25">
      <c r="A3" s="51" t="s">
        <v>107</v>
      </c>
    </row>
    <row r="4" ht="16" customHeight="1" spans="1:1" x14ac:dyDescent="0.25">
      <c r="A4" s="4" t="s">
        <v>2</v>
      </c>
    </row>
    <row r="5" ht="16" customHeight="1" spans="1:1" x14ac:dyDescent="0.25">
      <c r="A5" s="52" t="str">
        <f>HYPERLINK("#'Resumen'!A1","← volver al resumen")</f>
        <v>← volver al resumen</v>
      </c>
    </row>
    <row r="6" ht="26" customHeight="1" spans="1:12" x14ac:dyDescent="0.25">
      <c r="A6" s="53" t="s">
        <v>58</v>
      </c>
      <c r="B6" s="53" t="s">
        <v>59</v>
      </c>
      <c r="C6" s="53" t="s">
        <v>60</v>
      </c>
      <c r="D6" s="53" t="s">
        <v>61</v>
      </c>
      <c r="E6" s="53" t="s">
        <v>23</v>
      </c>
      <c r="F6" s="53" t="s">
        <v>62</v>
      </c>
      <c r="G6" s="53" t="s">
        <v>20</v>
      </c>
      <c r="H6" s="53" t="s">
        <v>21</v>
      </c>
      <c r="I6" s="53" t="s">
        <v>108</v>
      </c>
      <c r="J6" s="53" t="s">
        <v>69</v>
      </c>
      <c r="K6" s="53" t="s">
        <v>19</v>
      </c>
      <c r="L6" s="53" t="s">
        <v>109</v>
      </c>
    </row>
    <row r="7" ht="18" customHeight="1" spans="1:12" x14ac:dyDescent="0.25">
      <c r="A7" s="56" t="s">
        <v>79</v>
      </c>
      <c r="B7" s="54" t="s">
        <v>80</v>
      </c>
      <c r="C7" s="54" t="s">
        <v>81</v>
      </c>
      <c r="D7" s="54" t="s">
        <v>82</v>
      </c>
      <c r="E7" s="57">
        <v>4</v>
      </c>
      <c r="F7" s="57">
        <v>10</v>
      </c>
      <c r="G7" s="57">
        <v>720</v>
      </c>
      <c r="H7" s="57">
        <v>21600</v>
      </c>
      <c r="I7" s="59">
        <v>46284.5</v>
      </c>
      <c r="J7" s="60">
        <v>-33</v>
      </c>
      <c r="K7" s="62" t="s">
        <v>26</v>
      </c>
      <c r="L7" s="57">
        <v>720</v>
      </c>
    </row>
    <row r="8" ht="18" customHeight="1" spans="1:12" x14ac:dyDescent="0.25">
      <c r="A8" s="65" t="s">
        <v>104</v>
      </c>
      <c r="B8" s="63" t="s">
        <v>105</v>
      </c>
      <c r="C8" s="63" t="s">
        <v>81</v>
      </c>
      <c r="D8" s="63" t="s">
        <v>82</v>
      </c>
      <c r="E8" s="66">
        <v>1</v>
      </c>
      <c r="F8" s="66">
        <v>2</v>
      </c>
      <c r="G8" s="66">
        <v>160</v>
      </c>
      <c r="H8" s="66">
        <v>4800</v>
      </c>
      <c r="I8" s="68">
        <v>46377.5</v>
      </c>
      <c r="J8" s="69">
        <v>60</v>
      </c>
      <c r="K8" s="73" t="s">
        <v>34</v>
      </c>
      <c r="L8" s="66">
        <v>0</v>
      </c>
    </row>
    <row r="9" ht="18" customHeight="1" spans="1:12" x14ac:dyDescent="0.25">
      <c r="A9" s="56" t="s">
        <v>89</v>
      </c>
      <c r="B9" s="54" t="s">
        <v>90</v>
      </c>
      <c r="C9" s="54" t="s">
        <v>81</v>
      </c>
      <c r="D9" s="54" t="s">
        <v>82</v>
      </c>
      <c r="E9" s="57">
        <v>1</v>
      </c>
      <c r="F9" s="57">
        <v>2</v>
      </c>
      <c r="G9" s="57">
        <v>160</v>
      </c>
      <c r="H9" s="57"/>
      <c r="I9" s="59"/>
      <c r="J9" s="60"/>
      <c r="K9" s="72" t="s">
        <v>35</v>
      </c>
      <c r="L9" s="57">
        <v>0</v>
      </c>
    </row>
    <row r="10" ht="18" customHeight="1" spans="1:12" x14ac:dyDescent="0.25">
      <c r="A10" s="65" t="s">
        <v>99</v>
      </c>
      <c r="B10" s="63" t="s">
        <v>100</v>
      </c>
      <c r="C10" s="63" t="s">
        <v>25</v>
      </c>
      <c r="D10" s="63" t="s">
        <v>82</v>
      </c>
      <c r="E10" s="66">
        <v>1</v>
      </c>
      <c r="F10" s="66">
        <v>2</v>
      </c>
      <c r="G10" s="66">
        <v>160</v>
      </c>
      <c r="H10" s="66"/>
      <c r="I10" s="68">
        <v>46347.5</v>
      </c>
      <c r="J10" s="69">
        <v>30</v>
      </c>
      <c r="K10" s="70" t="s">
        <v>32</v>
      </c>
      <c r="L10" s="66">
        <v>160</v>
      </c>
    </row>
    <row r="11" ht="22" customHeight="1" spans="1:12" x14ac:dyDescent="0.25">
      <c r="A11" s="74" t="s">
        <v>106</v>
      </c>
      <c r="B11" s="74"/>
      <c r="C11" s="74"/>
      <c r="D11" s="74"/>
      <c r="E11" s="75">
        <f>SUBTOTAL(109,E7:E10)</f>
        <v>7</v>
      </c>
      <c r="F11" s="75">
        <f>SUBTOTAL(109,F7:F10)</f>
        <v>16</v>
      </c>
      <c r="G11" s="75">
        <f>SUBTOTAL(109,G7:G10)</f>
        <v>1200</v>
      </c>
      <c r="H11" s="75">
        <f>SUBTOTAL(109,H7:H10)</f>
        <v>26400</v>
      </c>
      <c r="I11" s="74"/>
      <c r="J11" s="74"/>
      <c r="K11" s="74"/>
      <c r="L11" s="75">
        <f>SUBTOTAL(109,L7:L10)</f>
        <v>880</v>
      </c>
    </row>
  </sheetData>
  <autoFilter ref="A6:L10"/>
  <pageMargins left="0.4" right="0.4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6DA4"/>
    <pageSetUpPr fitToPage="1"/>
  </sheetPr>
  <dimension ref="A1:J14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8" customWidth="1"/>
    <col min="5" max="5" width="12" customWidth="1"/>
    <col min="6" max="6" width="10" customWidth="1"/>
    <col min="7" max="10" width="11" customWidth="1"/>
  </cols>
  <sheetData>
    <row r="1" ht="6" customHeight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ht="8" customHeight="1" x14ac:dyDescent="0.25"/>
    <row r="3" ht="26" customHeight="1" spans="1:1" x14ac:dyDescent="0.25">
      <c r="A3" s="51" t="s">
        <v>110</v>
      </c>
    </row>
    <row r="4" ht="16" customHeight="1" spans="1:1" x14ac:dyDescent="0.25">
      <c r="A4" s="4" t="s">
        <v>2</v>
      </c>
    </row>
    <row r="5" ht="16" customHeight="1" spans="1:1" x14ac:dyDescent="0.25">
      <c r="A5" s="52" t="str">
        <f>HYPERLINK("#'Resumen'!A1","← volver al resumen")</f>
        <v>← volver al resumen</v>
      </c>
    </row>
    <row r="6" ht="26" customHeight="1" spans="1:10" x14ac:dyDescent="0.25">
      <c r="A6" s="53" t="s">
        <v>57</v>
      </c>
      <c r="B6" s="53" t="s">
        <v>54</v>
      </c>
      <c r="C6" s="53" t="s">
        <v>55</v>
      </c>
      <c r="D6" s="53" t="s">
        <v>56</v>
      </c>
      <c r="E6" s="53" t="s">
        <v>111</v>
      </c>
      <c r="F6" s="53" t="s">
        <v>62</v>
      </c>
      <c r="G6" s="53" t="s">
        <v>112</v>
      </c>
      <c r="H6" s="53" t="s">
        <v>20</v>
      </c>
      <c r="I6" s="53" t="s">
        <v>22</v>
      </c>
      <c r="J6" s="53" t="s">
        <v>42</v>
      </c>
    </row>
    <row r="7" ht="18" customHeight="1" spans="1:10" x14ac:dyDescent="0.25">
      <c r="A7" s="56" t="s">
        <v>78</v>
      </c>
      <c r="B7" s="54" t="s">
        <v>75</v>
      </c>
      <c r="C7" s="54" t="s">
        <v>76</v>
      </c>
      <c r="D7" s="54" t="s">
        <v>77</v>
      </c>
      <c r="E7" s="57">
        <v>3</v>
      </c>
      <c r="F7" s="57">
        <v>2</v>
      </c>
      <c r="G7" s="76">
        <v>0.6666666666666666</v>
      </c>
      <c r="H7" s="57">
        <v>80</v>
      </c>
      <c r="I7" s="60">
        <v>1</v>
      </c>
      <c r="J7" s="60">
        <v>1</v>
      </c>
    </row>
    <row r="8" ht="18" customHeight="1" spans="1:10" x14ac:dyDescent="0.25">
      <c r="A8" s="65" t="s">
        <v>84</v>
      </c>
      <c r="B8" s="63" t="s">
        <v>75</v>
      </c>
      <c r="C8" s="63" t="s">
        <v>76</v>
      </c>
      <c r="D8" s="63" t="s">
        <v>83</v>
      </c>
      <c r="E8" s="66">
        <v>3</v>
      </c>
      <c r="F8" s="66">
        <v>2</v>
      </c>
      <c r="G8" s="77">
        <v>0.6666666666666666</v>
      </c>
      <c r="H8" s="66">
        <v>160</v>
      </c>
      <c r="I8" s="69">
        <v>1</v>
      </c>
      <c r="J8" s="69">
        <v>1</v>
      </c>
    </row>
    <row r="9" ht="18" customHeight="1" spans="1:10" x14ac:dyDescent="0.25">
      <c r="A9" s="56" t="s">
        <v>86</v>
      </c>
      <c r="B9" s="54" t="s">
        <v>75</v>
      </c>
      <c r="C9" s="54" t="s">
        <v>85</v>
      </c>
      <c r="D9" s="54" t="s">
        <v>83</v>
      </c>
      <c r="E9" s="57">
        <v>3</v>
      </c>
      <c r="F9" s="57">
        <v>6</v>
      </c>
      <c r="G9" s="78">
        <v>2</v>
      </c>
      <c r="H9" s="57">
        <v>480</v>
      </c>
      <c r="I9" s="60">
        <v>1</v>
      </c>
      <c r="J9" s="60">
        <v>2</v>
      </c>
    </row>
    <row r="10" ht="18" customHeight="1" spans="1:10" x14ac:dyDescent="0.25">
      <c r="A10" s="65" t="s">
        <v>88</v>
      </c>
      <c r="B10" s="63" t="s">
        <v>87</v>
      </c>
      <c r="C10" s="63" t="s">
        <v>76</v>
      </c>
      <c r="D10" s="63" t="s">
        <v>83</v>
      </c>
      <c r="E10" s="66">
        <v>3</v>
      </c>
      <c r="F10" s="66">
        <v>2</v>
      </c>
      <c r="G10" s="77">
        <v>0.6666666666666666</v>
      </c>
      <c r="H10" s="66">
        <v>160</v>
      </c>
      <c r="I10" s="69">
        <v>1</v>
      </c>
      <c r="J10" s="69">
        <v>1</v>
      </c>
    </row>
    <row r="11" ht="18" customHeight="1" spans="1:10" x14ac:dyDescent="0.25">
      <c r="A11" s="56" t="s">
        <v>92</v>
      </c>
      <c r="B11" s="54" t="s">
        <v>91</v>
      </c>
      <c r="C11" s="54" t="s">
        <v>76</v>
      </c>
      <c r="D11" s="54" t="s">
        <v>83</v>
      </c>
      <c r="E11" s="57">
        <v>3</v>
      </c>
      <c r="F11" s="57">
        <v>2</v>
      </c>
      <c r="G11" s="76">
        <v>0.6666666666666666</v>
      </c>
      <c r="H11" s="57">
        <v>160</v>
      </c>
      <c r="I11" s="60">
        <v>1</v>
      </c>
      <c r="J11" s="60">
        <v>1</v>
      </c>
    </row>
    <row r="12" ht="18" customHeight="1" spans="1:10" x14ac:dyDescent="0.25">
      <c r="A12" s="65" t="s">
        <v>98</v>
      </c>
      <c r="B12" s="63" t="s">
        <v>91</v>
      </c>
      <c r="C12" s="63" t="s">
        <v>85</v>
      </c>
      <c r="D12" s="63" t="s">
        <v>83</v>
      </c>
      <c r="E12" s="66">
        <v>3</v>
      </c>
      <c r="F12" s="66">
        <v>2</v>
      </c>
      <c r="G12" s="77">
        <v>0.6666666666666666</v>
      </c>
      <c r="H12" s="66">
        <v>160</v>
      </c>
      <c r="I12" s="69">
        <v>1</v>
      </c>
      <c r="J12" s="69">
        <v>1</v>
      </c>
    </row>
    <row r="13" ht="18" customHeight="1" spans="1:10" x14ac:dyDescent="0.25">
      <c r="A13" s="56" t="s">
        <v>103</v>
      </c>
      <c r="B13" s="54" t="s">
        <v>101</v>
      </c>
      <c r="C13" s="54" t="s">
        <v>102</v>
      </c>
      <c r="D13" s="54" t="s">
        <v>77</v>
      </c>
      <c r="E13" s="57">
        <v>3</v>
      </c>
      <c r="F13" s="57">
        <v>2</v>
      </c>
      <c r="G13" s="76">
        <v>0.6666666666666666</v>
      </c>
      <c r="H13" s="57">
        <v>160</v>
      </c>
      <c r="I13" s="60">
        <v>1</v>
      </c>
      <c r="J13" s="60">
        <v>1</v>
      </c>
    </row>
    <row r="14" ht="22" customHeight="1" spans="1:10" x14ac:dyDescent="0.25">
      <c r="A14" s="74" t="s">
        <v>106</v>
      </c>
      <c r="B14" s="74"/>
      <c r="C14" s="74"/>
      <c r="D14" s="74"/>
      <c r="E14" s="74"/>
      <c r="F14" s="75">
        <f>SUBTOTAL(109,F7:F13)</f>
        <v>18</v>
      </c>
      <c r="G14" s="74"/>
      <c r="H14" s="75">
        <f>SUBTOTAL(109,H7:H13)</f>
        <v>1360</v>
      </c>
      <c r="I14" s="74"/>
      <c r="J14" s="75">
        <f>SUBTOTAL(109,J7:J13)</f>
        <v>8</v>
      </c>
    </row>
  </sheetData>
  <autoFilter ref="A6:J13"/>
  <pageMargins left="0.4" right="0.4" top="0.5" bottom="0.5" header="0.2" footer="0.2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6202A"/>
    <pageSetUpPr fitToPage="1"/>
  </sheetPr>
  <dimension ref="A1:H14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" customWidth="1"/>
    <col min="3" max="3" width="14" customWidth="1"/>
    <col min="4" max="4" width="10" customWidth="1"/>
    <col min="5" max="5" width="32" customWidth="1"/>
    <col min="6" max="6" width="60" customWidth="1"/>
    <col min="7" max="7" width="14" customWidth="1"/>
    <col min="8" max="8" width="12" customWidth="1"/>
  </cols>
  <sheetData>
    <row r="1" ht="6" customHeight="1" spans="1:8" x14ac:dyDescent="0.25">
      <c r="A1" s="1"/>
      <c r="B1" s="1"/>
      <c r="C1" s="1"/>
      <c r="D1" s="1"/>
      <c r="E1" s="1"/>
      <c r="F1" s="1"/>
      <c r="G1" s="1"/>
      <c r="H1" s="1"/>
    </row>
    <row r="2" ht="8" customHeight="1" x14ac:dyDescent="0.25"/>
    <row r="3" ht="26" customHeight="1" spans="1:1" x14ac:dyDescent="0.25">
      <c r="A3" s="51" t="s">
        <v>113</v>
      </c>
    </row>
    <row r="4" ht="16" customHeight="1" spans="1:1" x14ac:dyDescent="0.25">
      <c r="A4" s="4" t="s">
        <v>114</v>
      </c>
    </row>
    <row r="5" ht="16" customHeight="1" spans="1:1" x14ac:dyDescent="0.25">
      <c r="A5" s="52" t="str">
        <f>HYPERLINK("#'Resumen'!A1","← volver al resumen")</f>
        <v>← volver al resumen</v>
      </c>
    </row>
    <row r="6" ht="26" customHeight="1" spans="1:8" x14ac:dyDescent="0.25">
      <c r="A6" s="53" t="s">
        <v>115</v>
      </c>
      <c r="B6" s="53" t="s">
        <v>116</v>
      </c>
      <c r="C6" s="53" t="s">
        <v>57</v>
      </c>
      <c r="D6" s="53" t="s">
        <v>58</v>
      </c>
      <c r="E6" s="53" t="s">
        <v>59</v>
      </c>
      <c r="F6" s="53" t="s">
        <v>117</v>
      </c>
      <c r="G6" s="53" t="s">
        <v>39</v>
      </c>
      <c r="H6" s="53" t="s">
        <v>118</v>
      </c>
    </row>
    <row r="7" ht="18" customHeight="1" spans="1:8" x14ac:dyDescent="0.25">
      <c r="A7" s="79" t="s">
        <v>119</v>
      </c>
      <c r="B7" s="79" t="s">
        <v>96</v>
      </c>
      <c r="C7" s="54" t="s">
        <v>98</v>
      </c>
      <c r="D7" s="54" t="s">
        <v>99</v>
      </c>
      <c r="E7" s="54" t="s">
        <v>100</v>
      </c>
      <c r="F7" s="80" t="s">
        <v>120</v>
      </c>
      <c r="G7" s="54" t="s">
        <v>46</v>
      </c>
      <c r="H7" s="54" t="s">
        <v>25</v>
      </c>
    </row>
    <row r="8" ht="18" customHeight="1" spans="1:8" x14ac:dyDescent="0.25">
      <c r="A8" s="81" t="s">
        <v>121</v>
      </c>
      <c r="B8" s="81" t="s">
        <v>96</v>
      </c>
      <c r="C8" s="63" t="s">
        <v>86</v>
      </c>
      <c r="D8" s="63" t="s">
        <v>79</v>
      </c>
      <c r="E8" s="63" t="s">
        <v>80</v>
      </c>
      <c r="F8" s="82" t="s">
        <v>122</v>
      </c>
      <c r="G8" s="63" t="s">
        <v>46</v>
      </c>
      <c r="H8" s="63" t="s">
        <v>25</v>
      </c>
    </row>
    <row r="9" ht="18" customHeight="1" spans="1:8" x14ac:dyDescent="0.25">
      <c r="A9" s="79" t="s">
        <v>35</v>
      </c>
      <c r="B9" s="79" t="s">
        <v>96</v>
      </c>
      <c r="C9" s="54" t="s">
        <v>88</v>
      </c>
      <c r="D9" s="54" t="s">
        <v>89</v>
      </c>
      <c r="E9" s="54" t="s">
        <v>90</v>
      </c>
      <c r="F9" s="80" t="s">
        <v>123</v>
      </c>
      <c r="G9" s="54" t="s">
        <v>46</v>
      </c>
      <c r="H9" s="54" t="s">
        <v>25</v>
      </c>
    </row>
    <row r="10" ht="18" customHeight="1" spans="1:8" x14ac:dyDescent="0.25">
      <c r="A10" s="81" t="s">
        <v>124</v>
      </c>
      <c r="B10" s="81" t="s">
        <v>96</v>
      </c>
      <c r="C10" s="63" t="s">
        <v>78</v>
      </c>
      <c r="D10" s="63" t="s">
        <v>79</v>
      </c>
      <c r="E10" s="63" t="s">
        <v>80</v>
      </c>
      <c r="F10" s="82" t="s">
        <v>125</v>
      </c>
      <c r="G10" s="63" t="s">
        <v>46</v>
      </c>
      <c r="H10" s="63" t="s">
        <v>25</v>
      </c>
    </row>
    <row r="11" ht="18" customHeight="1" spans="1:8" x14ac:dyDescent="0.25">
      <c r="A11" s="54" t="s">
        <v>71</v>
      </c>
      <c r="B11" s="54" t="s">
        <v>25</v>
      </c>
      <c r="C11" s="54" t="s">
        <v>92</v>
      </c>
      <c r="D11" s="54" t="s">
        <v>93</v>
      </c>
      <c r="E11" s="54" t="s">
        <v>94</v>
      </c>
      <c r="F11" s="80" t="s">
        <v>97</v>
      </c>
      <c r="G11" s="54" t="s">
        <v>46</v>
      </c>
      <c r="H11" s="54" t="s">
        <v>25</v>
      </c>
    </row>
    <row r="12" ht="32" customHeight="1" spans="1:8" x14ac:dyDescent="0.25">
      <c r="A12" s="63" t="s">
        <v>126</v>
      </c>
      <c r="B12" s="63" t="s">
        <v>25</v>
      </c>
      <c r="C12" s="63" t="s">
        <v>84</v>
      </c>
      <c r="D12" s="63" t="s">
        <v>79</v>
      </c>
      <c r="E12" s="63" t="s">
        <v>80</v>
      </c>
      <c r="F12" s="82" t="s">
        <v>127</v>
      </c>
      <c r="G12" s="63" t="s">
        <v>43</v>
      </c>
      <c r="H12" s="63" t="s">
        <v>25</v>
      </c>
    </row>
    <row r="13" ht="18" customHeight="1" spans="1:8" x14ac:dyDescent="0.25">
      <c r="A13" s="54" t="s">
        <v>128</v>
      </c>
      <c r="B13" s="54" t="s">
        <v>25</v>
      </c>
      <c r="C13" s="54" t="s">
        <v>88</v>
      </c>
      <c r="D13" s="54" t="s">
        <v>89</v>
      </c>
      <c r="E13" s="54" t="s">
        <v>90</v>
      </c>
      <c r="F13" s="80" t="s">
        <v>129</v>
      </c>
      <c r="G13" s="54" t="s">
        <v>46</v>
      </c>
      <c r="H13" s="54" t="s">
        <v>25</v>
      </c>
    </row>
    <row r="14" ht="18" customHeight="1" spans="1:8" x14ac:dyDescent="0.25">
      <c r="A14" s="63" t="s">
        <v>130</v>
      </c>
      <c r="B14" s="63" t="s">
        <v>25</v>
      </c>
      <c r="C14" s="63" t="s">
        <v>86</v>
      </c>
      <c r="D14" s="63" t="s">
        <v>25</v>
      </c>
      <c r="E14" s="63" t="s">
        <v>25</v>
      </c>
      <c r="F14" s="82" t="s">
        <v>131</v>
      </c>
      <c r="G14" s="63" t="s">
        <v>25</v>
      </c>
      <c r="H14" s="63" t="s">
        <v>25</v>
      </c>
    </row>
  </sheetData>
  <autoFilter ref="A6:H14"/>
  <dataValidations count="2">
    <dataValidation type="list" allowBlank="1" sqref="H10:H14">
      <formula1>"✓,Pendiente"</formula1>
    </dataValidation>
    <dataValidation type="list" allowBlank="1" sqref="H7:H14">
      <formula1>"✓,Pendiente"</formula1>
    </dataValidation>
  </dataValidations>
  <pageMargins left="0.4" right="0.4" top="0.5" bottom="0.5" header="0.2" footer="0.2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27478"/>
    <pageSetUpPr fitToPage="1"/>
  </sheetPr>
  <dimension ref="A1:F8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8" customWidth="1"/>
    <col min="5" max="5" width="18" customWidth="1"/>
    <col min="6" max="6" width="12" customWidth="1"/>
  </cols>
  <sheetData>
    <row r="1" ht="6" customHeight="1" spans="1:6" x14ac:dyDescent="0.25">
      <c r="A1" s="1"/>
      <c r="B1" s="1"/>
      <c r="C1" s="1"/>
      <c r="D1" s="1"/>
      <c r="E1" s="1"/>
      <c r="F1" s="1"/>
    </row>
    <row r="2" ht="8" customHeight="1" x14ac:dyDescent="0.25"/>
    <row r="3" ht="26" customHeight="1" spans="1:1" x14ac:dyDescent="0.25">
      <c r="A3" s="51" t="s">
        <v>132</v>
      </c>
    </row>
    <row r="4" ht="16" customHeight="1" spans="1:1" x14ac:dyDescent="0.25">
      <c r="A4" s="4" t="s">
        <v>133</v>
      </c>
    </row>
    <row r="5" ht="16" customHeight="1" spans="1:1" x14ac:dyDescent="0.25">
      <c r="A5" s="52" t="str">
        <f>HYPERLINK("#'Resumen'!A1","← volver al resumen")</f>
        <v>← volver al resumen</v>
      </c>
    </row>
    <row r="6" ht="26" customHeight="1" spans="1:6" x14ac:dyDescent="0.25">
      <c r="A6" s="53" t="s">
        <v>57</v>
      </c>
      <c r="B6" s="53" t="s">
        <v>54</v>
      </c>
      <c r="C6" s="53" t="s">
        <v>55</v>
      </c>
      <c r="D6" s="53" t="s">
        <v>56</v>
      </c>
      <c r="E6" s="53" t="s">
        <v>61</v>
      </c>
      <c r="F6" s="53" t="s">
        <v>134</v>
      </c>
    </row>
    <row r="7" ht="18" customHeight="1" spans="1:6" x14ac:dyDescent="0.25">
      <c r="A7" s="54" t="s">
        <v>135</v>
      </c>
      <c r="B7" s="54" t="s">
        <v>136</v>
      </c>
      <c r="C7" s="54" t="s">
        <v>76</v>
      </c>
      <c r="D7" s="54" t="s">
        <v>83</v>
      </c>
      <c r="E7" s="54" t="s">
        <v>25</v>
      </c>
      <c r="F7" s="57">
        <v>3</v>
      </c>
    </row>
    <row r="8" ht="18" customHeight="1" spans="1:6" x14ac:dyDescent="0.25">
      <c r="A8" s="63" t="s">
        <v>137</v>
      </c>
      <c r="B8" s="63" t="s">
        <v>136</v>
      </c>
      <c r="C8" s="63" t="s">
        <v>85</v>
      </c>
      <c r="D8" s="63" t="s">
        <v>77</v>
      </c>
      <c r="E8" s="63" t="s">
        <v>25</v>
      </c>
      <c r="F8" s="66">
        <v>3</v>
      </c>
    </row>
  </sheetData>
  <autoFilter ref="A6:F8"/>
  <pageMargins left="0.4" right="0.4" top="0.5" bottom="0.5" header="0.2" footer="0.2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Base</vt:lpstr>
      <vt:lpstr>Por material</vt:lpstr>
      <vt:lpstr>Por ubicación</vt:lpstr>
      <vt:lpstr>Validar</vt:lpstr>
      <vt:lpstr>Sin contar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· Inventario</dc:creator>
  <dc:title/>
  <dc:subject/>
  <dc:description/>
  <cp:keywords/>
  <cp:category/>
  <cp:lastModifiedBy>Unknown</cp:lastModifiedBy>
  <dcterms:created xsi:type="dcterms:W3CDTF">2026-09-22T17:02:18Z</dcterms:created>
  <dcterms:modified xsi:type="dcterms:W3CDTF">2026-09-22T17:02:18Z</dcterms:modified>
</cp:coreProperties>
</file>