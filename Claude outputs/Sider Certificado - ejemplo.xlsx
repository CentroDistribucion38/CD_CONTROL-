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ada" state="visible" r:id="rId4"/>
    <sheet sheetId="2" name="Base de datos" state="visible" r:id="rId5"/>
    <sheet sheetId="3" name="Seguimiento" state="visible" r:id="rId6"/>
    <sheet sheetId="4" name="Evidencia" state="visible" r:id="rId7"/>
    <sheet sheetId="5" name="Fotos" state="visible" r:id="rId8"/>
  </sheets>
  <calcPr calcId="171027"/>
</workbook>
</file>

<file path=xl/sharedStrings.xml><?xml version="1.0" encoding="utf-8"?>
<sst xmlns="http://schemas.openxmlformats.org/spreadsheetml/2006/main" count="302" uniqueCount="111">
  <si>
    <t>SIDER CERTIFICADO</t>
  </si>
  <si>
    <t>agosto 2026</t>
  </si>
  <si>
    <t>Viajes certificados</t>
  </si>
  <si>
    <t>Hectolitros</t>
  </si>
  <si>
    <t>Sider</t>
  </si>
  <si>
    <t>HL EER recibido (ZLDE)</t>
  </si>
  <si>
    <t>% Certificación</t>
  </si>
  <si>
    <t>Meta</t>
  </si>
  <si>
    <t>QUÉ HAY EN ESTE ARCHIVO</t>
  </si>
  <si>
    <t>Base de datos</t>
  </si>
  <si>
    <t>Un renglón por viaje. Las columnas en gris no se guardan: se calculan del material y las estibas.</t>
  </si>
  <si>
    <t>Seguimiento</t>
  </si>
  <si>
    <t>El informe del mes. BU MTD es la meta en HL; el % es Real contra HL recibido.</t>
  </si>
  <si>
    <t>Evidencia</t>
  </si>
  <si>
    <t>Dónde y cuándo se certificó cada punta, con coordenadas, precisión y quién lo hizo.</t>
  </si>
  <si>
    <t>Fotos</t>
  </si>
  <si>
    <t>Las tres fotos por punta, incrustadas. Cada una viene sellada con placa, fecha, hora y coordenadas.</t>
  </si>
  <si>
    <t>Generado el 8 de septiembre de 2026 a las 8:58 p. m. por cpadilla@bavaria.co · CONTROL · CD38 Ag01 Barranquilla</t>
  </si>
  <si>
    <t>Placa</t>
  </si>
  <si>
    <t>CD Origen</t>
  </si>
  <si>
    <t>CD Destino</t>
  </si>
  <si>
    <t>Material</t>
  </si>
  <si>
    <t>SKU</t>
  </si>
  <si>
    <t>Tipo envase</t>
  </si>
  <si>
    <t>Estibas</t>
  </si>
  <si>
    <t>Cajas</t>
  </si>
  <si>
    <t>Unidades</t>
  </si>
  <si>
    <t>HL</t>
  </si>
  <si>
    <t>Fecha</t>
  </si>
  <si>
    <t>Mes</t>
  </si>
  <si>
    <t>Semana</t>
  </si>
  <si>
    <t>Año</t>
  </si>
  <si>
    <t>Estado</t>
  </si>
  <si>
    <t>Salida</t>
  </si>
  <si>
    <t>Fotos salida</t>
  </si>
  <si>
    <t>Llegada</t>
  </si>
  <si>
    <t>Fotos llegada</t>
  </si>
  <si>
    <t>Quién certificó</t>
  </si>
  <si>
    <t>Observación</t>
  </si>
  <si>
    <t>JYN141</t>
  </si>
  <si>
    <t>CD Santa Marta</t>
  </si>
  <si>
    <t>Barranquilla</t>
  </si>
  <si>
    <t>Envase Flint 330R</t>
  </si>
  <si>
    <t>3500213</t>
  </si>
  <si>
    <t>EER</t>
  </si>
  <si>
    <t>agosto</t>
  </si>
  <si>
    <t>recibido</t>
  </si>
  <si>
    <t>3/3</t>
  </si>
  <si>
    <t>cpadilla</t>
  </si>
  <si>
    <t/>
  </si>
  <si>
    <t>JYN142</t>
  </si>
  <si>
    <t>CD OL Curumani</t>
  </si>
  <si>
    <t>JYN143</t>
  </si>
  <si>
    <t>CD La Arenosa</t>
  </si>
  <si>
    <t>Llegó con el precinto cambiado, se dejó constancia con el conductor.</t>
  </si>
  <si>
    <t>JYN144</t>
  </si>
  <si>
    <t>CD Valledupar</t>
  </si>
  <si>
    <t>JYN145</t>
  </si>
  <si>
    <t>CD Turbaco</t>
  </si>
  <si>
    <t>1/3</t>
  </si>
  <si>
    <t>JYN146</t>
  </si>
  <si>
    <t>CD OL Fonseca</t>
  </si>
  <si>
    <t>JYN147</t>
  </si>
  <si>
    <t>CD Galapa</t>
  </si>
  <si>
    <t>en tránsito</t>
  </si>
  <si>
    <t>0/3</t>
  </si>
  <si>
    <t>Total</t>
  </si>
  <si>
    <t>SIDER CERTIFICADO · AGOSTO 2026</t>
  </si>
  <si>
    <t>Centro de Origen</t>
  </si>
  <si>
    <t>HL EER Recibido</t>
  </si>
  <si>
    <t>BU MTD</t>
  </si>
  <si>
    <t>Real MTD</t>
  </si>
  <si>
    <t>Viajes</t>
  </si>
  <si>
    <t>CD Unión Monteria</t>
  </si>
  <si>
    <t>CD Corozal</t>
  </si>
  <si>
    <t>CD OL Riohacha</t>
  </si>
  <si>
    <t>CD OL Magangue</t>
  </si>
  <si>
    <t>Total general</t>
  </si>
  <si>
    <t>BU MTD = HL EER Recibido × 10%. % Certificación = Real MTD ÷ HL EER Recibido (no contra el BU).</t>
  </si>
  <si>
    <t>Fuera del total, por estar marcados "no aplica sider" en el maestro: CD OL Cúcuta Local (2019.4 HL) · CD Unión Caucasia (154.1 HL) · KACartagena (25.9 HL) · CD OL San Andrés (18.9 HL)</t>
  </si>
  <si>
    <t>Punta</t>
  </si>
  <si>
    <t>Cuándo</t>
  </si>
  <si>
    <t>Dirección</t>
  </si>
  <si>
    <t>Latitud</t>
  </si>
  <si>
    <t>Longitud</t>
  </si>
  <si>
    <t>Precisión (m)</t>
  </si>
  <si>
    <t>Quién</t>
  </si>
  <si>
    <t>Nota</t>
  </si>
  <si>
    <t>Ver en el mapa</t>
  </si>
  <si>
    <t>Cra 51B #80-58, El Prado, Barranquilla</t>
  </si>
  <si>
    <t>abrir mapa</t>
  </si>
  <si>
    <t>Vía 40 #79-393, Barranquillita, Barranquilla</t>
  </si>
  <si>
    <t>Recibido en muelle 3</t>
  </si>
  <si>
    <t>JYN141 · SALIDA · CD Santa Marta · 5/08/2026, 1:20 p. m.</t>
  </si>
  <si>
    <t>Cra 51B #80-58, El Prado, Barranquilla  ·  10.980000, -74.780000  ·  ±12 m</t>
  </si>
  <si>
    <t>Costado izquierdo</t>
  </si>
  <si>
    <t>Costado derecho</t>
  </si>
  <si>
    <t>JYN141 · LLEGADA · CD Santa Marta · 5/08/2026, 7:40 p. m.</t>
  </si>
  <si>
    <t>Vía 40 #79-393, Barranquillita, Barranquilla  ·  10.910000, -74.800000  ·  ±9 m</t>
  </si>
  <si>
    <t>JYN142 · SALIDA · CD OL Curumani · 6/08/2026, 1:20 p. m.</t>
  </si>
  <si>
    <t>JYN142 · LLEGADA · CD OL Curumani · 6/08/2026, 7:40 p. m.</t>
  </si>
  <si>
    <t>JYN143 · SALIDA · CD La Arenosa · 7/08/2026, 1:20 p. m.</t>
  </si>
  <si>
    <t>JYN143 · LLEGADA · CD La Arenosa · 7/08/2026, 7:40 p. m.</t>
  </si>
  <si>
    <t>JYN144 · SALIDA · CD Valledupar · 8/08/2026, 1:20 p. m.</t>
  </si>
  <si>
    <t>Cra 51B #80-58, El Prado, Barranquilla  ·  10.980000, -74.780000  ·  ±340 m</t>
  </si>
  <si>
    <t>JYN144 · LLEGADA · CD Valledupar · 8/08/2026, 7:40 p. m.</t>
  </si>
  <si>
    <t>JYN145 · SALIDA · CD Turbaco · 9/08/2026, 1:20 p. m.</t>
  </si>
  <si>
    <t>JYN145 · LLEGADA · CD Turbaco · 9/08/2026, 7:40 p. m.</t>
  </si>
  <si>
    <t>JYN146 · SALIDA · CD OL Fonseca · 10/08/2026, 1:20 p. m.</t>
  </si>
  <si>
    <t>JYN146 · LLEGADA · CD OL Fonseca · 10/08/2026, 7:40 p. m.</t>
  </si>
  <si>
    <t>JYN147 · SALIDA · CD Galapa · 11/08/2026, 1:20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</si>
</sst>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"/>
    <numFmt numFmtId="165" formatCode="0.0%"/>
    <numFmt numFmtId="166" formatCode="dd/mm/yyyy"/>
    <numFmt numFmtId="167" formatCode="dd/mm/yyyy hh:mm"/>
    <numFmt numFmtId="168" formatCode="dd/mm/yyyy hh:mm:ss"/>
    <numFmt numFmtId="169" formatCode="0.0000000"/>
  </numFmts>
  <fonts count="19" x14ac:knownFonts="1">
    <font>
      <color theme="1"/>
      <family val="2"/>
      <scheme val="minor"/>
      <sz val="11"/>
      <name val="Calibri"/>
    </font>
    <font>
      <b/>
      <color rgb="FFFFFFFF"/>
      <sz val="26"/>
      <name val="Calibri"/>
    </font>
    <font>
      <color rgb="FF9FD3D9"/>
      <sz val="13"/>
      <name val="Calibri"/>
    </font>
    <font>
      <b/>
      <color rgb="FF5B6B7F"/>
      <sz val="10"/>
      <name val="Calibri"/>
    </font>
    <font>
      <b/>
      <color rgb="FF04203F"/>
      <sz val="14"/>
      <name val="Calibri"/>
    </font>
    <font>
      <b/>
      <color rgb="FFE4002B"/>
      <sz val="14"/>
      <name val="Calibri"/>
    </font>
    <font>
      <b/>
      <color rgb="FF0B7285"/>
      <sz val="10"/>
      <name val="Calibri"/>
    </font>
    <font>
      <b/>
      <color rgb="FF04203F"/>
      <sz val="10"/>
      <name val="Calibri"/>
    </font>
    <font>
      <color rgb="FF5B6B7F"/>
      <sz val="9.5"/>
      <name val="Calibri"/>
    </font>
    <font>
      <i/>
      <color rgb="FF93A3B6"/>
      <sz val="9"/>
      <name val="Calibri"/>
    </font>
    <font>
      <b/>
      <color rgb="FFFFFFFF"/>
      <sz val="9"/>
      <name val="Calibri"/>
    </font>
    <font>
      <b/>
      <color rgb="FFE4002B"/>
    </font>
    <font>
      <b/>
      <color rgb="FF04203F"/>
    </font>
    <font>
      <b/>
      <color rgb="FFFFFFFF"/>
      <sz val="13"/>
      <name val="Calibri"/>
    </font>
    <font>
      <b/>
      <color rgb="FF0F7A4A"/>
    </font>
    <font>
      <color rgb="FF5B6B7F"/>
      <sz val="9"/>
      <name val="Calibri"/>
    </font>
    <font>
      <u/>
      <color rgb="FF0B7285"/>
    </font>
    <font>
      <b/>
      <color rgb="FFFFFFFF"/>
      <sz val="11"/>
      <name val="Calibri"/>
    </font>
    <font>
      <b/>
      <color rgb="FF0B7285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4203F"/>
      </patternFill>
    </fill>
    <fill>
      <patternFill patternType="solid">
        <fgColor rgb="FFF7F9FC"/>
      </patternFill>
    </fill>
    <fill>
      <patternFill patternType="solid">
        <fgColor rgb="FF5B6B7F"/>
      </patternFill>
    </fill>
    <fill>
      <patternFill patternType="solid">
        <fgColor rgb="FFFDF0D5"/>
      </patternFill>
    </fill>
  </fills>
  <borders count="5">
    <border>
      <left/>
      <right/>
      <top/>
      <bottom/>
      <diagonal/>
    </border>
    <border>
      <left/>
      <right/>
      <top/>
      <bottom style="thin">
        <color rgb="FFD5DCE5"/>
      </bottom>
      <diagonal/>
    </border>
    <border>
      <left/>
      <right/>
      <top style="medium">
        <color rgb="FF04203F"/>
      </top>
      <bottom/>
      <diagonal/>
    </border>
    <border>
      <left/>
      <right/>
      <top/>
      <bottom style="hair">
        <color rgb="FFD5DCE5"/>
      </bottom>
      <diagonal/>
    </border>
    <border>
      <left/>
      <right/>
      <top style="medium">
        <color rgb="FFE9A81F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1" xfId="0" applyFont="1" applyFill="1" applyBorder="1"/>
    <xf numFmtId="1" fontId="4" fillId="3" borderId="1" xfId="0" applyNumberFormat="1" applyFont="1" applyFill="1" applyBorder="1" applyAlignment="1">
      <alignment horizontal="left"/>
    </xf>
    <xf numFmtId="4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9" fontId="4" fillId="3" borderId="1" xfId="0" applyNumberFormat="1" applyFont="1" applyFill="1" applyBorder="1" applyAlignment="1">
      <alignment horizontal="left"/>
    </xf>
    <xf numFmtId="0" fontId="6" fillId="0" borderId="0" xfId="0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4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3" borderId="0" xfId="0" applyFill="1"/>
    <xf numFmtId="4" fontId="0" fillId="3" borderId="0" xfId="0" applyNumberFormat="1" applyFill="1"/>
    <xf numFmtId="3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0" fontId="11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3" fontId="12" fillId="0" borderId="2" xfId="0" applyNumberFormat="1" applyFont="1" applyBorder="1"/>
    <xf numFmtId="0" fontId="13" fillId="2" borderId="0" xfId="0" applyFont="1" applyFill="1" applyAlignment="1">
      <alignment horizontal="center" vertical="center"/>
    </xf>
    <xf numFmtId="0" fontId="0" fillId="0" borderId="3" xfId="0" applyBorder="1"/>
    <xf numFmtId="164" fontId="0" fillId="0" borderId="3" xfId="0" applyNumberFormat="1" applyBorder="1"/>
    <xf numFmtId="3" fontId="0" fillId="0" borderId="3" xfId="0" applyNumberFormat="1" applyBorder="1"/>
    <xf numFmtId="165" fontId="11" fillId="0" borderId="3" xfId="0" applyNumberFormat="1" applyFont="1" applyBorder="1"/>
    <xf numFmtId="0" fontId="0" fillId="3" borderId="3" xfId="0" applyFill="1" applyBorder="1"/>
    <xf numFmtId="164" fontId="0" fillId="3" borderId="3" xfId="0" applyNumberFormat="1" applyFill="1" applyBorder="1"/>
    <xf numFmtId="3" fontId="0" fillId="3" borderId="3" xfId="0" applyNumberFormat="1" applyFill="1" applyBorder="1"/>
    <xf numFmtId="165" fontId="11" fillId="3" borderId="3" xfId="0" applyNumberFormat="1" applyFont="1" applyFill="1" applyBorder="1"/>
    <xf numFmtId="165" fontId="14" fillId="3" borderId="3" xfId="0" applyNumberFormat="1" applyFont="1" applyFill="1" applyBorder="1"/>
    <xf numFmtId="165" fontId="14" fillId="0" borderId="3" xfId="0" applyNumberFormat="1" applyFont="1" applyBorder="1"/>
    <xf numFmtId="0" fontId="12" fillId="5" borderId="4" xfId="0" applyFont="1" applyFill="1" applyBorder="1"/>
    <xf numFmtId="164" fontId="12" fillId="5" borderId="4" xfId="0" applyNumberFormat="1" applyFont="1" applyFill="1" applyBorder="1"/>
    <xf numFmtId="3" fontId="12" fillId="5" borderId="4" xfId="0" applyNumberFormat="1" applyFont="1" applyFill="1" applyBorder="1"/>
    <xf numFmtId="165" fontId="12" fillId="5" borderId="4" xfId="0" applyNumberFormat="1" applyFont="1" applyFill="1" applyBorder="1"/>
    <xf numFmtId="0" fontId="15" fillId="0" borderId="0" xfId="0" applyFont="1" applyAlignment="1">
      <alignment vertical="top" wrapText="1"/>
    </xf>
    <xf numFmtId="168" fontId="0" fillId="0" borderId="0" xfId="0" applyNumberFormat="1"/>
    <xf numFmtId="169" fontId="0" fillId="0" borderId="0" xfId="0" applyNumberFormat="1"/>
    <xf numFmtId="0" fontId="16" fillId="0" borderId="0" xfId="0" applyFont="1"/>
    <xf numFmtId="168" fontId="0" fillId="3" borderId="0" xfId="0" applyNumberFormat="1" applyFill="1"/>
    <xf numFmtId="169" fontId="0" fillId="3" borderId="0" xfId="0" applyNumberFormat="1" applyFill="1"/>
    <xf numFmtId="0" fontId="16" fillId="3" borderId="0" xfId="0" applyFont="1" applyFill="1"/>
    <xf numFmtId="3" fontId="11" fillId="0" borderId="0" xfId="0" applyNumberFormat="1" applyFont="1"/>
    <xf numFmtId="0" fontId="17" fillId="2" borderId="0" xfId="0" applyFont="1" applyFill="1" applyAlignment="1">
      <alignment vertical="center" indent="1"/>
    </xf>
    <xf numFmtId="0" fontId="15" fillId="0" borderId="0" xfId="0" applyFont="1" applyAlignment="1">
      <alignment indent="1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3.jpeg"/><Relationship Id="rId3" Type="http://schemas.openxmlformats.org/officeDocument/2006/relationships/image" Target="../media/image4.jpeg"/><Relationship Id="rId4" Type="http://schemas.openxmlformats.org/officeDocument/2006/relationships/image" Target="../media/image5.jpeg"/><Relationship Id="rId5" Type="http://schemas.openxmlformats.org/officeDocument/2006/relationships/image" Target="../media/image6.jpeg"/><Relationship Id="rId6" Type="http://schemas.openxmlformats.org/officeDocument/2006/relationships/image" Target="../media/image7.jpeg"/><Relationship Id="rId7" Type="http://schemas.openxmlformats.org/officeDocument/2006/relationships/image" Target="../media/image8.jpeg"/><Relationship Id="rId8" Type="http://schemas.openxmlformats.org/officeDocument/2006/relationships/image" Target="../media/image9.jpeg"/><Relationship Id="rId9" Type="http://schemas.openxmlformats.org/officeDocument/2006/relationships/image" Target="../media/image10.jpeg"/><Relationship Id="rId10" Type="http://schemas.openxmlformats.org/officeDocument/2006/relationships/image" Target="../media/image11.jpeg"/><Relationship Id="rId11" Type="http://schemas.openxmlformats.org/officeDocument/2006/relationships/image" Target="../media/image12.jpeg"/><Relationship Id="rId12" Type="http://schemas.openxmlformats.org/officeDocument/2006/relationships/image" Target="../media/image13.jpeg"/><Relationship Id="rId13" Type="http://schemas.openxmlformats.org/officeDocument/2006/relationships/image" Target="../media/image14.jpeg"/><Relationship Id="rId14" Type="http://schemas.openxmlformats.org/officeDocument/2006/relationships/image" Target="../media/image15.jpeg"/><Relationship Id="rId15" Type="http://schemas.openxmlformats.org/officeDocument/2006/relationships/image" Target="../media/image16.jpeg"/><Relationship Id="rId16" Type="http://schemas.openxmlformats.org/officeDocument/2006/relationships/image" Target="../media/image17.jpeg"/><Relationship Id="rId17" Type="http://schemas.openxmlformats.org/officeDocument/2006/relationships/image" Target="../media/image18.jpeg"/><Relationship Id="rId18" Type="http://schemas.openxmlformats.org/officeDocument/2006/relationships/image" Target="../media/image19.jpeg"/><Relationship Id="rId19" Type="http://schemas.openxmlformats.org/officeDocument/2006/relationships/image" Target="../media/image20.jpeg"/><Relationship Id="rId20" Type="http://schemas.openxmlformats.org/officeDocument/2006/relationships/image" Target="../media/image21.jpeg"/><Relationship Id="rId21" Type="http://schemas.openxmlformats.org/officeDocument/2006/relationships/image" Target="../media/image22.jpeg"/><Relationship Id="rId22" Type="http://schemas.openxmlformats.org/officeDocument/2006/relationships/image" Target="../media/image23.jpeg"/><Relationship Id="rId23" Type="http://schemas.openxmlformats.org/officeDocument/2006/relationships/image" Target="../media/image24.jpeg"/><Relationship Id="rId24" Type="http://schemas.openxmlformats.org/officeDocument/2006/relationships/image" Target="../media/image25.jpeg"/><Relationship Id="rId25" Type="http://schemas.openxmlformats.org/officeDocument/2006/relationships/image" Target="../media/image26.jpeg"/><Relationship Id="rId26" Type="http://schemas.openxmlformats.org/officeDocument/2006/relationships/image" Target="../media/image27.jpeg"/><Relationship Id="rId27" Type="http://schemas.openxmlformats.org/officeDocument/2006/relationships/image" Target="../media/image28.jpeg"/><Relationship Id="rId28" Type="http://schemas.openxmlformats.org/officeDocument/2006/relationships/image" Target="../media/image29.jpeg"/><Relationship Id="rId29" Type="http://schemas.openxmlformats.org/officeDocument/2006/relationships/image" Target="../media/image30.jpeg"/><Relationship Id="rId30" Type="http://schemas.openxmlformats.org/officeDocument/2006/relationships/image" Target="../media/image31.jpeg"/><Relationship Id="rId31" Type="http://schemas.openxmlformats.org/officeDocument/2006/relationships/image" Target="../media/image32.jpeg"/><Relationship Id="rId32" Type="http://schemas.openxmlformats.org/officeDocument/2006/relationships/image" Target="../media/image33.jpeg"/><Relationship Id="rId33" Type="http://schemas.openxmlformats.org/officeDocument/2006/relationships/image" Target="../media/image34.jpeg"/><Relationship Id="rId34" Type="http://schemas.openxmlformats.org/officeDocument/2006/relationships/image" Target="../media/image35.jpeg"/><Relationship Id="rId35" Type="http://schemas.openxmlformats.org/officeDocument/2006/relationships/image" Target="../media/image36.jpeg"/><Relationship Id="rId36" Type="http://schemas.openxmlformats.org/officeDocument/2006/relationships/image" Target="../media/image37.jpeg"/><Relationship Id="rId37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30000</xdr:colOff>
      <xdr:row>1</xdr:row>
      <xdr:rowOff>35999</xdr:rowOff>
    </xdr:from>
    <xdr:ext cx="704850" cy="704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15000</xdr:colOff>
      <xdr:row>3</xdr:row>
      <xdr:rowOff>65999</xdr:rowOff>
    </xdr:from>
    <xdr:ext cx="1905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3</xdr:row>
      <xdr:rowOff>65999</xdr:rowOff>
    </xdr:from>
    <xdr:ext cx="1905000" cy="1428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3</xdr:row>
      <xdr:rowOff>65999</xdr:rowOff>
    </xdr:from>
    <xdr:ext cx="1905000" cy="14287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8</xdr:row>
      <xdr:rowOff>66000</xdr:rowOff>
    </xdr:from>
    <xdr:ext cx="1905000" cy="14287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8</xdr:row>
      <xdr:rowOff>66000</xdr:rowOff>
    </xdr:from>
    <xdr:ext cx="1905000" cy="14287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8</xdr:row>
      <xdr:rowOff>66000</xdr:rowOff>
    </xdr:from>
    <xdr:ext cx="1905000" cy="14287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13</xdr:row>
      <xdr:rowOff>66000</xdr:rowOff>
    </xdr:from>
    <xdr:ext cx="1905000" cy="14287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13</xdr:row>
      <xdr:rowOff>66000</xdr:rowOff>
    </xdr:from>
    <xdr:ext cx="1905000" cy="14287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13</xdr:row>
      <xdr:rowOff>66000</xdr:rowOff>
    </xdr:from>
    <xdr:ext cx="1905000" cy="14287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18</xdr:row>
      <xdr:rowOff>66000</xdr:rowOff>
    </xdr:from>
    <xdr:ext cx="1905000" cy="14287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18</xdr:row>
      <xdr:rowOff>66000</xdr:rowOff>
    </xdr:from>
    <xdr:ext cx="1905000" cy="14287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18</xdr:row>
      <xdr:rowOff>66000</xdr:rowOff>
    </xdr:from>
    <xdr:ext cx="1905000" cy="14287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23</xdr:row>
      <xdr:rowOff>66000</xdr:rowOff>
    </xdr:from>
    <xdr:ext cx="1905000" cy="14287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23</xdr:row>
      <xdr:rowOff>66000</xdr:rowOff>
    </xdr:from>
    <xdr:ext cx="1905000" cy="14287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23</xdr:row>
      <xdr:rowOff>66000</xdr:rowOff>
    </xdr:from>
    <xdr:ext cx="1905000" cy="14287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28</xdr:row>
      <xdr:rowOff>66000</xdr:rowOff>
    </xdr:from>
    <xdr:ext cx="1905000" cy="14287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28</xdr:row>
      <xdr:rowOff>66000</xdr:rowOff>
    </xdr:from>
    <xdr:ext cx="1905000" cy="14287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28</xdr:row>
      <xdr:rowOff>66000</xdr:rowOff>
    </xdr:from>
    <xdr:ext cx="1905000" cy="14287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33</xdr:row>
      <xdr:rowOff>65999</xdr:rowOff>
    </xdr:from>
    <xdr:ext cx="1905000" cy="14287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33</xdr:row>
      <xdr:rowOff>65999</xdr:rowOff>
    </xdr:from>
    <xdr:ext cx="1905000" cy="14287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33</xdr:row>
      <xdr:rowOff>65999</xdr:rowOff>
    </xdr:from>
    <xdr:ext cx="1905000" cy="14287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38</xdr:row>
      <xdr:rowOff>65999</xdr:rowOff>
    </xdr:from>
    <xdr:ext cx="1905000" cy="14287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38</xdr:row>
      <xdr:rowOff>65999</xdr:rowOff>
    </xdr:from>
    <xdr:ext cx="1905000" cy="14287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38</xdr:row>
      <xdr:rowOff>65999</xdr:rowOff>
    </xdr:from>
    <xdr:ext cx="1905000" cy="14287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43</xdr:row>
      <xdr:rowOff>65999</xdr:rowOff>
    </xdr:from>
    <xdr:ext cx="1905000" cy="14287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48</xdr:row>
      <xdr:rowOff>65999</xdr:rowOff>
    </xdr:from>
    <xdr:ext cx="1905000" cy="14287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48</xdr:row>
      <xdr:rowOff>65999</xdr:rowOff>
    </xdr:from>
    <xdr:ext cx="1905000" cy="14287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48</xdr:row>
      <xdr:rowOff>65999</xdr:rowOff>
    </xdr:from>
    <xdr:ext cx="1905000" cy="14287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53</xdr:row>
      <xdr:rowOff>65999</xdr:rowOff>
    </xdr:from>
    <xdr:ext cx="1905000" cy="14287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53</xdr:row>
      <xdr:rowOff>65999</xdr:rowOff>
    </xdr:from>
    <xdr:ext cx="1905000" cy="14287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53</xdr:row>
      <xdr:rowOff>65999</xdr:rowOff>
    </xdr:from>
    <xdr:ext cx="1905000" cy="14287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58</xdr:row>
      <xdr:rowOff>65999</xdr:rowOff>
    </xdr:from>
    <xdr:ext cx="1905000" cy="14287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58</xdr:row>
      <xdr:rowOff>65999</xdr:rowOff>
    </xdr:from>
    <xdr:ext cx="1905000" cy="14287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58</xdr:row>
      <xdr:rowOff>65999</xdr:rowOff>
    </xdr:from>
    <xdr:ext cx="1905000" cy="14287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15000</xdr:colOff>
      <xdr:row>63</xdr:row>
      <xdr:rowOff>65999</xdr:rowOff>
    </xdr:from>
    <xdr:ext cx="1905000" cy="14287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14999</xdr:colOff>
      <xdr:row>63</xdr:row>
      <xdr:rowOff>65999</xdr:rowOff>
    </xdr:from>
    <xdr:ext cx="1905000" cy="14287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3</xdr:col>
      <xdr:colOff>14999</xdr:colOff>
      <xdr:row>63</xdr:row>
      <xdr:rowOff>65999</xdr:rowOff>
    </xdr:from>
    <xdr:ext cx="1905000" cy="14287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penstreetmap.org/?mlat=10.98&amp;mlon=-74.78#map=17/10.98/-74.78" TargetMode="External"/><Relationship Id="rId2" Type="http://schemas.openxmlformats.org/officeDocument/2006/relationships/hyperlink" Target="https://www.openstreetmap.org/?mlat=10.91&amp;mlon=-74.8#map=17/10.91/-74.8" TargetMode="External"/><Relationship Id="rId3" Type="http://schemas.openxmlformats.org/officeDocument/2006/relationships/hyperlink" Target="https://www.openstreetmap.org/?mlat=10.98&amp;mlon=-74.78#map=17/10.98/-74.78" TargetMode="External"/><Relationship Id="rId4" Type="http://schemas.openxmlformats.org/officeDocument/2006/relationships/hyperlink" Target="https://www.openstreetmap.org/?mlat=10.91&amp;mlon=-74.8#map=17/10.91/-74.8" TargetMode="External"/><Relationship Id="rId5" Type="http://schemas.openxmlformats.org/officeDocument/2006/relationships/hyperlink" Target="https://www.openstreetmap.org/?mlat=10.98&amp;mlon=-74.78#map=17/10.98/-74.78" TargetMode="External"/><Relationship Id="rId6" Type="http://schemas.openxmlformats.org/officeDocument/2006/relationships/hyperlink" Target="https://www.openstreetmap.org/?mlat=10.91&amp;mlon=-74.8#map=17/10.91/-74.8" TargetMode="External"/><Relationship Id="rId7" Type="http://schemas.openxmlformats.org/officeDocument/2006/relationships/hyperlink" Target="https://www.openstreetmap.org/?mlat=10.98&amp;mlon=-74.78#map=17/10.98/-74.78" TargetMode="External"/><Relationship Id="rId8" Type="http://schemas.openxmlformats.org/officeDocument/2006/relationships/hyperlink" Target="https://www.openstreetmap.org/?mlat=10.91&amp;mlon=-74.8#map=17/10.91/-74.8" TargetMode="External"/><Relationship Id="rId9" Type="http://schemas.openxmlformats.org/officeDocument/2006/relationships/hyperlink" Target="https://www.openstreetmap.org/?mlat=10.98&amp;mlon=-74.78#map=17/10.98/-74.78" TargetMode="External"/><Relationship Id="rId10" Type="http://schemas.openxmlformats.org/officeDocument/2006/relationships/hyperlink" Target="https://www.openstreetmap.org/?mlat=10.91&amp;mlon=-74.8#map=17/10.91/-74.8" TargetMode="External"/><Relationship Id="rId11" Type="http://schemas.openxmlformats.org/officeDocument/2006/relationships/hyperlink" Target="https://www.openstreetmap.org/?mlat=10.98&amp;mlon=-74.78#map=17/10.98/-74.78" TargetMode="External"/><Relationship Id="rId12" Type="http://schemas.openxmlformats.org/officeDocument/2006/relationships/hyperlink" Target="https://www.openstreetmap.org/?mlat=10.91&amp;mlon=-74.8#map=17/10.91/-74.8" TargetMode="External"/><Relationship Id="rId13" Type="http://schemas.openxmlformats.org/officeDocument/2006/relationships/hyperlink" Target="https://www.openstreetmap.org/?mlat=10.98&amp;mlon=-74.78#map=17/10.98/-74.7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2"/>
  <sheetViews>
    <sheetView workbookViewId="0" showGridLines="0"/>
  </sheetViews>
  <sheetFormatPr defaultRowHeight="18" outlineLevelRow="0" outlineLevelCol="0" x14ac:dyDescent="55" customHeight="1"/>
  <cols>
    <col min="1" max="1" width="3" customWidth="1"/>
    <col min="2" max="2" width="30" customWidth="1"/>
    <col min="3" max="5" width="22" customWidth="1"/>
    <col min="6" max="6" width="24" customWidth="1"/>
  </cols>
  <sheetData>
    <row r="1" spans="1:6" x14ac:dyDescent="0.25">
      <c r="A1" s="1"/>
      <c r="B1" s="1"/>
      <c r="C1" s="1"/>
      <c r="D1" s="1"/>
      <c r="E1" s="1"/>
      <c r="F1" s="1"/>
    </row>
    <row r="2" spans="1:6" x14ac:dyDescent="0.25">
      <c r="A2" s="1"/>
      <c r="B2" s="1"/>
      <c r="C2" s="2" t="s">
        <v>0</v>
      </c>
      <c r="D2" s="2"/>
      <c r="E2" s="2"/>
      <c r="F2" s="2"/>
    </row>
    <row r="3" spans="1:6" x14ac:dyDescent="0.25">
      <c r="A3" s="1"/>
      <c r="B3" s="1"/>
      <c r="C3" s="2"/>
      <c r="D3" s="2"/>
      <c r="E3" s="2"/>
      <c r="F3" s="2"/>
    </row>
    <row r="4" spans="1:6" x14ac:dyDescent="0.25">
      <c r="A4" s="1"/>
      <c r="B4" s="1"/>
      <c r="C4" s="3" t="s">
        <v>1</v>
      </c>
      <c r="D4" s="3"/>
      <c r="E4" s="3"/>
      <c r="F4" s="3"/>
    </row>
    <row r="5" spans="1:6" x14ac:dyDescent="0.25">
      <c r="A5" s="1"/>
      <c r="B5" s="1"/>
      <c r="C5" s="3"/>
      <c r="D5" s="3"/>
      <c r="E5" s="3"/>
      <c r="F5" s="3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9" spans="2:3" x14ac:dyDescent="0.25">
      <c r="B9" s="4" t="s">
        <v>2</v>
      </c>
      <c r="C9" s="5">
        <v>7</v>
      </c>
    </row>
    <row r="10" spans="2:3" x14ac:dyDescent="0.25">
      <c r="B10" s="4" t="s">
        <v>3</v>
      </c>
      <c r="C10" s="6">
        <v>8360</v>
      </c>
    </row>
    <row r="11" spans="2:3" x14ac:dyDescent="0.25">
      <c r="B11" s="4" t="s">
        <v>4</v>
      </c>
      <c r="C11" s="6">
        <v>52.126</v>
      </c>
    </row>
    <row r="12" spans="2:3" x14ac:dyDescent="0.25">
      <c r="B12" s="4" t="s">
        <v>5</v>
      </c>
      <c r="C12" s="7">
        <v>246267.85400000002</v>
      </c>
    </row>
    <row r="13" spans="2:3" x14ac:dyDescent="0.25">
      <c r="B13" s="4" t="s">
        <v>6</v>
      </c>
      <c r="C13" s="8">
        <v>0.03394677731670167</v>
      </c>
    </row>
    <row r="14" spans="2:3" x14ac:dyDescent="0.25">
      <c r="B14" s="4" t="s">
        <v>7</v>
      </c>
      <c r="C14" s="9">
        <v>0.1</v>
      </c>
    </row>
    <row r="16" spans="2:6" x14ac:dyDescent="0.25">
      <c r="B16" s="10" t="s">
        <v>8</v>
      </c>
      <c r="C16" s="10"/>
      <c r="D16" s="10"/>
      <c r="E16" s="10"/>
      <c r="F16" s="10"/>
    </row>
    <row r="17" ht="32" customHeight="1" spans="2:6" x14ac:dyDescent="0.25">
      <c r="B17" s="11" t="s">
        <v>9</v>
      </c>
      <c r="C17" s="12" t="s">
        <v>10</v>
      </c>
      <c r="D17" s="12"/>
      <c r="E17" s="12"/>
      <c r="F17" s="12"/>
    </row>
    <row r="18" ht="32" customHeight="1" spans="2:6" x14ac:dyDescent="0.25">
      <c r="B18" s="11" t="s">
        <v>11</v>
      </c>
      <c r="C18" s="12" t="s">
        <v>12</v>
      </c>
      <c r="D18" s="12"/>
      <c r="E18" s="12"/>
      <c r="F18" s="12"/>
    </row>
    <row r="19" ht="32" customHeight="1" spans="2:6" x14ac:dyDescent="0.25">
      <c r="B19" s="11" t="s">
        <v>13</v>
      </c>
      <c r="C19" s="12" t="s">
        <v>14</v>
      </c>
      <c r="D19" s="12"/>
      <c r="E19" s="12"/>
      <c r="F19" s="12"/>
    </row>
    <row r="20" ht="32" customHeight="1" spans="2:6" x14ac:dyDescent="0.25">
      <c r="B20" s="11" t="s">
        <v>15</v>
      </c>
      <c r="C20" s="12" t="s">
        <v>16</v>
      </c>
      <c r="D20" s="12"/>
      <c r="E20" s="12"/>
      <c r="F20" s="12"/>
    </row>
    <row r="22" spans="2:6" x14ac:dyDescent="0.25">
      <c r="B22" s="13" t="s">
        <v>17</v>
      </c>
      <c r="C22" s="13"/>
      <c r="D22" s="13"/>
      <c r="E22" s="13"/>
      <c r="F22" s="13"/>
    </row>
  </sheetData>
  <mergeCells count="8">
    <mergeCell ref="C2:F3"/>
    <mergeCell ref="C4:F5"/>
    <mergeCell ref="B16:F16"/>
    <mergeCell ref="C17:F17"/>
    <mergeCell ref="C18:F18"/>
    <mergeCell ref="C19:F19"/>
    <mergeCell ref="C20:F20"/>
    <mergeCell ref="B22:F22"/>
  </mergeCells>
  <printOptions horizontalCentered="1"/>
  <pageMargins left="0.4" right="0.4" top="0.5" bottom="0.5" header="0.2" footer="0.2"/>
  <pageSetup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20" customWidth="1"/>
    <col min="3" max="3" width="14" customWidth="1"/>
    <col min="4" max="4" width="30" customWidth="1"/>
    <col min="5" max="5" width="10" customWidth="1"/>
    <col min="6" max="6" width="12" customWidth="1"/>
    <col min="9" max="9" width="11" customWidth="1"/>
    <col min="10" max="10" width="12" customWidth="1"/>
    <col min="11" max="11" width="11" customWidth="1"/>
    <col min="12" max="13" width="12" customWidth="1"/>
    <col min="14" max="14" width="8" customWidth="1"/>
    <col min="15" max="15" width="7" customWidth="1"/>
    <col min="16" max="16" width="12" customWidth="1"/>
    <col min="17" max="17" width="18" customWidth="1"/>
    <col min="18" max="18" width="11" customWidth="1"/>
    <col min="19" max="19" width="18" customWidth="1"/>
    <col min="20" max="20" width="12" customWidth="1"/>
    <col min="21" max="21" width="16" customWidth="1"/>
    <col min="22" max="22" width="40" customWidth="1"/>
  </cols>
  <sheetData>
    <row r="1" ht="26" customHeight="1" spans="1:22" x14ac:dyDescent="0.25">
      <c r="A1" s="14" t="s">
        <v>18</v>
      </c>
      <c r="B1" s="14" t="s">
        <v>19</v>
      </c>
      <c r="C1" s="14" t="s">
        <v>20</v>
      </c>
      <c r="D1" s="14" t="s">
        <v>21</v>
      </c>
      <c r="E1" s="14" t="s">
        <v>22</v>
      </c>
      <c r="F1" s="14" t="s">
        <v>23</v>
      </c>
      <c r="G1" s="14" t="s">
        <v>24</v>
      </c>
      <c r="H1" s="15" t="s">
        <v>4</v>
      </c>
      <c r="I1" s="15" t="s">
        <v>25</v>
      </c>
      <c r="J1" s="15" t="s">
        <v>26</v>
      </c>
      <c r="K1" s="15" t="s">
        <v>27</v>
      </c>
      <c r="L1" s="14" t="s">
        <v>28</v>
      </c>
      <c r="M1" s="15" t="s">
        <v>29</v>
      </c>
      <c r="N1" s="15" t="s">
        <v>30</v>
      </c>
      <c r="O1" s="15" t="s">
        <v>31</v>
      </c>
      <c r="P1" s="14" t="s">
        <v>32</v>
      </c>
      <c r="Q1" s="14" t="s">
        <v>33</v>
      </c>
      <c r="R1" s="14" t="s">
        <v>34</v>
      </c>
      <c r="S1" s="14" t="s">
        <v>35</v>
      </c>
      <c r="T1" s="14" t="s">
        <v>36</v>
      </c>
      <c r="U1" s="14" t="s">
        <v>37</v>
      </c>
      <c r="V1" s="14" t="s">
        <v>38</v>
      </c>
    </row>
    <row r="2" spans="1:22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s="16">
        <v>107.97</v>
      </c>
      <c r="H2" s="16">
        <v>2.9991</v>
      </c>
      <c r="I2" s="17">
        <v>4859</v>
      </c>
      <c r="J2" s="17">
        <v>145758</v>
      </c>
      <c r="K2" s="16">
        <v>481</v>
      </c>
      <c r="L2" s="18">
        <v>46239.555555555555</v>
      </c>
      <c r="M2" t="s">
        <v>45</v>
      </c>
      <c r="N2">
        <v>32</v>
      </c>
      <c r="O2">
        <v>2026</v>
      </c>
      <c r="P2" t="s">
        <v>46</v>
      </c>
      <c r="Q2" s="19">
        <v>46239.555555555555</v>
      </c>
      <c r="R2" t="s">
        <v>47</v>
      </c>
      <c r="S2" s="19">
        <v>46239.819444444445</v>
      </c>
      <c r="T2" t="s">
        <v>47</v>
      </c>
      <c r="U2" t="s">
        <v>48</v>
      </c>
      <c r="V2" t="s">
        <v>49</v>
      </c>
    </row>
    <row r="3" spans="1:22" x14ac:dyDescent="0.25">
      <c r="A3" s="20" t="s">
        <v>50</v>
      </c>
      <c r="B3" s="20" t="s">
        <v>51</v>
      </c>
      <c r="C3" s="20" t="s">
        <v>41</v>
      </c>
      <c r="D3" s="20" t="s">
        <v>42</v>
      </c>
      <c r="E3" s="20" t="s">
        <v>43</v>
      </c>
      <c r="F3" s="20" t="s">
        <v>44</v>
      </c>
      <c r="G3" s="21">
        <v>156.45</v>
      </c>
      <c r="H3" s="21">
        <v>4.3459</v>
      </c>
      <c r="I3" s="22">
        <v>7040</v>
      </c>
      <c r="J3" s="22">
        <v>211212</v>
      </c>
      <c r="K3" s="21">
        <v>697</v>
      </c>
      <c r="L3" s="23">
        <v>46240.555555555555</v>
      </c>
      <c r="M3" s="20" t="s">
        <v>45</v>
      </c>
      <c r="N3" s="20">
        <v>33</v>
      </c>
      <c r="O3" s="20">
        <v>2026</v>
      </c>
      <c r="P3" s="20" t="s">
        <v>46</v>
      </c>
      <c r="Q3" s="24">
        <v>46240.555555555555</v>
      </c>
      <c r="R3" s="20" t="s">
        <v>47</v>
      </c>
      <c r="S3" s="24">
        <v>46240.819444444445</v>
      </c>
      <c r="T3" s="20" t="s">
        <v>47</v>
      </c>
      <c r="U3" s="20" t="s">
        <v>48</v>
      </c>
      <c r="V3" s="20" t="s">
        <v>49</v>
      </c>
    </row>
    <row r="4" spans="1:22" x14ac:dyDescent="0.25">
      <c r="A4" t="s">
        <v>52</v>
      </c>
      <c r="B4" t="s">
        <v>53</v>
      </c>
      <c r="C4" t="s">
        <v>41</v>
      </c>
      <c r="D4" t="s">
        <v>42</v>
      </c>
      <c r="E4" t="s">
        <v>43</v>
      </c>
      <c r="F4" t="s">
        <v>44</v>
      </c>
      <c r="G4" s="16">
        <v>88.89</v>
      </c>
      <c r="H4" s="16">
        <v>2.4691</v>
      </c>
      <c r="I4" s="17">
        <v>4000</v>
      </c>
      <c r="J4" s="17">
        <v>120000</v>
      </c>
      <c r="K4" s="16">
        <v>396</v>
      </c>
      <c r="L4" s="18">
        <v>46241.555555555555</v>
      </c>
      <c r="M4" t="s">
        <v>45</v>
      </c>
      <c r="N4">
        <v>34</v>
      </c>
      <c r="O4">
        <v>2026</v>
      </c>
      <c r="P4" t="s">
        <v>46</v>
      </c>
      <c r="Q4" s="19">
        <v>46241.555555555555</v>
      </c>
      <c r="R4" t="s">
        <v>47</v>
      </c>
      <c r="S4" s="19">
        <v>46241.819444444445</v>
      </c>
      <c r="T4" t="s">
        <v>47</v>
      </c>
      <c r="U4" t="s">
        <v>48</v>
      </c>
      <c r="V4" t="s">
        <v>54</v>
      </c>
    </row>
    <row r="5" spans="1:22" x14ac:dyDescent="0.25">
      <c r="A5" s="20" t="s">
        <v>55</v>
      </c>
      <c r="B5" s="20" t="s">
        <v>56</v>
      </c>
      <c r="C5" s="20" t="s">
        <v>41</v>
      </c>
      <c r="D5" s="20" t="s">
        <v>42</v>
      </c>
      <c r="E5" s="20" t="s">
        <v>43</v>
      </c>
      <c r="F5" s="20" t="s">
        <v>44</v>
      </c>
      <c r="G5" s="21">
        <v>155.11</v>
      </c>
      <c r="H5" s="21">
        <v>4.3085</v>
      </c>
      <c r="I5" s="22">
        <v>6980</v>
      </c>
      <c r="J5" s="22">
        <v>209394</v>
      </c>
      <c r="K5" s="21">
        <v>691</v>
      </c>
      <c r="L5" s="23">
        <v>46242.555555555555</v>
      </c>
      <c r="M5" s="20" t="s">
        <v>45</v>
      </c>
      <c r="N5" s="20">
        <v>35</v>
      </c>
      <c r="O5" s="20">
        <v>2026</v>
      </c>
      <c r="P5" s="20" t="s">
        <v>46</v>
      </c>
      <c r="Q5" s="24">
        <v>46242.555555555555</v>
      </c>
      <c r="R5" s="20" t="s">
        <v>47</v>
      </c>
      <c r="S5" s="24">
        <v>46242.819444444445</v>
      </c>
      <c r="T5" s="20" t="s">
        <v>47</v>
      </c>
      <c r="U5" s="20" t="s">
        <v>48</v>
      </c>
      <c r="V5" s="20" t="s">
        <v>49</v>
      </c>
    </row>
    <row r="6" spans="1:22" x14ac:dyDescent="0.25">
      <c r="A6" t="s">
        <v>57</v>
      </c>
      <c r="B6" t="s">
        <v>58</v>
      </c>
      <c r="C6" t="s">
        <v>41</v>
      </c>
      <c r="D6" t="s">
        <v>42</v>
      </c>
      <c r="E6" t="s">
        <v>43</v>
      </c>
      <c r="F6" t="s">
        <v>44</v>
      </c>
      <c r="G6" s="16">
        <v>552.64</v>
      </c>
      <c r="H6" s="16">
        <v>15.351</v>
      </c>
      <c r="I6" s="17">
        <v>24869</v>
      </c>
      <c r="J6" s="17">
        <v>746061</v>
      </c>
      <c r="K6" s="16">
        <v>2462</v>
      </c>
      <c r="L6" s="18">
        <v>46243.555555555555</v>
      </c>
      <c r="M6" t="s">
        <v>45</v>
      </c>
      <c r="N6">
        <v>32</v>
      </c>
      <c r="O6">
        <v>2026</v>
      </c>
      <c r="P6" t="s">
        <v>46</v>
      </c>
      <c r="Q6" s="19">
        <v>46243.555555555555</v>
      </c>
      <c r="R6" s="25" t="s">
        <v>59</v>
      </c>
      <c r="S6" s="19">
        <v>46243.819444444445</v>
      </c>
      <c r="T6" t="s">
        <v>47</v>
      </c>
      <c r="U6" t="s">
        <v>48</v>
      </c>
      <c r="V6" t="s">
        <v>49</v>
      </c>
    </row>
    <row r="7" spans="1:22" x14ac:dyDescent="0.25">
      <c r="A7" s="20" t="s">
        <v>60</v>
      </c>
      <c r="B7" s="20" t="s">
        <v>61</v>
      </c>
      <c r="C7" s="20" t="s">
        <v>41</v>
      </c>
      <c r="D7" s="20" t="s">
        <v>42</v>
      </c>
      <c r="E7" s="20" t="s">
        <v>43</v>
      </c>
      <c r="F7" s="20" t="s">
        <v>44</v>
      </c>
      <c r="G7" s="21">
        <v>146.35</v>
      </c>
      <c r="H7" s="21">
        <v>4.0653</v>
      </c>
      <c r="I7" s="22">
        <v>6586</v>
      </c>
      <c r="J7" s="22">
        <v>197576</v>
      </c>
      <c r="K7" s="21">
        <v>652</v>
      </c>
      <c r="L7" s="23">
        <v>46244.555555555555</v>
      </c>
      <c r="M7" s="20" t="s">
        <v>45</v>
      </c>
      <c r="N7" s="20">
        <v>33</v>
      </c>
      <c r="O7" s="20">
        <v>2026</v>
      </c>
      <c r="P7" s="20" t="s">
        <v>46</v>
      </c>
      <c r="Q7" s="24">
        <v>46244.555555555555</v>
      </c>
      <c r="R7" s="20" t="s">
        <v>47</v>
      </c>
      <c r="S7" s="24">
        <v>46244.819444444445</v>
      </c>
      <c r="T7" s="20" t="s">
        <v>47</v>
      </c>
      <c r="U7" s="20" t="s">
        <v>48</v>
      </c>
      <c r="V7" s="20" t="s">
        <v>49</v>
      </c>
    </row>
    <row r="8" spans="1:22" x14ac:dyDescent="0.25">
      <c r="A8" t="s">
        <v>62</v>
      </c>
      <c r="B8" t="s">
        <v>63</v>
      </c>
      <c r="C8" t="s">
        <v>41</v>
      </c>
      <c r="D8" t="s">
        <v>42</v>
      </c>
      <c r="E8" t="s">
        <v>43</v>
      </c>
      <c r="F8" t="s">
        <v>44</v>
      </c>
      <c r="G8" s="16">
        <v>669.14</v>
      </c>
      <c r="H8" s="16">
        <v>18.5871</v>
      </c>
      <c r="I8" s="17">
        <v>30111</v>
      </c>
      <c r="J8" s="17">
        <v>903333</v>
      </c>
      <c r="K8" s="16">
        <v>2981</v>
      </c>
      <c r="L8" s="18">
        <v>46245.555555555555</v>
      </c>
      <c r="M8" t="s">
        <v>45</v>
      </c>
      <c r="N8">
        <v>34</v>
      </c>
      <c r="O8">
        <v>2026</v>
      </c>
      <c r="P8" t="s">
        <v>64</v>
      </c>
      <c r="Q8" s="19">
        <v>46245.555555555555</v>
      </c>
      <c r="R8" t="s">
        <v>47</v>
      </c>
      <c r="S8" s="19" t="s">
        <v>49</v>
      </c>
      <c r="T8" t="s">
        <v>65</v>
      </c>
      <c r="U8" t="s">
        <v>48</v>
      </c>
      <c r="V8" t="s">
        <v>49</v>
      </c>
    </row>
    <row r="10" spans="1:11" x14ac:dyDescent="0.25">
      <c r="A10" s="26" t="s">
        <v>66</v>
      </c>
      <c r="B10" s="26"/>
      <c r="C10" s="26"/>
      <c r="D10" s="26"/>
      <c r="E10" s="26"/>
      <c r="F10" s="26"/>
      <c r="G10" s="27">
        <f>SUM(G2:G8)</f>
      </c>
      <c r="H10" s="27">
        <f>SUM(H2:H8)</f>
      </c>
      <c r="I10" s="28">
        <f>SUM(I2:I8)</f>
      </c>
      <c r="J10" s="28">
        <f>SUM(J2:J8)</f>
      </c>
      <c r="K10" s="27">
        <f>SUM(K2:K8)</f>
      </c>
    </row>
  </sheetData>
  <autoFilter ref="A1:V1"/>
  <printOptions horizontalCentered="1"/>
  <pageMargins left="0.4" right="0.4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workbookViewId="0" showGridLines="0"/>
  </sheetViews>
  <sheetFormatPr defaultRowHeight="15" outlineLevelRow="0" outlineLevelCol="0" x14ac:dyDescent="55"/>
  <cols>
    <col min="1" max="1" width="26" customWidth="1"/>
    <col min="2" max="2" width="18" customWidth="1"/>
    <col min="3" max="4" width="14" customWidth="1"/>
    <col min="5" max="5" width="10" customWidth="1"/>
    <col min="6" max="6" width="16" customWidth="1"/>
  </cols>
  <sheetData>
    <row r="1" ht="26" customHeight="1" spans="1:6" x14ac:dyDescent="0.25">
      <c r="A1" s="29" t="s">
        <v>67</v>
      </c>
      <c r="B1" s="29"/>
      <c r="C1" s="29"/>
      <c r="D1" s="29"/>
      <c r="E1" s="29"/>
      <c r="F1" s="29"/>
    </row>
    <row r="2" ht="26" customHeight="1" spans="1:6" x14ac:dyDescent="0.25">
      <c r="A2" s="14" t="s">
        <v>68</v>
      </c>
      <c r="B2" s="14" t="s">
        <v>69</v>
      </c>
      <c r="C2" s="14" t="s">
        <v>70</v>
      </c>
      <c r="D2" s="14" t="s">
        <v>71</v>
      </c>
      <c r="E2" s="14" t="s">
        <v>72</v>
      </c>
      <c r="F2" s="14" t="s">
        <v>6</v>
      </c>
    </row>
    <row r="3" spans="1:6" x14ac:dyDescent="0.25">
      <c r="A3" s="30" t="s">
        <v>63</v>
      </c>
      <c r="B3" s="31">
        <v>56538.2</v>
      </c>
      <c r="C3" s="32">
        <v>5653.82</v>
      </c>
      <c r="D3" s="32">
        <v>2981</v>
      </c>
      <c r="E3" s="30">
        <v>1</v>
      </c>
      <c r="F3" s="33">
        <v>0.05272541396790135</v>
      </c>
    </row>
    <row r="4" spans="1:6" x14ac:dyDescent="0.25">
      <c r="A4" s="34" t="s">
        <v>40</v>
      </c>
      <c r="B4" s="35">
        <v>32024.4</v>
      </c>
      <c r="C4" s="36">
        <v>3202.44</v>
      </c>
      <c r="D4" s="36">
        <v>481</v>
      </c>
      <c r="E4" s="34">
        <v>1</v>
      </c>
      <c r="F4" s="37">
        <v>0.015019797404479084</v>
      </c>
    </row>
    <row r="5" spans="1:6" x14ac:dyDescent="0.25">
      <c r="A5" s="30" t="s">
        <v>58</v>
      </c>
      <c r="B5" s="31">
        <v>31041.5</v>
      </c>
      <c r="C5" s="32">
        <v>3104.15</v>
      </c>
      <c r="D5" s="32">
        <v>2462</v>
      </c>
      <c r="E5" s="30">
        <v>1</v>
      </c>
      <c r="F5" s="33">
        <v>0.07931317752041622</v>
      </c>
    </row>
    <row r="6" spans="1:6" x14ac:dyDescent="0.25">
      <c r="A6" s="34" t="s">
        <v>73</v>
      </c>
      <c r="B6" s="35">
        <v>30623</v>
      </c>
      <c r="C6" s="36">
        <v>3062.3</v>
      </c>
      <c r="D6" s="36">
        <v>0</v>
      </c>
      <c r="E6" s="34" t="s">
        <v>49</v>
      </c>
      <c r="F6" s="37">
        <v>0</v>
      </c>
    </row>
    <row r="7" spans="1:6" x14ac:dyDescent="0.25">
      <c r="A7" s="30" t="s">
        <v>74</v>
      </c>
      <c r="B7" s="31">
        <v>28700</v>
      </c>
      <c r="C7" s="32">
        <v>2870</v>
      </c>
      <c r="D7" s="32">
        <v>0</v>
      </c>
      <c r="E7" s="30" t="s">
        <v>49</v>
      </c>
      <c r="F7" s="33">
        <v>0</v>
      </c>
    </row>
    <row r="8" spans="1:6" x14ac:dyDescent="0.25">
      <c r="A8" s="34" t="s">
        <v>53</v>
      </c>
      <c r="B8" s="35">
        <v>28220.7</v>
      </c>
      <c r="C8" s="36">
        <v>2822.07</v>
      </c>
      <c r="D8" s="36">
        <v>396</v>
      </c>
      <c r="E8" s="34">
        <v>1</v>
      </c>
      <c r="F8" s="37">
        <v>0.014032252920728402</v>
      </c>
    </row>
    <row r="9" spans="1:6" x14ac:dyDescent="0.25">
      <c r="A9" s="30" t="s">
        <v>56</v>
      </c>
      <c r="B9" s="31">
        <v>13777.9</v>
      </c>
      <c r="C9" s="32">
        <v>1377.79</v>
      </c>
      <c r="D9" s="32">
        <v>691</v>
      </c>
      <c r="E9" s="30">
        <v>1</v>
      </c>
      <c r="F9" s="33">
        <v>0.050152780902750056</v>
      </c>
    </row>
    <row r="10" spans="1:6" x14ac:dyDescent="0.25">
      <c r="A10" s="34" t="s">
        <v>75</v>
      </c>
      <c r="B10" s="35">
        <v>9724.7</v>
      </c>
      <c r="C10" s="36">
        <v>972.47</v>
      </c>
      <c r="D10" s="36">
        <v>0</v>
      </c>
      <c r="E10" s="34" t="s">
        <v>49</v>
      </c>
      <c r="F10" s="37">
        <v>0</v>
      </c>
    </row>
    <row r="11" spans="1:6" x14ac:dyDescent="0.25">
      <c r="A11" s="30" t="s">
        <v>76</v>
      </c>
      <c r="B11" s="31">
        <v>8227.9</v>
      </c>
      <c r="C11" s="32">
        <v>822.79</v>
      </c>
      <c r="D11" s="32">
        <v>0</v>
      </c>
      <c r="E11" s="30" t="s">
        <v>49</v>
      </c>
      <c r="F11" s="33">
        <v>0</v>
      </c>
    </row>
    <row r="12" spans="1:6" x14ac:dyDescent="0.25">
      <c r="A12" s="34" t="s">
        <v>51</v>
      </c>
      <c r="B12" s="35">
        <v>3936.654</v>
      </c>
      <c r="C12" s="36">
        <v>393.665</v>
      </c>
      <c r="D12" s="36">
        <v>697</v>
      </c>
      <c r="E12" s="34">
        <v>1</v>
      </c>
      <c r="F12" s="38">
        <v>0.1770539143140342</v>
      </c>
    </row>
    <row r="13" spans="1:6" x14ac:dyDescent="0.25">
      <c r="A13" s="30" t="s">
        <v>61</v>
      </c>
      <c r="B13" s="31">
        <v>3452.9</v>
      </c>
      <c r="C13" s="32">
        <v>345.29</v>
      </c>
      <c r="D13" s="32">
        <v>652</v>
      </c>
      <c r="E13" s="30">
        <v>1</v>
      </c>
      <c r="F13" s="39">
        <v>0.18882678328361666</v>
      </c>
    </row>
    <row r="14" spans="1:6" x14ac:dyDescent="0.25">
      <c r="A14" s="40" t="s">
        <v>77</v>
      </c>
      <c r="B14" s="41">
        <f>SUM(B3:B13)</f>
      </c>
      <c r="C14" s="42">
        <f>SUM(C3:C13)</f>
      </c>
      <c r="D14" s="42">
        <f>SUM(D3:D13)</f>
      </c>
      <c r="E14" s="40">
        <f>SUM(E3:E13)</f>
      </c>
      <c r="F14" s="43">
        <f>IF(B14=0,"",D14/B14)</f>
      </c>
    </row>
    <row r="16" ht="26" customHeight="1" spans="1:6" x14ac:dyDescent="0.25">
      <c r="A16" s="44" t="s">
        <v>78</v>
      </c>
      <c r="B16" s="44"/>
      <c r="C16" s="44"/>
      <c r="D16" s="44"/>
      <c r="E16" s="44"/>
      <c r="F16" s="44"/>
    </row>
    <row r="17" ht="26" customHeight="1" spans="1:6" x14ac:dyDescent="0.25">
      <c r="A17" s="44" t="s">
        <v>79</v>
      </c>
      <c r="B17" s="44"/>
      <c r="C17" s="44"/>
      <c r="D17" s="44"/>
      <c r="E17" s="44"/>
      <c r="F17" s="44"/>
    </row>
  </sheetData>
  <mergeCells count="3">
    <mergeCell ref="A1:F1"/>
    <mergeCell ref="A16:F16"/>
    <mergeCell ref="A17:F17"/>
  </mergeCells>
  <printOptions horizontalCentered="1"/>
  <pageMargins left="0.4" right="0.4" top="0.5" bottom="0.5" header="0.2" footer="0.2"/>
  <pageSetup orientation="portrait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0" customWidth="1"/>
    <col min="3" max="3" width="19" customWidth="1"/>
    <col min="4" max="4" width="44" customWidth="1"/>
    <col min="5" max="7" width="13" customWidth="1"/>
    <col min="8" max="8" width="16" customWidth="1"/>
    <col min="9" max="9" width="30" customWidth="1"/>
    <col min="10" max="10" width="18" customWidth="1"/>
  </cols>
  <sheetData>
    <row r="1" ht="26" customHeight="1" spans="1:10" x14ac:dyDescent="0.25">
      <c r="A1" s="14" t="s">
        <v>18</v>
      </c>
      <c r="B1" s="14" t="s">
        <v>80</v>
      </c>
      <c r="C1" s="14" t="s">
        <v>81</v>
      </c>
      <c r="D1" s="14" t="s">
        <v>82</v>
      </c>
      <c r="E1" s="14" t="s">
        <v>83</v>
      </c>
      <c r="F1" s="14" t="s">
        <v>84</v>
      </c>
      <c r="G1" s="14" t="s">
        <v>85</v>
      </c>
      <c r="H1" s="14" t="s">
        <v>86</v>
      </c>
      <c r="I1" s="14" t="s">
        <v>87</v>
      </c>
      <c r="J1" s="14" t="s">
        <v>88</v>
      </c>
    </row>
    <row r="2" spans="1:10" x14ac:dyDescent="0.25">
      <c r="A2" t="s">
        <v>39</v>
      </c>
      <c r="B2" t="s">
        <v>33</v>
      </c>
      <c r="C2" s="45">
        <v>46239.555555555555</v>
      </c>
      <c r="D2" t="s">
        <v>89</v>
      </c>
      <c r="E2" s="46">
        <v>10.98</v>
      </c>
      <c r="F2" s="46">
        <v>-74.78</v>
      </c>
      <c r="G2" s="17">
        <v>12</v>
      </c>
      <c r="H2" t="s">
        <v>48</v>
      </c>
      <c r="I2" t="s">
        <v>49</v>
      </c>
      <c r="J2" s="47" t="s">
        <v>90</v>
      </c>
    </row>
    <row r="3" spans="1:10" x14ac:dyDescent="0.25">
      <c r="A3" s="20" t="s">
        <v>39</v>
      </c>
      <c r="B3" s="20" t="s">
        <v>35</v>
      </c>
      <c r="C3" s="48">
        <v>46239.819444444445</v>
      </c>
      <c r="D3" s="20" t="s">
        <v>91</v>
      </c>
      <c r="E3" s="49">
        <v>10.91</v>
      </c>
      <c r="F3" s="49">
        <v>-74.8</v>
      </c>
      <c r="G3" s="22">
        <v>9</v>
      </c>
      <c r="H3" s="20" t="s">
        <v>48</v>
      </c>
      <c r="I3" s="20" t="s">
        <v>92</v>
      </c>
      <c r="J3" s="50" t="s">
        <v>90</v>
      </c>
    </row>
    <row r="4" spans="1:10" x14ac:dyDescent="0.25">
      <c r="A4" t="s">
        <v>50</v>
      </c>
      <c r="B4" t="s">
        <v>33</v>
      </c>
      <c r="C4" s="45">
        <v>46240.555555555555</v>
      </c>
      <c r="D4" t="s">
        <v>89</v>
      </c>
      <c r="E4" s="46">
        <v>10.98</v>
      </c>
      <c r="F4" s="46">
        <v>-74.78</v>
      </c>
      <c r="G4" s="17">
        <v>12</v>
      </c>
      <c r="H4" t="s">
        <v>48</v>
      </c>
      <c r="I4" t="s">
        <v>49</v>
      </c>
      <c r="J4" s="47" t="s">
        <v>90</v>
      </c>
    </row>
    <row r="5" spans="1:10" x14ac:dyDescent="0.25">
      <c r="A5" s="20" t="s">
        <v>50</v>
      </c>
      <c r="B5" s="20" t="s">
        <v>35</v>
      </c>
      <c r="C5" s="48">
        <v>46240.819444444445</v>
      </c>
      <c r="D5" s="20" t="s">
        <v>91</v>
      </c>
      <c r="E5" s="49">
        <v>10.91</v>
      </c>
      <c r="F5" s="49">
        <v>-74.8</v>
      </c>
      <c r="G5" s="22">
        <v>9</v>
      </c>
      <c r="H5" s="20" t="s">
        <v>48</v>
      </c>
      <c r="I5" s="20" t="s">
        <v>92</v>
      </c>
      <c r="J5" s="50" t="s">
        <v>90</v>
      </c>
    </row>
    <row r="6" spans="1:10" x14ac:dyDescent="0.25">
      <c r="A6" t="s">
        <v>52</v>
      </c>
      <c r="B6" t="s">
        <v>33</v>
      </c>
      <c r="C6" s="45">
        <v>46241.555555555555</v>
      </c>
      <c r="D6" t="s">
        <v>89</v>
      </c>
      <c r="E6" s="46">
        <v>10.98</v>
      </c>
      <c r="F6" s="46">
        <v>-74.78</v>
      </c>
      <c r="G6" s="17">
        <v>12</v>
      </c>
      <c r="H6" t="s">
        <v>48</v>
      </c>
      <c r="I6" t="s">
        <v>49</v>
      </c>
      <c r="J6" s="47" t="s">
        <v>90</v>
      </c>
    </row>
    <row r="7" spans="1:10" x14ac:dyDescent="0.25">
      <c r="A7" s="20" t="s">
        <v>52</v>
      </c>
      <c r="B7" s="20" t="s">
        <v>35</v>
      </c>
      <c r="C7" s="48">
        <v>46241.819444444445</v>
      </c>
      <c r="D7" s="20" t="s">
        <v>91</v>
      </c>
      <c r="E7" s="49">
        <v>10.91</v>
      </c>
      <c r="F7" s="49">
        <v>-74.8</v>
      </c>
      <c r="G7" s="22">
        <v>9</v>
      </c>
      <c r="H7" s="20" t="s">
        <v>48</v>
      </c>
      <c r="I7" s="20" t="s">
        <v>92</v>
      </c>
      <c r="J7" s="50" t="s">
        <v>90</v>
      </c>
    </row>
    <row r="8" spans="1:10" x14ac:dyDescent="0.25">
      <c r="A8" t="s">
        <v>55</v>
      </c>
      <c r="B8" t="s">
        <v>33</v>
      </c>
      <c r="C8" s="45">
        <v>46242.555555555555</v>
      </c>
      <c r="D8" t="s">
        <v>89</v>
      </c>
      <c r="E8" s="46">
        <v>10.98</v>
      </c>
      <c r="F8" s="46">
        <v>-74.78</v>
      </c>
      <c r="G8" s="51">
        <v>340</v>
      </c>
      <c r="H8" t="s">
        <v>48</v>
      </c>
      <c r="I8" t="s">
        <v>49</v>
      </c>
      <c r="J8" s="47" t="s">
        <v>90</v>
      </c>
    </row>
    <row r="9" spans="1:10" x14ac:dyDescent="0.25">
      <c r="A9" s="20" t="s">
        <v>55</v>
      </c>
      <c r="B9" s="20" t="s">
        <v>35</v>
      </c>
      <c r="C9" s="48">
        <v>46242.819444444445</v>
      </c>
      <c r="D9" s="20" t="s">
        <v>91</v>
      </c>
      <c r="E9" s="49">
        <v>10.91</v>
      </c>
      <c r="F9" s="49">
        <v>-74.8</v>
      </c>
      <c r="G9" s="22">
        <v>9</v>
      </c>
      <c r="H9" s="20" t="s">
        <v>48</v>
      </c>
      <c r="I9" s="20" t="s">
        <v>92</v>
      </c>
      <c r="J9" s="50" t="s">
        <v>90</v>
      </c>
    </row>
    <row r="10" spans="1:10" x14ac:dyDescent="0.25">
      <c r="A10" t="s">
        <v>57</v>
      </c>
      <c r="B10" t="s">
        <v>33</v>
      </c>
      <c r="C10" s="45">
        <v>46243.555555555555</v>
      </c>
      <c r="D10" t="s">
        <v>89</v>
      </c>
      <c r="E10" s="46">
        <v>10.98</v>
      </c>
      <c r="F10" s="46">
        <v>-74.78</v>
      </c>
      <c r="G10" s="17">
        <v>12</v>
      </c>
      <c r="H10" t="s">
        <v>48</v>
      </c>
      <c r="I10" t="s">
        <v>49</v>
      </c>
      <c r="J10" s="47" t="s">
        <v>90</v>
      </c>
    </row>
    <row r="11" spans="1:10" x14ac:dyDescent="0.25">
      <c r="A11" s="20" t="s">
        <v>57</v>
      </c>
      <c r="B11" s="20" t="s">
        <v>35</v>
      </c>
      <c r="C11" s="48">
        <v>46243.819444444445</v>
      </c>
      <c r="D11" s="20" t="s">
        <v>91</v>
      </c>
      <c r="E11" s="49">
        <v>10.91</v>
      </c>
      <c r="F11" s="49">
        <v>-74.8</v>
      </c>
      <c r="G11" s="22">
        <v>9</v>
      </c>
      <c r="H11" s="20" t="s">
        <v>48</v>
      </c>
      <c r="I11" s="20" t="s">
        <v>92</v>
      </c>
      <c r="J11" s="50" t="s">
        <v>90</v>
      </c>
    </row>
    <row r="12" spans="1:10" x14ac:dyDescent="0.25">
      <c r="A12" t="s">
        <v>60</v>
      </c>
      <c r="B12" t="s">
        <v>33</v>
      </c>
      <c r="C12" s="45">
        <v>46244.555555555555</v>
      </c>
      <c r="D12" t="s">
        <v>89</v>
      </c>
      <c r="E12" s="46">
        <v>10.98</v>
      </c>
      <c r="F12" s="46">
        <v>-74.78</v>
      </c>
      <c r="G12" s="17">
        <v>12</v>
      </c>
      <c r="H12" t="s">
        <v>48</v>
      </c>
      <c r="I12" t="s">
        <v>49</v>
      </c>
      <c r="J12" s="47" t="s">
        <v>90</v>
      </c>
    </row>
    <row r="13" spans="1:10" x14ac:dyDescent="0.25">
      <c r="A13" s="20" t="s">
        <v>60</v>
      </c>
      <c r="B13" s="20" t="s">
        <v>35</v>
      </c>
      <c r="C13" s="48">
        <v>46244.819444444445</v>
      </c>
      <c r="D13" s="20" t="s">
        <v>91</v>
      </c>
      <c r="E13" s="49">
        <v>10.91</v>
      </c>
      <c r="F13" s="49">
        <v>-74.8</v>
      </c>
      <c r="G13" s="22">
        <v>9</v>
      </c>
      <c r="H13" s="20" t="s">
        <v>48</v>
      </c>
      <c r="I13" s="20" t="s">
        <v>92</v>
      </c>
      <c r="J13" s="50" t="s">
        <v>90</v>
      </c>
    </row>
    <row r="14" spans="1:10" x14ac:dyDescent="0.25">
      <c r="A14" t="s">
        <v>62</v>
      </c>
      <c r="B14" t="s">
        <v>33</v>
      </c>
      <c r="C14" s="45">
        <v>46245.555555555555</v>
      </c>
      <c r="D14" t="s">
        <v>89</v>
      </c>
      <c r="E14" s="46">
        <v>10.98</v>
      </c>
      <c r="F14" s="46">
        <v>-74.78</v>
      </c>
      <c r="G14" s="17">
        <v>12</v>
      </c>
      <c r="H14" t="s">
        <v>48</v>
      </c>
      <c r="I14" t="s">
        <v>49</v>
      </c>
      <c r="J14" s="47" t="s">
        <v>90</v>
      </c>
    </row>
  </sheetData>
  <autoFilter ref="A1:J1"/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</hyperlinks>
  <printOptions horizontalCentered="1"/>
  <pageMargins left="0.4" right="0.4" top="0.5" bottom="0.5" header="0.2" footer="0.2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4"/>
  <sheetViews>
    <sheetView workbookViewId="0" showGridLines="0"/>
  </sheetViews>
  <sheetFormatPr defaultRowHeight="15" outlineLevelRow="0" outlineLevelCol="0" x14ac:dyDescent="55"/>
  <cols>
    <col min="1" max="1" width="26" customWidth="1"/>
    <col min="2" max="4" width="30" customWidth="1"/>
  </cols>
  <sheetData>
    <row r="1" ht="22" customHeight="1" spans="1:4" x14ac:dyDescent="0.25">
      <c r="A1" s="52" t="s">
        <v>93</v>
      </c>
      <c r="B1" s="52"/>
      <c r="C1" s="52"/>
      <c r="D1" s="52"/>
    </row>
    <row r="2" spans="1:4" x14ac:dyDescent="0.25">
      <c r="A2" s="53" t="s">
        <v>94</v>
      </c>
      <c r="B2" s="53"/>
      <c r="C2" s="53"/>
      <c r="D2" s="53"/>
    </row>
    <row r="3" spans="2:4" x14ac:dyDescent="0.25">
      <c r="B3" s="54" t="s">
        <v>95</v>
      </c>
      <c r="C3" s="54" t="s">
        <v>96</v>
      </c>
      <c r="D3" s="54" t="s">
        <v>18</v>
      </c>
    </row>
    <row r="4" ht="132" customHeight="1" x14ac:dyDescent="0.25"/>
    <row r="6" ht="22" customHeight="1" spans="1:4" x14ac:dyDescent="0.25">
      <c r="A6" s="52" t="s">
        <v>97</v>
      </c>
      <c r="B6" s="52"/>
      <c r="C6" s="52"/>
      <c r="D6" s="52"/>
    </row>
    <row r="7" spans="1:4" x14ac:dyDescent="0.25">
      <c r="A7" s="53" t="s">
        <v>98</v>
      </c>
      <c r="B7" s="53"/>
      <c r="C7" s="53"/>
      <c r="D7" s="53"/>
    </row>
    <row r="8" spans="2:4" x14ac:dyDescent="0.25">
      <c r="B8" s="54" t="s">
        <v>95</v>
      </c>
      <c r="C8" s="54" t="s">
        <v>96</v>
      </c>
      <c r="D8" s="54" t="s">
        <v>18</v>
      </c>
    </row>
    <row r="9" ht="132" customHeight="1" x14ac:dyDescent="0.25"/>
    <row r="11" ht="22" customHeight="1" spans="1:4" x14ac:dyDescent="0.25">
      <c r="A11" s="52" t="s">
        <v>99</v>
      </c>
      <c r="B11" s="52"/>
      <c r="C11" s="52"/>
      <c r="D11" s="52"/>
    </row>
    <row r="12" spans="1:4" x14ac:dyDescent="0.25">
      <c r="A12" s="53" t="s">
        <v>94</v>
      </c>
      <c r="B12" s="53"/>
      <c r="C12" s="53"/>
      <c r="D12" s="53"/>
    </row>
    <row r="13" spans="2:4" x14ac:dyDescent="0.25">
      <c r="B13" s="54" t="s">
        <v>95</v>
      </c>
      <c r="C13" s="54" t="s">
        <v>96</v>
      </c>
      <c r="D13" s="54" t="s">
        <v>18</v>
      </c>
    </row>
    <row r="14" ht="132" customHeight="1" x14ac:dyDescent="0.25"/>
    <row r="16" ht="22" customHeight="1" spans="1:4" x14ac:dyDescent="0.25">
      <c r="A16" s="52" t="s">
        <v>100</v>
      </c>
      <c r="B16" s="52"/>
      <c r="C16" s="52"/>
      <c r="D16" s="52"/>
    </row>
    <row r="17" spans="1:4" x14ac:dyDescent="0.25">
      <c r="A17" s="53" t="s">
        <v>98</v>
      </c>
      <c r="B17" s="53"/>
      <c r="C17" s="53"/>
      <c r="D17" s="53"/>
    </row>
    <row r="18" spans="2:4" x14ac:dyDescent="0.25">
      <c r="B18" s="54" t="s">
        <v>95</v>
      </c>
      <c r="C18" s="54" t="s">
        <v>96</v>
      </c>
      <c r="D18" s="54" t="s">
        <v>18</v>
      </c>
    </row>
    <row r="19" ht="132" customHeight="1" x14ac:dyDescent="0.25"/>
    <row r="21" ht="22" customHeight="1" spans="1:4" x14ac:dyDescent="0.25">
      <c r="A21" s="52" t="s">
        <v>101</v>
      </c>
      <c r="B21" s="52"/>
      <c r="C21" s="52"/>
      <c r="D21" s="52"/>
    </row>
    <row r="22" spans="1:4" x14ac:dyDescent="0.25">
      <c r="A22" s="53" t="s">
        <v>94</v>
      </c>
      <c r="B22" s="53"/>
      <c r="C22" s="53"/>
      <c r="D22" s="53"/>
    </row>
    <row r="23" spans="2:4" x14ac:dyDescent="0.25">
      <c r="B23" s="54" t="s">
        <v>95</v>
      </c>
      <c r="C23" s="54" t="s">
        <v>96</v>
      </c>
      <c r="D23" s="54" t="s">
        <v>18</v>
      </c>
    </row>
    <row r="24" ht="132" customHeight="1" x14ac:dyDescent="0.25"/>
    <row r="26" ht="22" customHeight="1" spans="1:4" x14ac:dyDescent="0.25">
      <c r="A26" s="52" t="s">
        <v>102</v>
      </c>
      <c r="B26" s="52"/>
      <c r="C26" s="52"/>
      <c r="D26" s="52"/>
    </row>
    <row r="27" spans="1:4" x14ac:dyDescent="0.25">
      <c r="A27" s="53" t="s">
        <v>98</v>
      </c>
      <c r="B27" s="53"/>
      <c r="C27" s="53"/>
      <c r="D27" s="53"/>
    </row>
    <row r="28" spans="2:4" x14ac:dyDescent="0.25">
      <c r="B28" s="54" t="s">
        <v>95</v>
      </c>
      <c r="C28" s="54" t="s">
        <v>96</v>
      </c>
      <c r="D28" s="54" t="s">
        <v>18</v>
      </c>
    </row>
    <row r="29" ht="132" customHeight="1" x14ac:dyDescent="0.25"/>
    <row r="31" ht="22" customHeight="1" spans="1:4" x14ac:dyDescent="0.25">
      <c r="A31" s="52" t="s">
        <v>103</v>
      </c>
      <c r="B31" s="52"/>
      <c r="C31" s="52"/>
      <c r="D31" s="52"/>
    </row>
    <row r="32" spans="1:4" x14ac:dyDescent="0.25">
      <c r="A32" s="53" t="s">
        <v>104</v>
      </c>
      <c r="B32" s="53"/>
      <c r="C32" s="53"/>
      <c r="D32" s="53"/>
    </row>
    <row r="33" spans="2:4" x14ac:dyDescent="0.25">
      <c r="B33" s="54" t="s">
        <v>95</v>
      </c>
      <c r="C33" s="54" t="s">
        <v>96</v>
      </c>
      <c r="D33" s="54" t="s">
        <v>18</v>
      </c>
    </row>
    <row r="34" ht="132" customHeight="1" x14ac:dyDescent="0.25"/>
    <row r="36" ht="22" customHeight="1" spans="1:4" x14ac:dyDescent="0.25">
      <c r="A36" s="52" t="s">
        <v>105</v>
      </c>
      <c r="B36" s="52"/>
      <c r="C36" s="52"/>
      <c r="D36" s="52"/>
    </row>
    <row r="37" spans="1:4" x14ac:dyDescent="0.25">
      <c r="A37" s="53" t="s">
        <v>98</v>
      </c>
      <c r="B37" s="53"/>
      <c r="C37" s="53"/>
      <c r="D37" s="53"/>
    </row>
    <row r="38" spans="2:4" x14ac:dyDescent="0.25">
      <c r="B38" s="54" t="s">
        <v>95</v>
      </c>
      <c r="C38" s="54" t="s">
        <v>96</v>
      </c>
      <c r="D38" s="54" t="s">
        <v>18</v>
      </c>
    </row>
    <row r="39" ht="132" customHeight="1" x14ac:dyDescent="0.25"/>
    <row r="41" ht="22" customHeight="1" spans="1:4" x14ac:dyDescent="0.25">
      <c r="A41" s="52" t="s">
        <v>106</v>
      </c>
      <c r="B41" s="52"/>
      <c r="C41" s="52"/>
      <c r="D41" s="52"/>
    </row>
    <row r="42" spans="1:4" x14ac:dyDescent="0.25">
      <c r="A42" s="53" t="s">
        <v>94</v>
      </c>
      <c r="B42" s="53"/>
      <c r="C42" s="53"/>
      <c r="D42" s="53"/>
    </row>
    <row r="43" spans="2:2" x14ac:dyDescent="0.25">
      <c r="B43" s="54" t="s">
        <v>95</v>
      </c>
    </row>
    <row r="44" ht="132" customHeight="1" x14ac:dyDescent="0.25"/>
    <row r="46" ht="22" customHeight="1" spans="1:4" x14ac:dyDescent="0.25">
      <c r="A46" s="52" t="s">
        <v>107</v>
      </c>
      <c r="B46" s="52"/>
      <c r="C46" s="52"/>
      <c r="D46" s="52"/>
    </row>
    <row r="47" spans="1:4" x14ac:dyDescent="0.25">
      <c r="A47" s="53" t="s">
        <v>98</v>
      </c>
      <c r="B47" s="53"/>
      <c r="C47" s="53"/>
      <c r="D47" s="53"/>
    </row>
    <row r="48" spans="2:4" x14ac:dyDescent="0.25">
      <c r="B48" s="54" t="s">
        <v>95</v>
      </c>
      <c r="C48" s="54" t="s">
        <v>96</v>
      </c>
      <c r="D48" s="54" t="s">
        <v>18</v>
      </c>
    </row>
    <row r="49" ht="132" customHeight="1" x14ac:dyDescent="0.25"/>
    <row r="51" ht="22" customHeight="1" spans="1:4" x14ac:dyDescent="0.25">
      <c r="A51" s="52" t="s">
        <v>108</v>
      </c>
      <c r="B51" s="52"/>
      <c r="C51" s="52"/>
      <c r="D51" s="52"/>
    </row>
    <row r="52" spans="1:4" x14ac:dyDescent="0.25">
      <c r="A52" s="53" t="s">
        <v>94</v>
      </c>
      <c r="B52" s="53"/>
      <c r="C52" s="53"/>
      <c r="D52" s="53"/>
    </row>
    <row r="53" spans="2:4" x14ac:dyDescent="0.25">
      <c r="B53" s="54" t="s">
        <v>95</v>
      </c>
      <c r="C53" s="54" t="s">
        <v>96</v>
      </c>
      <c r="D53" s="54" t="s">
        <v>18</v>
      </c>
    </row>
    <row r="54" ht="132" customHeight="1" x14ac:dyDescent="0.25"/>
    <row r="56" ht="22" customHeight="1" spans="1:4" x14ac:dyDescent="0.25">
      <c r="A56" s="52" t="s">
        <v>109</v>
      </c>
      <c r="B56" s="52"/>
      <c r="C56" s="52"/>
      <c r="D56" s="52"/>
    </row>
    <row r="57" spans="1:4" x14ac:dyDescent="0.25">
      <c r="A57" s="53" t="s">
        <v>98</v>
      </c>
      <c r="B57" s="53"/>
      <c r="C57" s="53"/>
      <c r="D57" s="53"/>
    </row>
    <row r="58" spans="2:4" x14ac:dyDescent="0.25">
      <c r="B58" s="54" t="s">
        <v>95</v>
      </c>
      <c r="C58" s="54" t="s">
        <v>96</v>
      </c>
      <c r="D58" s="54" t="s">
        <v>18</v>
      </c>
    </row>
    <row r="59" ht="132" customHeight="1" x14ac:dyDescent="0.25"/>
    <row r="61" ht="22" customHeight="1" spans="1:4" x14ac:dyDescent="0.25">
      <c r="A61" s="52" t="s">
        <v>110</v>
      </c>
      <c r="B61" s="52"/>
      <c r="C61" s="52"/>
      <c r="D61" s="52"/>
    </row>
    <row r="62" spans="1:4" x14ac:dyDescent="0.25">
      <c r="A62" s="53" t="s">
        <v>94</v>
      </c>
      <c r="B62" s="53"/>
      <c r="C62" s="53"/>
      <c r="D62" s="53"/>
    </row>
    <row r="63" spans="2:4" x14ac:dyDescent="0.25">
      <c r="B63" s="54" t="s">
        <v>95</v>
      </c>
      <c r="C63" s="54" t="s">
        <v>96</v>
      </c>
      <c r="D63" s="54" t="s">
        <v>18</v>
      </c>
    </row>
    <row r="64" ht="132" customHeight="1" x14ac:dyDescent="0.25"/>
  </sheetData>
  <mergeCells count="26">
    <mergeCell ref="A1:D1"/>
    <mergeCell ref="A2:D2"/>
    <mergeCell ref="A6:D6"/>
    <mergeCell ref="A7:D7"/>
    <mergeCell ref="A11:D11"/>
    <mergeCell ref="A12:D12"/>
    <mergeCell ref="A16:D16"/>
    <mergeCell ref="A17:D17"/>
    <mergeCell ref="A21:D21"/>
    <mergeCell ref="A22:D22"/>
    <mergeCell ref="A26:D26"/>
    <mergeCell ref="A27:D27"/>
    <mergeCell ref="A31:D31"/>
    <mergeCell ref="A32:D32"/>
    <mergeCell ref="A36:D36"/>
    <mergeCell ref="A37:D37"/>
    <mergeCell ref="A41:D41"/>
    <mergeCell ref="A42:D42"/>
    <mergeCell ref="A46:D46"/>
    <mergeCell ref="A47:D47"/>
    <mergeCell ref="A51:D51"/>
    <mergeCell ref="A52:D52"/>
    <mergeCell ref="A56:D56"/>
    <mergeCell ref="A57:D57"/>
    <mergeCell ref="A61:D61"/>
    <mergeCell ref="A62:D62"/>
  </mergeCells>
  <printOptions horizontalCentered="1"/>
  <pageMargins left="0.4" right="0.4" top="0.5" bottom="0.5" header="0.2" footer="0.2"/>
  <pageSetup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Portada</vt:lpstr>
      <vt:lpstr>Base de datos</vt:lpstr>
      <vt:lpstr>Seguimiento</vt:lpstr>
      <vt:lpstr>Evidencia</vt:lpstr>
      <vt:lpstr>Fotos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· Sider Certificado</dc:creator>
  <dc:title/>
  <dc:subject/>
  <dc:description/>
  <cp:keywords/>
  <cp:category/>
  <cp:lastModifiedBy>Unknown</cp:lastModifiedBy>
  <dcterms:created xsi:type="dcterms:W3CDTF">2026-09-08T20:58:47Z</dcterms:created>
  <dcterms:modified xsi:type="dcterms:W3CDTF">2026-09-08T20:58:47Z</dcterms:modified>
</cp:coreProperties>
</file>