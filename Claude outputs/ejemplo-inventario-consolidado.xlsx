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Base" state="visible" r:id="rId5"/>
    <sheet sheetId="3" name="Por material" state="visible" r:id="rId6"/>
    <sheet sheetId="4" name="Por ubicación" state="visible" r:id="rId7"/>
    <sheet sheetId="5" name="Validar" state="visible" r:id="rId8"/>
    <sheet sheetId="6" name="Sin contar" state="visible" r:id="rId9"/>
  </sheets>
  <definedNames>
    <definedName name="_xlnm._FilterDatabase" localSheetId="1" hidden="1">Base!$A$6:$Z$14</definedName>
    <definedName name="_xlnm._FilterDatabase" localSheetId="2" hidden="1">'Por material'!$A$6:$L$10</definedName>
    <definedName name="_xlnm._FilterDatabase" localSheetId="3" hidden="1">'Por ubicación'!$A$6:$J$13</definedName>
    <definedName name="_xlnm._FilterDatabase" localSheetId="4" hidden="1">Validar!$A$6:$H$14</definedName>
    <definedName name="_xlnm._FilterDatabase" localSheetId="5" hidden="1">'Sin contar'!$A$6:$F$8</definedName>
  </definedNames>
  <calcPr calcId="171027" fullCalcOnLoad="1"/>
</workbook>
</file>

<file path=xl/sharedStrings.xml><?xml version="1.0" encoding="utf-8"?>
<sst xmlns="http://schemas.openxmlformats.org/spreadsheetml/2006/main" count="363" uniqueCount="123">
  <si>
    <t>Inventario consolidado · AG01</t>
  </si>
  <si>
    <t>Martes, 22 de septiembre de 2026 · 2 recorridos enviados · exportó Cristian</t>
  </si>
  <si>
    <t>CAJAS</t>
  </si>
  <si>
    <t>UNIDADES</t>
  </si>
  <si>
    <t>ESTIBAS</t>
  </si>
  <si>
    <t>RENGLONES</t>
  </si>
  <si>
    <t>UBICACIONES</t>
  </si>
  <si>
    <t>MATERIALES</t>
  </si>
  <si>
    <t>SIN CONTAR</t>
  </si>
  <si>
    <t>POR VALIDAR</t>
  </si>
  <si>
    <t>2 de 9</t>
  </si>
  <si>
    <t>Riesgo de vencimiento</t>
  </si>
  <si>
    <t>Franja</t>
  </si>
  <si>
    <t>Cajas</t>
  </si>
  <si>
    <t>Unidades</t>
  </si>
  <si>
    <t>Materiales</t>
  </si>
  <si>
    <t>Ubicaciones</t>
  </si>
  <si>
    <t>% de cajas</t>
  </si>
  <si>
    <t>Ya vencido</t>
  </si>
  <si>
    <t>Ya no alcanza a salir</t>
  </si>
  <si>
    <t>Sale esta semana</t>
  </si>
  <si>
    <t>Sale en 8 a 15 días</t>
  </si>
  <si>
    <t>Sale en 16 a 30 días</t>
  </si>
  <si>
    <t>Con margen</t>
  </si>
  <si>
    <t>Sin fecha</t>
  </si>
  <si>
    <t>Recorridos que entran en la base</t>
  </si>
  <si>
    <t>Recorrido</t>
  </si>
  <si>
    <t>Contó</t>
  </si>
  <si>
    <t>Enviado</t>
  </si>
  <si>
    <t>Renglones</t>
  </si>
  <si>
    <t>FEFO-01</t>
  </si>
  <si>
    <t>Santiago Leal</t>
  </si>
  <si>
    <t>FEFO-02</t>
  </si>
  <si>
    <t>Génesis Visbal</t>
  </si>
  <si>
    <t>⚠ 4 renglón(es) por validar: mira la hoja «Validar».</t>
  </si>
  <si>
    <t>La base toma, de cada ubicación, el ÚLTIMO recorrido del día que pasó por ella: una calle caminada dos veces no se suma dos veces.</t>
  </si>
  <si>
    <t>Base consolidada del día</t>
  </si>
  <si>
    <t>Contado</t>
  </si>
  <si>
    <t>Calle</t>
  </si>
  <si>
    <t>Módulo</t>
  </si>
  <si>
    <t>Lado</t>
  </si>
  <si>
    <t>Ubicación</t>
  </si>
  <si>
    <t>Código</t>
  </si>
  <si>
    <t>Material</t>
  </si>
  <si>
    <t>Tipo</t>
  </si>
  <si>
    <t>Familia</t>
  </si>
  <si>
    <t>Estibas</t>
  </si>
  <si>
    <t>Cajas sueltas</t>
  </si>
  <si>
    <t>Saldo</t>
  </si>
  <si>
    <t>Total cajas</t>
  </si>
  <si>
    <t>Fabricación</t>
  </si>
  <si>
    <t>Vencimiento</t>
  </si>
  <si>
    <t>Días p/vencer</t>
  </si>
  <si>
    <t>Días p/salir</t>
  </si>
  <si>
    <t>Rota</t>
  </si>
  <si>
    <t>Avería</t>
  </si>
  <si>
    <t>PNC</t>
  </si>
  <si>
    <t>Estado envase</t>
  </si>
  <si>
    <t>Nota</t>
  </si>
  <si>
    <t>A</t>
  </si>
  <si>
    <t>01</t>
  </si>
  <si>
    <t>DER</t>
  </si>
  <si>
    <t>A01DER</t>
  </si>
  <si>
    <t>3128</t>
  </si>
  <si>
    <t>Águila Original 330 ml x 30</t>
  </si>
  <si>
    <t>PRODUCTO</t>
  </si>
  <si>
    <t>Cerveza</t>
  </si>
  <si>
    <t/>
  </si>
  <si>
    <t>IZQ</t>
  </si>
  <si>
    <t>A01IZQ</t>
  </si>
  <si>
    <t>02</t>
  </si>
  <si>
    <t>A02IZQ</t>
  </si>
  <si>
    <t>B</t>
  </si>
  <si>
    <t>B01IZQ</t>
  </si>
  <si>
    <t>3130</t>
  </si>
  <si>
    <t>Póker 330</t>
  </si>
  <si>
    <t>C</t>
  </si>
  <si>
    <t>C01IZQ</t>
  </si>
  <si>
    <t>900</t>
  </si>
  <si>
    <t>Canasta 30</t>
  </si>
  <si>
    <t>ENVASE</t>
  </si>
  <si>
    <t>Sí</t>
  </si>
  <si>
    <t>rota</t>
  </si>
  <si>
    <t>C02IZQ</t>
  </si>
  <si>
    <t>7777</t>
  </si>
  <si>
    <t>Fuera del maestro</t>
  </si>
  <si>
    <t>Z</t>
  </si>
  <si>
    <t>09</t>
  </si>
  <si>
    <t>Z09DER</t>
  </si>
  <si>
    <t>3129</t>
  </si>
  <si>
    <t>Águila Light 330</t>
  </si>
  <si>
    <t>TOTAL (lo filtrado)</t>
  </si>
  <si>
    <t>Por material</t>
  </si>
  <si>
    <t>Vence primero</t>
  </si>
  <si>
    <t>En riesgo (cajas)</t>
  </si>
  <si>
    <t>Por ubicación</t>
  </si>
  <si>
    <t>Capacidad (estibas)</t>
  </si>
  <si>
    <t>Ocupación</t>
  </si>
  <si>
    <t>Para validar</t>
  </si>
  <si>
    <t>4 grave(s) · 4 para mirar · Martes, 22 de septiembre de 2026 · 2 recorridos enviados · exportó Cristian</t>
  </si>
  <si>
    <t>Qué</t>
  </si>
  <si>
    <t>Grave</t>
  </si>
  <si>
    <t>Detalle</t>
  </si>
  <si>
    <t>Revisado ✓</t>
  </si>
  <si>
    <t>Código fuera del maestro</t>
  </si>
  <si>
    <t>El código no está en el maestro de materiales.</t>
  </si>
  <si>
    <t>Repetido</t>
  </si>
  <si>
    <t>Mismo material y vencimiento anotado dos veces en la misma ubicación.</t>
  </si>
  <si>
    <t>Producto sin fecha de vencimiento: no se puede saber cuándo sale.</t>
  </si>
  <si>
    <t>Vencido</t>
  </si>
  <si>
    <t>Venció hace 3 día(s). 80 cajas.</t>
  </si>
  <si>
    <t>Reemplazado</t>
  </si>
  <si>
    <t>Esa ubicación se volvió a contar ese día: vale el recorrido más reciente. Aquí decía 999 cajas.</t>
  </si>
  <si>
    <t>Sin unidades por caja</t>
  </si>
  <si>
    <t>El maestro no trae unidades por caja: no suma en unidades.</t>
  </si>
  <si>
    <t>Sobre capacidad</t>
  </si>
  <si>
    <t>Hay 6 estibas y caben 3.</t>
  </si>
  <si>
    <t>Sin contar ese día</t>
  </si>
  <si>
    <t>2 de 9 posiciones activas · Martes, 22 de septiembre de 2026 · 2 recorridos enviados · exportó Cristian</t>
  </si>
  <si>
    <t>Capacidad</t>
  </si>
  <si>
    <t>D01IZQ</t>
  </si>
  <si>
    <t>D</t>
  </si>
  <si>
    <t>D02DER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</si>
</sst>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dd/mm/yyyy hh:mm"/>
    <numFmt numFmtId="166" formatCode="dd/mm/yy hh:mm"/>
    <numFmt numFmtId="167" formatCode="dd/mm/yyyy"/>
  </numFmts>
  <fonts count="22" x14ac:knownFonts="1">
    <font>
      <color theme="1"/>
      <family val="2"/>
      <scheme val="minor"/>
      <sz val="11"/>
      <name val="Calibri"/>
    </font>
    <font>
      <b/>
      <color rgb="FF12263A"/>
      <sz val="20"/>
      <name val="Calibri"/>
    </font>
    <font>
      <color rgb="FF5B6B7F"/>
      <sz val="11"/>
      <name val="Calibri"/>
    </font>
    <font>
      <b/>
      <color rgb="FF5B6B7F"/>
      <sz val="9"/>
      <name val="Calibri"/>
    </font>
    <font>
      <b/>
      <color rgb="FFC8102E"/>
      <sz val="20"/>
      <name val="Calibri"/>
    </font>
    <font>
      <b/>
      <color rgb="FF12263A"/>
      <sz val="13"/>
      <name val="Calibri"/>
    </font>
    <font>
      <b/>
      <color rgb="FFFFFFFF"/>
      <sz val="10"/>
      <name val="Calibri"/>
    </font>
    <font>
      <b/>
      <color rgb="FF8C0C1E"/>
      <sz val="10"/>
      <name val="Calibri"/>
    </font>
    <font>
      <color rgb="FF12263A"/>
      <sz val="10"/>
      <name val="Calibri"/>
    </font>
    <font>
      <b/>
      <color rgb="FFB3181F"/>
      <sz val="10"/>
      <name val="Calibri"/>
    </font>
    <font>
      <b/>
      <color rgb="FFA4480C"/>
      <sz val="10"/>
      <name val="Calibri"/>
    </font>
    <font>
      <b/>
      <color rgb="FF7A5600"/>
      <sz val="10"/>
      <name val="Calibri"/>
    </font>
    <font>
      <b/>
      <color rgb="FF4E7A12"/>
      <sz val="10"/>
      <name val="Calibri"/>
    </font>
    <font>
      <b/>
      <color rgb="FF137A40"/>
      <sz val="10"/>
      <name val="Calibri"/>
    </font>
    <font>
      <b/>
      <color rgb="FF55606B"/>
      <sz val="10"/>
      <name val="Calibri"/>
    </font>
    <font>
      <b/>
      <color rgb="FFC8102E"/>
      <sz val="12"/>
      <name val="Calibri"/>
    </font>
    <font>
      <i/>
      <color rgb="FF5B6B7F"/>
      <sz val="9"/>
      <name val="Calibri"/>
    </font>
    <font>
      <b/>
      <color rgb="FF12263A"/>
      <sz val="10"/>
      <name val="Calibri"/>
    </font>
    <font>
      <b/>
      <color rgb="FFC8102E"/>
      <sz val="10"/>
      <name val="Calibri"/>
    </font>
    <font>
      <color rgb="FF12263A"/>
      <sz val="10"/>
    </font>
    <font>
      <b/>
      <color rgb="FF12263A"/>
      <name val="Calibri"/>
    </font>
    <font>
      <b/>
      <color rgb="FF12263A"/>
    </font>
  </fonts>
  <fills count="12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3F5F8"/>
      </patternFill>
    </fill>
    <fill>
      <patternFill patternType="solid">
        <fgColor rgb="FF12263A"/>
      </patternFill>
    </fill>
    <fill>
      <patternFill patternType="solid">
        <fgColor rgb="FFF9D5DB"/>
      </patternFill>
    </fill>
    <fill>
      <patternFill patternType="solid">
        <fgColor rgb="FFFDE0DD"/>
      </patternFill>
    </fill>
    <fill>
      <patternFill patternType="solid">
        <fgColor rgb="FFFFE6D1"/>
      </patternFill>
    </fill>
    <fill>
      <patternFill patternType="solid">
        <fgColor rgb="FFFFF3C4"/>
      </patternFill>
    </fill>
    <fill>
      <patternFill patternType="solid">
        <fgColor rgb="FFEAF4DA"/>
      </patternFill>
    </fill>
    <fill>
      <patternFill patternType="solid">
        <fgColor rgb="FFDCF2E4"/>
      </patternFill>
    </fill>
    <fill>
      <patternFill patternType="solid">
        <fgColor rgb="FFECEFF3"/>
      </patternFill>
    </fill>
  </fills>
  <borders count="4">
    <border>
      <left/>
      <right/>
      <top/>
      <bottom/>
      <diagonal/>
    </border>
    <border>
      <left style="thick">
        <color rgb="FFFFC000"/>
      </left>
      <right/>
      <top/>
      <bottom/>
      <diagonal/>
    </border>
    <border>
      <left style="thick">
        <color rgb="FFC8102E"/>
      </left>
      <right/>
      <top/>
      <bottom/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bottom" indent="1"/>
    </xf>
    <xf numFmtId="3" fontId="1" fillId="3" borderId="1" xfId="0" applyNumberFormat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vertical="bottom" indent="1"/>
    </xf>
    <xf numFmtId="49" fontId="1" fillId="3" borderId="1" xfId="0" applyNumberFormat="1" applyFont="1" applyFill="1" applyBorder="1" applyAlignment="1">
      <alignment horizontal="left" vertical="center" indent="1"/>
    </xf>
    <xf numFmtId="3" fontId="4" fillId="3" borderId="2" xfId="0" applyNumberFormat="1" applyFont="1" applyFill="1" applyBorder="1" applyAlignment="1">
      <alignment horizontal="left" vertical="center" indent="1"/>
    </xf>
    <xf numFmtId="0" fontId="5" fillId="0" borderId="0" xfId="0" applyFont="1"/>
    <xf numFmtId="0" fontId="6" fillId="4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49" fontId="9" fillId="6" borderId="3" xfId="0" applyNumberFormat="1" applyFont="1" applyFill="1" applyBorder="1"/>
    <xf numFmtId="49" fontId="10" fillId="7" borderId="3" xfId="0" applyNumberFormat="1" applyFont="1" applyFill="1" applyBorder="1"/>
    <xf numFmtId="49" fontId="11" fillId="8" borderId="3" xfId="0" applyNumberFormat="1" applyFont="1" applyFill="1" applyBorder="1"/>
    <xf numFmtId="49" fontId="12" fillId="9" borderId="3" xfId="0" applyNumberFormat="1" applyFont="1" applyFill="1" applyBorder="1"/>
    <xf numFmtId="49" fontId="13" fillId="10" borderId="3" xfId="0" applyNumberFormat="1" applyFont="1" applyFill="1" applyBorder="1"/>
    <xf numFmtId="49" fontId="14" fillId="11" borderId="3" xfId="0" applyNumberFormat="1" applyFont="1" applyFill="1" applyBorder="1"/>
    <xf numFmtId="0" fontId="8" fillId="0" borderId="3" xfId="0" applyFont="1" applyBorder="1"/>
    <xf numFmtId="165" fontId="8" fillId="0" borderId="3" xfId="0" applyNumberFormat="1" applyFont="1" applyBorder="1"/>
    <xf numFmtId="0" fontId="15" fillId="0" borderId="0" xfId="0" applyFont="1"/>
    <xf numFmtId="0" fontId="16" fillId="0" borderId="0" xfId="0" applyFont="1"/>
    <xf numFmtId="0" fontId="6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3" fontId="8" fillId="0" borderId="3" xfId="0" applyNumberFormat="1" applyFont="1" applyBorder="1" applyAlignment="1">
      <alignment vertical="center"/>
    </xf>
    <xf numFmtId="3" fontId="17" fillId="0" borderId="3" xfId="0" applyNumberFormat="1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1" fontId="8" fillId="0" borderId="3" xfId="0" applyNumberFormat="1" applyFont="1" applyBorder="1" applyAlignment="1">
      <alignment vertical="center"/>
    </xf>
    <xf numFmtId="1" fontId="18" fillId="0" borderId="3" xfId="0" applyNumberFormat="1" applyFont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166" fontId="8" fillId="3" borderId="3" xfId="0" applyNumberFormat="1" applyFont="1" applyFill="1" applyBorder="1" applyAlignment="1">
      <alignment vertical="center"/>
    </xf>
    <xf numFmtId="0" fontId="17" fillId="3" borderId="3" xfId="0" applyFont="1" applyFill="1" applyBorder="1" applyAlignment="1">
      <alignment vertical="center"/>
    </xf>
    <xf numFmtId="3" fontId="8" fillId="3" borderId="3" xfId="0" applyNumberFormat="1" applyFont="1" applyFill="1" applyBorder="1" applyAlignment="1">
      <alignment vertical="center"/>
    </xf>
    <xf numFmtId="3" fontId="17" fillId="3" borderId="3" xfId="0" applyNumberFormat="1" applyFont="1" applyFill="1" applyBorder="1" applyAlignment="1">
      <alignment vertical="center"/>
    </xf>
    <xf numFmtId="167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vertical="center"/>
    </xf>
    <xf numFmtId="0" fontId="12" fillId="9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3" fontId="19" fillId="0" borderId="3" xfId="0" applyNumberFormat="1" applyFont="1" applyBorder="1" applyAlignment="1">
      <alignment vertical="center"/>
    </xf>
    <xf numFmtId="167" fontId="19" fillId="0" borderId="3" xfId="0" applyNumberFormat="1" applyFont="1" applyBorder="1" applyAlignment="1">
      <alignment vertical="center"/>
    </xf>
    <xf numFmtId="1" fontId="19" fillId="0" borderId="3" xfId="0" applyNumberFormat="1" applyFont="1" applyBorder="1" applyAlignment="1">
      <alignment vertical="center"/>
    </xf>
    <xf numFmtId="0" fontId="14" fillId="11" borderId="3" xfId="0" applyFont="1" applyFill="1" applyBorder="1" applyAlignment="1">
      <alignment vertical="center"/>
    </xf>
    <xf numFmtId="167" fontId="19" fillId="3" borderId="3" xfId="0" applyNumberFormat="1" applyFont="1" applyFill="1" applyBorder="1" applyAlignment="1">
      <alignment vertical="center"/>
    </xf>
    <xf numFmtId="1" fontId="19" fillId="3" borderId="3" xfId="0" applyNumberFormat="1" applyFont="1" applyFill="1" applyBorder="1" applyAlignment="1">
      <alignment vertical="center"/>
    </xf>
    <xf numFmtId="0" fontId="13" fillId="10" borderId="3" xfId="0" applyFont="1" applyFill="1" applyBorder="1" applyAlignment="1">
      <alignment vertical="center"/>
    </xf>
    <xf numFmtId="0" fontId="20" fillId="2" borderId="3" xfId="0" applyFont="1" applyFill="1" applyBorder="1"/>
    <xf numFmtId="0" fontId="21" fillId="2" borderId="3" xfId="0" applyFont="1" applyFill="1" applyBorder="1"/>
    <xf numFmtId="3" fontId="20" fillId="2" borderId="3" xfId="0" applyNumberFormat="1" applyFont="1" applyFill="1" applyBorder="1"/>
    <xf numFmtId="3" fontId="19" fillId="3" borderId="3" xfId="0" applyNumberFormat="1" applyFont="1" applyFill="1" applyBorder="1" applyAlignment="1">
      <alignment vertical="center"/>
    </xf>
    <xf numFmtId="9" fontId="8" fillId="0" borderId="3" xfId="0" applyNumberFormat="1" applyFont="1" applyBorder="1" applyAlignment="1">
      <alignment vertical="center"/>
    </xf>
    <xf numFmtId="9" fontId="8" fillId="3" borderId="3" xfId="0" applyNumberFormat="1" applyFont="1" applyFill="1" applyBorder="1" applyAlignment="1">
      <alignment vertical="center"/>
    </xf>
    <xf numFmtId="9" fontId="9" fillId="6" borderId="3" xfId="0" applyNumberFormat="1" applyFont="1" applyFill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18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4500</xdr:colOff>
      <xdr:row>1</xdr:row>
      <xdr:rowOff>50999</xdr:rowOff>
    </xdr:from>
    <xdr:ext cx="14287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18000</xdr:colOff>
      <xdr:row>1</xdr:row>
      <xdr:rowOff>50999</xdr:rowOff>
    </xdr:from>
    <xdr:ext cx="14287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50999</xdr:rowOff>
    </xdr:from>
    <xdr:ext cx="14287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1</xdr:row>
      <xdr:rowOff>50999</xdr:rowOff>
    </xdr:from>
    <xdr:ext cx="14287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33000</xdr:colOff>
      <xdr:row>1</xdr:row>
      <xdr:rowOff>50999</xdr:rowOff>
    </xdr:from>
    <xdr:ext cx="14287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1</xdr:row>
      <xdr:rowOff>50999</xdr:rowOff>
    </xdr:from>
    <xdr:ext cx="142875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1:I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9" width="14" customWidth="1"/>
  </cols>
  <sheetData>
    <row r="1" ht="8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4" customHeight="1" spans="3:3" x14ac:dyDescent="0.25">
      <c r="C2" s="2" t="s">
        <v>0</v>
      </c>
    </row>
    <row r="3" ht="20" customHeight="1" spans="3:3" x14ac:dyDescent="0.25">
      <c r="C3" s="3" t="s">
        <v>1</v>
      </c>
    </row>
    <row r="4" ht="8" customHeight="1" x14ac:dyDescent="0.25"/>
    <row r="6" ht="18" customHeight="1" spans="2:9" x14ac:dyDescent="0.25">
      <c r="B6" s="4" t="s">
        <v>2</v>
      </c>
      <c r="C6" s="4"/>
      <c r="D6" s="4" t="s">
        <v>3</v>
      </c>
      <c r="E6" s="4"/>
      <c r="F6" s="4" t="s">
        <v>4</v>
      </c>
      <c r="G6" s="4"/>
      <c r="H6" s="4" t="s">
        <v>5</v>
      </c>
      <c r="I6" s="4"/>
    </row>
    <row r="7" ht="32" customHeight="1" spans="2:9" x14ac:dyDescent="0.25">
      <c r="B7" s="5">
        <v>1200</v>
      </c>
      <c r="C7" s="5"/>
      <c r="D7" s="5">
        <v>26400</v>
      </c>
      <c r="E7" s="5"/>
      <c r="F7" s="5">
        <v>18</v>
      </c>
      <c r="G7" s="5"/>
      <c r="H7" s="5">
        <v>8</v>
      </c>
      <c r="I7" s="5"/>
    </row>
    <row r="9" ht="18" customHeight="1" spans="2:9" x14ac:dyDescent="0.25">
      <c r="B9" s="4" t="s">
        <v>6</v>
      </c>
      <c r="C9" s="4"/>
      <c r="D9" s="4" t="s">
        <v>7</v>
      </c>
      <c r="E9" s="4"/>
      <c r="F9" s="4" t="s">
        <v>8</v>
      </c>
      <c r="G9" s="4"/>
      <c r="H9" s="6" t="s">
        <v>9</v>
      </c>
      <c r="I9" s="6"/>
    </row>
    <row r="10" ht="32" customHeight="1" spans="2:9" x14ac:dyDescent="0.25">
      <c r="B10" s="5">
        <v>7</v>
      </c>
      <c r="C10" s="5"/>
      <c r="D10" s="5">
        <v>4</v>
      </c>
      <c r="E10" s="5"/>
      <c r="F10" s="7" t="s">
        <v>10</v>
      </c>
      <c r="G10" s="7"/>
      <c r="H10" s="8">
        <v>4</v>
      </c>
      <c r="I10" s="8"/>
    </row>
    <row r="13" spans="2:2" x14ac:dyDescent="0.25">
      <c r="B13" s="9" t="s">
        <v>11</v>
      </c>
    </row>
    <row r="14" ht="24" customHeight="1" spans="2:7" x14ac:dyDescent="0.25">
      <c r="B14" s="10" t="s">
        <v>12</v>
      </c>
      <c r="C14" s="10" t="s">
        <v>13</v>
      </c>
      <c r="D14" s="10" t="s">
        <v>14</v>
      </c>
      <c r="E14" s="10" t="s">
        <v>15</v>
      </c>
      <c r="F14" s="10" t="s">
        <v>16</v>
      </c>
      <c r="G14" s="10" t="s">
        <v>17</v>
      </c>
    </row>
    <row r="15" spans="2:7" x14ac:dyDescent="0.25">
      <c r="B15" s="11" t="s">
        <v>18</v>
      </c>
      <c r="C15" s="12">
        <v>80</v>
      </c>
      <c r="D15" s="12">
        <v>2400</v>
      </c>
      <c r="E15" s="12">
        <v>1</v>
      </c>
      <c r="F15" s="12">
        <v>1</v>
      </c>
      <c r="G15" s="13">
        <v>0.06666666666666667</v>
      </c>
    </row>
    <row r="16" spans="2:7" x14ac:dyDescent="0.25">
      <c r="B16" s="14" t="s">
        <v>19</v>
      </c>
      <c r="C16" s="12">
        <v>0</v>
      </c>
      <c r="D16" s="12">
        <v>0</v>
      </c>
      <c r="E16" s="12">
        <v>0</v>
      </c>
      <c r="F16" s="12">
        <v>0</v>
      </c>
      <c r="G16" s="13">
        <v>0</v>
      </c>
    </row>
    <row r="17" spans="2:7" x14ac:dyDescent="0.25">
      <c r="B17" s="15" t="s">
        <v>20</v>
      </c>
      <c r="C17" s="12">
        <v>480</v>
      </c>
      <c r="D17" s="12">
        <v>14400</v>
      </c>
      <c r="E17" s="12">
        <v>1</v>
      </c>
      <c r="F17" s="12">
        <v>2</v>
      </c>
      <c r="G17" s="13">
        <v>0.4</v>
      </c>
    </row>
    <row r="18" spans="2:7" x14ac:dyDescent="0.25">
      <c r="B18" s="16" t="s">
        <v>21</v>
      </c>
      <c r="C18" s="12">
        <v>0</v>
      </c>
      <c r="D18" s="12">
        <v>0</v>
      </c>
      <c r="E18" s="12">
        <v>0</v>
      </c>
      <c r="F18" s="12">
        <v>0</v>
      </c>
      <c r="G18" s="13">
        <v>0</v>
      </c>
    </row>
    <row r="19" spans="2:7" x14ac:dyDescent="0.25">
      <c r="B19" s="17" t="s">
        <v>22</v>
      </c>
      <c r="C19" s="12">
        <v>320</v>
      </c>
      <c r="D19" s="12">
        <v>4800</v>
      </c>
      <c r="E19" s="12">
        <v>2</v>
      </c>
      <c r="F19" s="12">
        <v>2</v>
      </c>
      <c r="G19" s="13">
        <v>0.26666666666666666</v>
      </c>
    </row>
    <row r="20" spans="2:7" x14ac:dyDescent="0.25">
      <c r="B20" s="18" t="s">
        <v>23</v>
      </c>
      <c r="C20" s="12">
        <v>160</v>
      </c>
      <c r="D20" s="12">
        <v>4800</v>
      </c>
      <c r="E20" s="12">
        <v>1</v>
      </c>
      <c r="F20" s="12">
        <v>1</v>
      </c>
      <c r="G20" s="13">
        <v>0.13333333333333333</v>
      </c>
    </row>
    <row r="21" spans="2:7" x14ac:dyDescent="0.25">
      <c r="B21" s="19" t="s">
        <v>24</v>
      </c>
      <c r="C21" s="12">
        <v>160</v>
      </c>
      <c r="D21" s="12">
        <v>0</v>
      </c>
      <c r="E21" s="12">
        <v>1</v>
      </c>
      <c r="F21" s="12">
        <v>1</v>
      </c>
      <c r="G21" s="13">
        <v>0.13333333333333333</v>
      </c>
    </row>
    <row r="23" spans="2:2" x14ac:dyDescent="0.25">
      <c r="B23" s="9" t="s">
        <v>25</v>
      </c>
    </row>
    <row r="24" ht="24" customHeight="1" spans="2:7" x14ac:dyDescent="0.25">
      <c r="B24" s="10" t="s">
        <v>26</v>
      </c>
      <c r="C24" s="10" t="s">
        <v>27</v>
      </c>
      <c r="D24" s="10" t="s">
        <v>28</v>
      </c>
      <c r="E24" s="10" t="s">
        <v>29</v>
      </c>
      <c r="F24" s="10" t="s">
        <v>16</v>
      </c>
      <c r="G24" s="10" t="s">
        <v>13</v>
      </c>
    </row>
    <row r="25" spans="2:7" x14ac:dyDescent="0.25">
      <c r="B25" s="20" t="s">
        <v>30</v>
      </c>
      <c r="C25" s="20" t="s">
        <v>31</v>
      </c>
      <c r="D25" s="21">
        <v>46287.5</v>
      </c>
      <c r="E25" s="12">
        <v>2</v>
      </c>
      <c r="F25" s="12">
        <v>2</v>
      </c>
      <c r="G25" s="12">
        <v>320</v>
      </c>
    </row>
    <row r="26" spans="2:7" x14ac:dyDescent="0.25">
      <c r="B26" s="20" t="s">
        <v>32</v>
      </c>
      <c r="C26" s="20" t="s">
        <v>33</v>
      </c>
      <c r="D26" s="21">
        <v>46287.75</v>
      </c>
      <c r="E26" s="12">
        <v>6</v>
      </c>
      <c r="F26" s="12">
        <v>5</v>
      </c>
      <c r="G26" s="12">
        <v>900</v>
      </c>
    </row>
    <row r="28" spans="2:2" x14ac:dyDescent="0.25">
      <c r="B28" s="22" t="s">
        <v>34</v>
      </c>
    </row>
    <row r="29" spans="2:2" x14ac:dyDescent="0.25">
      <c r="B29" s="23" t="s">
        <v>35</v>
      </c>
    </row>
  </sheetData>
  <mergeCells count="16">
    <mergeCell ref="B6:C6"/>
    <mergeCell ref="D6:E6"/>
    <mergeCell ref="F6:G6"/>
    <mergeCell ref="H6:I6"/>
    <mergeCell ref="B7:C7"/>
    <mergeCell ref="D7:E7"/>
    <mergeCell ref="F7:G7"/>
    <mergeCell ref="H7:I7"/>
    <mergeCell ref="B9:C9"/>
    <mergeCell ref="D9:E9"/>
    <mergeCell ref="F9:G9"/>
    <mergeCell ref="H9:I9"/>
    <mergeCell ref="B10:C10"/>
    <mergeCell ref="D10:E10"/>
    <mergeCell ref="F10:G10"/>
    <mergeCell ref="H10:I10"/>
  </mergeCells>
  <pageMargins left="0.4" right="0.4" top="0.5" bottom="0.5" header="0.2" footer="0.2"/>
  <pageSetup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263A"/>
    <pageSetUpPr fitToPage="1"/>
  </sheetPr>
  <dimension ref="A1:Z15"/>
  <sheetViews>
    <sheetView workbookViewId="0" showGridLines="0">
      <pane xSplit="8" ySplit="6" topLeftCell="I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4" width="7" customWidth="1"/>
    <col min="5" max="5" width="8" customWidth="1"/>
    <col min="6" max="6" width="7" customWidth="1"/>
    <col min="7" max="7" width="13" customWidth="1"/>
    <col min="8" max="8" width="10" customWidth="1"/>
    <col min="9" max="9" width="34" customWidth="1"/>
    <col min="10" max="10" width="11" customWidth="1"/>
    <col min="11" max="11" width="14" customWidth="1"/>
    <col min="13" max="13" width="10" customWidth="1"/>
    <col min="14" max="14" width="8" customWidth="1"/>
    <col min="15" max="15" width="11" customWidth="1"/>
    <col min="16" max="18" width="12" customWidth="1"/>
    <col min="19" max="20" width="10" customWidth="1"/>
    <col min="21" max="21" width="18" customWidth="1"/>
    <col min="22" max="22" width="6" customWidth="1"/>
    <col min="23" max="23" width="7" customWidth="1"/>
    <col min="24" max="24" width="6" customWidth="1"/>
    <col min="25" max="25" width="14" customWidth="1"/>
    <col min="26" max="26" width="30" customWidth="1"/>
  </cols>
  <sheetData>
    <row r="1" ht="8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" customHeight="1" spans="3:3" x14ac:dyDescent="0.25">
      <c r="C2" s="2" t="s">
        <v>36</v>
      </c>
    </row>
    <row r="3" ht="20" customHeight="1" spans="3:3" x14ac:dyDescent="0.25">
      <c r="C3" s="3" t="s">
        <v>1</v>
      </c>
    </row>
    <row r="4" ht="8" customHeight="1" x14ac:dyDescent="0.25"/>
    <row r="6" ht="30" customHeight="1" spans="1:26" x14ac:dyDescent="0.25">
      <c r="A6" s="24" t="s">
        <v>26</v>
      </c>
      <c r="B6" s="24" t="s">
        <v>27</v>
      </c>
      <c r="C6" s="24" t="s">
        <v>37</v>
      </c>
      <c r="D6" s="24" t="s">
        <v>38</v>
      </c>
      <c r="E6" s="24" t="s">
        <v>39</v>
      </c>
      <c r="F6" s="24" t="s">
        <v>40</v>
      </c>
      <c r="G6" s="24" t="s">
        <v>41</v>
      </c>
      <c r="H6" s="24" t="s">
        <v>42</v>
      </c>
      <c r="I6" s="24" t="s">
        <v>43</v>
      </c>
      <c r="J6" s="24" t="s">
        <v>44</v>
      </c>
      <c r="K6" s="24" t="s">
        <v>45</v>
      </c>
      <c r="L6" s="24" t="s">
        <v>46</v>
      </c>
      <c r="M6" s="24" t="s">
        <v>47</v>
      </c>
      <c r="N6" s="24" t="s">
        <v>48</v>
      </c>
      <c r="O6" s="24" t="s">
        <v>49</v>
      </c>
      <c r="P6" s="24" t="s">
        <v>14</v>
      </c>
      <c r="Q6" s="24" t="s">
        <v>50</v>
      </c>
      <c r="R6" s="24" t="s">
        <v>51</v>
      </c>
      <c r="S6" s="24" t="s">
        <v>52</v>
      </c>
      <c r="T6" s="24" t="s">
        <v>53</v>
      </c>
      <c r="U6" s="24" t="s">
        <v>12</v>
      </c>
      <c r="V6" s="24" t="s">
        <v>54</v>
      </c>
      <c r="W6" s="24" t="s">
        <v>55</v>
      </c>
      <c r="X6" s="24" t="s">
        <v>56</v>
      </c>
      <c r="Y6" s="24" t="s">
        <v>57</v>
      </c>
      <c r="Z6" s="24" t="s">
        <v>58</v>
      </c>
    </row>
    <row r="7" ht="18" customHeight="1" spans="1:26" x14ac:dyDescent="0.25">
      <c r="A7" s="25" t="s">
        <v>32</v>
      </c>
      <c r="B7" s="25" t="s">
        <v>33</v>
      </c>
      <c r="C7" s="26">
        <v>46287.58333333333</v>
      </c>
      <c r="D7" s="25" t="s">
        <v>59</v>
      </c>
      <c r="E7" s="25" t="s">
        <v>60</v>
      </c>
      <c r="F7" s="25" t="s">
        <v>61</v>
      </c>
      <c r="G7" s="25" t="s">
        <v>62</v>
      </c>
      <c r="H7" s="27" t="s">
        <v>63</v>
      </c>
      <c r="I7" s="25" t="s">
        <v>64</v>
      </c>
      <c r="J7" s="25" t="s">
        <v>65</v>
      </c>
      <c r="K7" s="25" t="s">
        <v>66</v>
      </c>
      <c r="L7" s="28">
        <v>2</v>
      </c>
      <c r="M7" s="28">
        <v>0</v>
      </c>
      <c r="N7" s="28">
        <v>0</v>
      </c>
      <c r="O7" s="29">
        <v>80</v>
      </c>
      <c r="P7" s="28">
        <v>2400</v>
      </c>
      <c r="Q7" s="30">
        <v>46174.5</v>
      </c>
      <c r="R7" s="30">
        <v>46284.5</v>
      </c>
      <c r="S7" s="31">
        <v>-3</v>
      </c>
      <c r="T7" s="32">
        <v>-33</v>
      </c>
      <c r="U7" s="33" t="s">
        <v>18</v>
      </c>
      <c r="V7" s="25" t="s">
        <v>67</v>
      </c>
      <c r="W7" s="25" t="s">
        <v>67</v>
      </c>
      <c r="X7" s="25" t="s">
        <v>67</v>
      </c>
      <c r="Y7" s="25" t="s">
        <v>67</v>
      </c>
      <c r="Z7" s="25" t="s">
        <v>67</v>
      </c>
    </row>
    <row r="8" ht="18" customHeight="1" spans="1:26" x14ac:dyDescent="0.25">
      <c r="A8" s="34" t="s">
        <v>32</v>
      </c>
      <c r="B8" s="34" t="s">
        <v>33</v>
      </c>
      <c r="C8" s="35">
        <v>46287.58333333333</v>
      </c>
      <c r="D8" s="34" t="s">
        <v>59</v>
      </c>
      <c r="E8" s="34" t="s">
        <v>60</v>
      </c>
      <c r="F8" s="34" t="s">
        <v>68</v>
      </c>
      <c r="G8" s="34" t="s">
        <v>69</v>
      </c>
      <c r="H8" s="36" t="s">
        <v>63</v>
      </c>
      <c r="I8" s="34" t="s">
        <v>64</v>
      </c>
      <c r="J8" s="34" t="s">
        <v>65</v>
      </c>
      <c r="K8" s="34" t="s">
        <v>66</v>
      </c>
      <c r="L8" s="37">
        <v>2</v>
      </c>
      <c r="M8" s="37">
        <v>0</v>
      </c>
      <c r="N8" s="37">
        <v>0</v>
      </c>
      <c r="O8" s="38">
        <v>160</v>
      </c>
      <c r="P8" s="37">
        <v>4800</v>
      </c>
      <c r="Q8" s="39">
        <v>46174.5</v>
      </c>
      <c r="R8" s="39">
        <v>46347.5</v>
      </c>
      <c r="S8" s="40">
        <v>60</v>
      </c>
      <c r="T8" s="40">
        <v>30</v>
      </c>
      <c r="U8" s="41" t="s">
        <v>22</v>
      </c>
      <c r="V8" s="34" t="s">
        <v>67</v>
      </c>
      <c r="W8" s="34" t="s">
        <v>67</v>
      </c>
      <c r="X8" s="34" t="s">
        <v>67</v>
      </c>
      <c r="Y8" s="34" t="s">
        <v>67</v>
      </c>
      <c r="Z8" s="34" t="s">
        <v>67</v>
      </c>
    </row>
    <row r="9" ht="18" customHeight="1" spans="1:26" x14ac:dyDescent="0.25">
      <c r="A9" s="25" t="s">
        <v>32</v>
      </c>
      <c r="B9" s="25" t="s">
        <v>33</v>
      </c>
      <c r="C9" s="26">
        <v>46287.58333333333</v>
      </c>
      <c r="D9" s="25" t="s">
        <v>59</v>
      </c>
      <c r="E9" s="25" t="s">
        <v>70</v>
      </c>
      <c r="F9" s="25" t="s">
        <v>68</v>
      </c>
      <c r="G9" s="25" t="s">
        <v>71</v>
      </c>
      <c r="H9" s="27" t="s">
        <v>63</v>
      </c>
      <c r="I9" s="25" t="s">
        <v>64</v>
      </c>
      <c r="J9" s="25" t="s">
        <v>65</v>
      </c>
      <c r="K9" s="25" t="s">
        <v>66</v>
      </c>
      <c r="L9" s="28">
        <v>5</v>
      </c>
      <c r="M9" s="28">
        <v>0</v>
      </c>
      <c r="N9" s="28">
        <v>0</v>
      </c>
      <c r="O9" s="29">
        <v>400</v>
      </c>
      <c r="P9" s="28">
        <v>12000</v>
      </c>
      <c r="Q9" s="30">
        <v>46174.5</v>
      </c>
      <c r="R9" s="30">
        <v>46319.5</v>
      </c>
      <c r="S9" s="31">
        <v>32</v>
      </c>
      <c r="T9" s="31">
        <v>2</v>
      </c>
      <c r="U9" s="42" t="s">
        <v>20</v>
      </c>
      <c r="V9" s="25" t="s">
        <v>67</v>
      </c>
      <c r="W9" s="25" t="s">
        <v>67</v>
      </c>
      <c r="X9" s="25" t="s">
        <v>67</v>
      </c>
      <c r="Y9" s="25" t="s">
        <v>67</v>
      </c>
      <c r="Z9" s="25" t="s">
        <v>67</v>
      </c>
    </row>
    <row r="10" ht="18" customHeight="1" spans="1:26" x14ac:dyDescent="0.25">
      <c r="A10" s="34" t="s">
        <v>32</v>
      </c>
      <c r="B10" s="34" t="s">
        <v>33</v>
      </c>
      <c r="C10" s="35">
        <v>46287.58333333333</v>
      </c>
      <c r="D10" s="34" t="s">
        <v>59</v>
      </c>
      <c r="E10" s="34" t="s">
        <v>70</v>
      </c>
      <c r="F10" s="34" t="s">
        <v>68</v>
      </c>
      <c r="G10" s="34" t="s">
        <v>71</v>
      </c>
      <c r="H10" s="36" t="s">
        <v>63</v>
      </c>
      <c r="I10" s="34" t="s">
        <v>64</v>
      </c>
      <c r="J10" s="34" t="s">
        <v>65</v>
      </c>
      <c r="K10" s="34" t="s">
        <v>66</v>
      </c>
      <c r="L10" s="37">
        <v>1</v>
      </c>
      <c r="M10" s="37">
        <v>0</v>
      </c>
      <c r="N10" s="37">
        <v>0</v>
      </c>
      <c r="O10" s="38">
        <v>80</v>
      </c>
      <c r="P10" s="37">
        <v>2400</v>
      </c>
      <c r="Q10" s="39">
        <v>46174.5</v>
      </c>
      <c r="R10" s="39">
        <v>46319.5</v>
      </c>
      <c r="S10" s="40">
        <v>32</v>
      </c>
      <c r="T10" s="40">
        <v>2</v>
      </c>
      <c r="U10" s="42" t="s">
        <v>20</v>
      </c>
      <c r="V10" s="34" t="s">
        <v>67</v>
      </c>
      <c r="W10" s="34" t="s">
        <v>67</v>
      </c>
      <c r="X10" s="34" t="s">
        <v>67</v>
      </c>
      <c r="Y10" s="34" t="s">
        <v>67</v>
      </c>
      <c r="Z10" s="34" t="s">
        <v>67</v>
      </c>
    </row>
    <row r="11" ht="18" customHeight="1" spans="1:26" x14ac:dyDescent="0.25">
      <c r="A11" s="25" t="s">
        <v>32</v>
      </c>
      <c r="B11" s="25" t="s">
        <v>33</v>
      </c>
      <c r="C11" s="26">
        <v>46287.58333333333</v>
      </c>
      <c r="D11" s="25" t="s">
        <v>72</v>
      </c>
      <c r="E11" s="25" t="s">
        <v>60</v>
      </c>
      <c r="F11" s="25" t="s">
        <v>68</v>
      </c>
      <c r="G11" s="25" t="s">
        <v>73</v>
      </c>
      <c r="H11" s="27" t="s">
        <v>74</v>
      </c>
      <c r="I11" s="25" t="s">
        <v>75</v>
      </c>
      <c r="J11" s="25" t="s">
        <v>65</v>
      </c>
      <c r="K11" s="25" t="s">
        <v>66</v>
      </c>
      <c r="L11" s="28">
        <v>2</v>
      </c>
      <c r="M11" s="28">
        <v>0</v>
      </c>
      <c r="N11" s="28">
        <v>0</v>
      </c>
      <c r="O11" s="29">
        <v>160</v>
      </c>
      <c r="P11" s="43"/>
      <c r="Q11" s="30">
        <v>46174.5</v>
      </c>
      <c r="R11" s="44"/>
      <c r="S11" s="45"/>
      <c r="T11" s="45"/>
      <c r="U11" s="46" t="s">
        <v>24</v>
      </c>
      <c r="V11" s="25" t="s">
        <v>67</v>
      </c>
      <c r="W11" s="25" t="s">
        <v>67</v>
      </c>
      <c r="X11" s="25" t="s">
        <v>67</v>
      </c>
      <c r="Y11" s="25" t="s">
        <v>67</v>
      </c>
      <c r="Z11" s="25" t="s">
        <v>67</v>
      </c>
    </row>
    <row r="12" ht="18" customHeight="1" spans="1:26" x14ac:dyDescent="0.25">
      <c r="A12" s="34" t="s">
        <v>32</v>
      </c>
      <c r="B12" s="34" t="s">
        <v>33</v>
      </c>
      <c r="C12" s="35">
        <v>46287.58333333333</v>
      </c>
      <c r="D12" s="34" t="s">
        <v>76</v>
      </c>
      <c r="E12" s="34" t="s">
        <v>60</v>
      </c>
      <c r="F12" s="34" t="s">
        <v>68</v>
      </c>
      <c r="G12" s="34" t="s">
        <v>77</v>
      </c>
      <c r="H12" s="36" t="s">
        <v>78</v>
      </c>
      <c r="I12" s="34" t="s">
        <v>79</v>
      </c>
      <c r="J12" s="34" t="s">
        <v>80</v>
      </c>
      <c r="K12" s="34" t="s">
        <v>66</v>
      </c>
      <c r="L12" s="37">
        <v>2</v>
      </c>
      <c r="M12" s="37">
        <v>0</v>
      </c>
      <c r="N12" s="37">
        <v>0</v>
      </c>
      <c r="O12" s="38">
        <v>160</v>
      </c>
      <c r="P12" s="37">
        <v>4800</v>
      </c>
      <c r="Q12" s="39">
        <v>46174.5</v>
      </c>
      <c r="R12" s="47"/>
      <c r="S12" s="48"/>
      <c r="T12" s="48"/>
      <c r="U12" s="34" t="s">
        <v>24</v>
      </c>
      <c r="V12" s="34" t="s">
        <v>67</v>
      </c>
      <c r="W12" s="34" t="s">
        <v>81</v>
      </c>
      <c r="X12" s="34" t="s">
        <v>67</v>
      </c>
      <c r="Y12" s="34" t="s">
        <v>67</v>
      </c>
      <c r="Z12" s="34" t="s">
        <v>82</v>
      </c>
    </row>
    <row r="13" ht="18" customHeight="1" spans="1:26" x14ac:dyDescent="0.25">
      <c r="A13" s="25" t="s">
        <v>32</v>
      </c>
      <c r="B13" s="25" t="s">
        <v>33</v>
      </c>
      <c r="C13" s="26">
        <v>46287.58333333333</v>
      </c>
      <c r="D13" s="25" t="s">
        <v>76</v>
      </c>
      <c r="E13" s="25" t="s">
        <v>70</v>
      </c>
      <c r="F13" s="25" t="s">
        <v>68</v>
      </c>
      <c r="G13" s="25" t="s">
        <v>83</v>
      </c>
      <c r="H13" s="27" t="s">
        <v>84</v>
      </c>
      <c r="I13" s="25" t="s">
        <v>85</v>
      </c>
      <c r="J13" s="25" t="s">
        <v>65</v>
      </c>
      <c r="K13" s="25" t="s">
        <v>66</v>
      </c>
      <c r="L13" s="28">
        <v>2</v>
      </c>
      <c r="M13" s="28">
        <v>0</v>
      </c>
      <c r="N13" s="28">
        <v>0</v>
      </c>
      <c r="O13" s="29">
        <v>160</v>
      </c>
      <c r="P13" s="43"/>
      <c r="Q13" s="30">
        <v>46174.5</v>
      </c>
      <c r="R13" s="30">
        <v>46347.5</v>
      </c>
      <c r="S13" s="31">
        <v>60</v>
      </c>
      <c r="T13" s="31">
        <v>30</v>
      </c>
      <c r="U13" s="41" t="s">
        <v>22</v>
      </c>
      <c r="V13" s="25" t="s">
        <v>67</v>
      </c>
      <c r="W13" s="25" t="s">
        <v>67</v>
      </c>
      <c r="X13" s="25" t="s">
        <v>67</v>
      </c>
      <c r="Y13" s="25" t="s">
        <v>67</v>
      </c>
      <c r="Z13" s="25" t="s">
        <v>67</v>
      </c>
    </row>
    <row r="14" ht="18" customHeight="1" spans="1:26" x14ac:dyDescent="0.25">
      <c r="A14" s="34" t="s">
        <v>30</v>
      </c>
      <c r="B14" s="34" t="s">
        <v>33</v>
      </c>
      <c r="C14" s="35">
        <v>46287.58333333333</v>
      </c>
      <c r="D14" s="34" t="s">
        <v>86</v>
      </c>
      <c r="E14" s="34" t="s">
        <v>87</v>
      </c>
      <c r="F14" s="34" t="s">
        <v>61</v>
      </c>
      <c r="G14" s="34" t="s">
        <v>88</v>
      </c>
      <c r="H14" s="36" t="s">
        <v>89</v>
      </c>
      <c r="I14" s="34" t="s">
        <v>90</v>
      </c>
      <c r="J14" s="34" t="s">
        <v>65</v>
      </c>
      <c r="K14" s="34" t="s">
        <v>66</v>
      </c>
      <c r="L14" s="37">
        <v>2</v>
      </c>
      <c r="M14" s="37">
        <v>0</v>
      </c>
      <c r="N14" s="37">
        <v>0</v>
      </c>
      <c r="O14" s="38">
        <v>160</v>
      </c>
      <c r="P14" s="37">
        <v>4800</v>
      </c>
      <c r="Q14" s="39">
        <v>46174.5</v>
      </c>
      <c r="R14" s="39">
        <v>46377.5</v>
      </c>
      <c r="S14" s="40">
        <v>90</v>
      </c>
      <c r="T14" s="40">
        <v>60</v>
      </c>
      <c r="U14" s="49" t="s">
        <v>23</v>
      </c>
      <c r="V14" s="34" t="s">
        <v>67</v>
      </c>
      <c r="W14" s="34" t="s">
        <v>67</v>
      </c>
      <c r="X14" s="34" t="s">
        <v>67</v>
      </c>
      <c r="Y14" s="34" t="s">
        <v>67</v>
      </c>
      <c r="Z14" s="34" t="s">
        <v>67</v>
      </c>
    </row>
    <row r="15" ht="22" customHeight="1" spans="1:26" x14ac:dyDescent="0.25">
      <c r="A15" s="50" t="s">
        <v>91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2">
        <f>SUBTOTAL(109,L7:L14)</f>
        <v>18</v>
      </c>
      <c r="M15" s="52">
        <f>SUBTOTAL(109,M7:M14)</f>
        <v>0</v>
      </c>
      <c r="N15" s="52">
        <f>SUBTOTAL(109,N7:N14)</f>
        <v>0</v>
      </c>
      <c r="O15" s="52">
        <f>SUBTOTAL(109,O7:O14)</f>
        <v>1360</v>
      </c>
      <c r="P15" s="52">
        <f>SUBTOTAL(109,P7:P14)</f>
        <v>31200</v>
      </c>
      <c r="Q15" s="51"/>
      <c r="R15" s="51"/>
      <c r="S15" s="51"/>
      <c r="T15" s="51"/>
      <c r="U15" s="51"/>
      <c r="V15" s="51"/>
      <c r="W15" s="51"/>
      <c r="X15" s="51"/>
      <c r="Y15" s="51"/>
      <c r="Z15" s="51"/>
    </row>
  </sheetData>
  <autoFilter ref="A6:Z14"/>
  <pageMargins left="0.4" right="0.4" top="0.5" bottom="0.5" header="0.2" footer="0.2"/>
  <pageSetup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A45"/>
    <pageSetUpPr fitToPage="1"/>
  </sheetPr>
  <dimension ref="A1:L11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11" customWidth="1"/>
    <col min="4" max="4" width="14" customWidth="1"/>
    <col min="5" max="5" width="12" customWidth="1"/>
    <col min="6" max="6" width="10" customWidth="1"/>
    <col min="7" max="7" width="11" customWidth="1"/>
    <col min="8" max="8" width="12" customWidth="1"/>
    <col min="9" max="9" width="13" customWidth="1"/>
    <col min="10" max="10" width="11" customWidth="1"/>
    <col min="11" max="11" width="20" customWidth="1"/>
    <col min="12" max="12" width="14" customWidth="1"/>
  </cols>
  <sheetData>
    <row r="1" ht="8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3:3" x14ac:dyDescent="0.25">
      <c r="C2" s="2" t="s">
        <v>92</v>
      </c>
    </row>
    <row r="3" ht="20" customHeight="1" spans="3:3" x14ac:dyDescent="0.25">
      <c r="C3" s="3" t="s">
        <v>1</v>
      </c>
    </row>
    <row r="4" ht="8" customHeight="1" x14ac:dyDescent="0.25"/>
    <row r="6" ht="30" customHeight="1" spans="1:12" x14ac:dyDescent="0.25">
      <c r="A6" s="24" t="s">
        <v>42</v>
      </c>
      <c r="B6" s="24" t="s">
        <v>43</v>
      </c>
      <c r="C6" s="24" t="s">
        <v>44</v>
      </c>
      <c r="D6" s="24" t="s">
        <v>45</v>
      </c>
      <c r="E6" s="24" t="s">
        <v>16</v>
      </c>
      <c r="F6" s="24" t="s">
        <v>46</v>
      </c>
      <c r="G6" s="24" t="s">
        <v>13</v>
      </c>
      <c r="H6" s="24" t="s">
        <v>14</v>
      </c>
      <c r="I6" s="24" t="s">
        <v>93</v>
      </c>
      <c r="J6" s="24" t="s">
        <v>53</v>
      </c>
      <c r="K6" s="24" t="s">
        <v>12</v>
      </c>
      <c r="L6" s="24" t="s">
        <v>94</v>
      </c>
    </row>
    <row r="7" ht="18" customHeight="1" spans="1:12" x14ac:dyDescent="0.25">
      <c r="A7" s="27" t="s">
        <v>63</v>
      </c>
      <c r="B7" s="25" t="s">
        <v>64</v>
      </c>
      <c r="C7" s="25" t="s">
        <v>65</v>
      </c>
      <c r="D7" s="25" t="s">
        <v>66</v>
      </c>
      <c r="E7" s="28">
        <v>4</v>
      </c>
      <c r="F7" s="28">
        <v>10</v>
      </c>
      <c r="G7" s="28">
        <v>720</v>
      </c>
      <c r="H7" s="28">
        <v>21600</v>
      </c>
      <c r="I7" s="30">
        <v>46284.5</v>
      </c>
      <c r="J7" s="31">
        <v>-33</v>
      </c>
      <c r="K7" s="33" t="s">
        <v>18</v>
      </c>
      <c r="L7" s="28">
        <v>720</v>
      </c>
    </row>
    <row r="8" ht="18" customHeight="1" spans="1:12" x14ac:dyDescent="0.25">
      <c r="A8" s="36" t="s">
        <v>89</v>
      </c>
      <c r="B8" s="34" t="s">
        <v>90</v>
      </c>
      <c r="C8" s="34" t="s">
        <v>65</v>
      </c>
      <c r="D8" s="34" t="s">
        <v>66</v>
      </c>
      <c r="E8" s="37">
        <v>1</v>
      </c>
      <c r="F8" s="37">
        <v>2</v>
      </c>
      <c r="G8" s="37">
        <v>160</v>
      </c>
      <c r="H8" s="37">
        <v>4800</v>
      </c>
      <c r="I8" s="39">
        <v>46377.5</v>
      </c>
      <c r="J8" s="40">
        <v>60</v>
      </c>
      <c r="K8" s="49" t="s">
        <v>23</v>
      </c>
      <c r="L8" s="37">
        <v>0</v>
      </c>
    </row>
    <row r="9" ht="18" customHeight="1" spans="1:12" x14ac:dyDescent="0.25">
      <c r="A9" s="27" t="s">
        <v>74</v>
      </c>
      <c r="B9" s="25" t="s">
        <v>75</v>
      </c>
      <c r="C9" s="25" t="s">
        <v>65</v>
      </c>
      <c r="D9" s="25" t="s">
        <v>66</v>
      </c>
      <c r="E9" s="28">
        <v>1</v>
      </c>
      <c r="F9" s="28">
        <v>2</v>
      </c>
      <c r="G9" s="28">
        <v>160</v>
      </c>
      <c r="H9" s="43"/>
      <c r="I9" s="44"/>
      <c r="J9" s="45"/>
      <c r="K9" s="46" t="s">
        <v>24</v>
      </c>
      <c r="L9" s="28">
        <v>0</v>
      </c>
    </row>
    <row r="10" ht="18" customHeight="1" spans="1:12" x14ac:dyDescent="0.25">
      <c r="A10" s="36" t="s">
        <v>84</v>
      </c>
      <c r="B10" s="34" t="s">
        <v>85</v>
      </c>
      <c r="C10" s="34" t="s">
        <v>67</v>
      </c>
      <c r="D10" s="34" t="s">
        <v>66</v>
      </c>
      <c r="E10" s="37">
        <v>1</v>
      </c>
      <c r="F10" s="37">
        <v>2</v>
      </c>
      <c r="G10" s="37">
        <v>160</v>
      </c>
      <c r="H10" s="53"/>
      <c r="I10" s="39">
        <v>46347.5</v>
      </c>
      <c r="J10" s="40">
        <v>30</v>
      </c>
      <c r="K10" s="41" t="s">
        <v>22</v>
      </c>
      <c r="L10" s="37">
        <v>160</v>
      </c>
    </row>
    <row r="11" ht="22" customHeight="1" spans="1:12" x14ac:dyDescent="0.25">
      <c r="A11" s="50" t="s">
        <v>91</v>
      </c>
      <c r="B11" s="51"/>
      <c r="C11" s="51"/>
      <c r="D11" s="51"/>
      <c r="E11" s="52">
        <f>SUBTOTAL(109,E7:E10)</f>
        <v>7</v>
      </c>
      <c r="F11" s="52">
        <f>SUBTOTAL(109,F7:F10)</f>
        <v>16</v>
      </c>
      <c r="G11" s="52">
        <f>SUBTOTAL(109,G7:G10)</f>
        <v>1200</v>
      </c>
      <c r="H11" s="52">
        <f>SUBTOTAL(109,H7:H10)</f>
        <v>26400</v>
      </c>
      <c r="I11" s="51"/>
      <c r="J11" s="51"/>
      <c r="K11" s="51"/>
      <c r="L11" s="52">
        <f>SUBTOTAL(109,L7:L10)</f>
        <v>880</v>
      </c>
    </row>
  </sheetData>
  <autoFilter ref="A6:L10"/>
  <pageMargins left="0.4" right="0.4" top="0.5" bottom="0.5" header="0.2" footer="0.2"/>
  <pageSetup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DA4"/>
    <pageSetUpPr fitToPage="1"/>
  </sheetPr>
  <dimension ref="A1:J14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8" customWidth="1"/>
    <col min="5" max="5" width="12" customWidth="1"/>
    <col min="6" max="6" width="10" customWidth="1"/>
    <col min="7" max="10" width="11" customWidth="1"/>
  </cols>
  <sheetData>
    <row r="1" ht="8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4" customHeight="1" spans="3:3" x14ac:dyDescent="0.25">
      <c r="C2" s="2" t="s">
        <v>95</v>
      </c>
    </row>
    <row r="3" ht="20" customHeight="1" spans="3:3" x14ac:dyDescent="0.25">
      <c r="C3" s="3" t="s">
        <v>1</v>
      </c>
    </row>
    <row r="4" ht="8" customHeight="1" x14ac:dyDescent="0.25"/>
    <row r="6" ht="30" customHeight="1" spans="1:10" x14ac:dyDescent="0.25">
      <c r="A6" s="24" t="s">
        <v>41</v>
      </c>
      <c r="B6" s="24" t="s">
        <v>38</v>
      </c>
      <c r="C6" s="24" t="s">
        <v>39</v>
      </c>
      <c r="D6" s="24" t="s">
        <v>40</v>
      </c>
      <c r="E6" s="24" t="s">
        <v>96</v>
      </c>
      <c r="F6" s="24" t="s">
        <v>46</v>
      </c>
      <c r="G6" s="24" t="s">
        <v>97</v>
      </c>
      <c r="H6" s="24" t="s">
        <v>13</v>
      </c>
      <c r="I6" s="24" t="s">
        <v>15</v>
      </c>
      <c r="J6" s="24" t="s">
        <v>29</v>
      </c>
    </row>
    <row r="7" ht="18" customHeight="1" spans="1:10" x14ac:dyDescent="0.25">
      <c r="A7" s="27" t="s">
        <v>62</v>
      </c>
      <c r="B7" s="25" t="s">
        <v>59</v>
      </c>
      <c r="C7" s="25" t="s">
        <v>60</v>
      </c>
      <c r="D7" s="25" t="s">
        <v>61</v>
      </c>
      <c r="E7" s="28">
        <v>3</v>
      </c>
      <c r="F7" s="28">
        <v>2</v>
      </c>
      <c r="G7" s="54">
        <v>0.6666666666666666</v>
      </c>
      <c r="H7" s="28">
        <v>80</v>
      </c>
      <c r="I7" s="31">
        <v>1</v>
      </c>
      <c r="J7" s="31">
        <v>1</v>
      </c>
    </row>
    <row r="8" ht="18" customHeight="1" spans="1:10" x14ac:dyDescent="0.25">
      <c r="A8" s="36" t="s">
        <v>69</v>
      </c>
      <c r="B8" s="34" t="s">
        <v>59</v>
      </c>
      <c r="C8" s="34" t="s">
        <v>60</v>
      </c>
      <c r="D8" s="34" t="s">
        <v>68</v>
      </c>
      <c r="E8" s="37">
        <v>3</v>
      </c>
      <c r="F8" s="37">
        <v>2</v>
      </c>
      <c r="G8" s="55">
        <v>0.6666666666666666</v>
      </c>
      <c r="H8" s="37">
        <v>160</v>
      </c>
      <c r="I8" s="40">
        <v>1</v>
      </c>
      <c r="J8" s="40">
        <v>1</v>
      </c>
    </row>
    <row r="9" ht="18" customHeight="1" spans="1:10" x14ac:dyDescent="0.25">
      <c r="A9" s="27" t="s">
        <v>71</v>
      </c>
      <c r="B9" s="25" t="s">
        <v>59</v>
      </c>
      <c r="C9" s="25" t="s">
        <v>70</v>
      </c>
      <c r="D9" s="25" t="s">
        <v>68</v>
      </c>
      <c r="E9" s="28">
        <v>3</v>
      </c>
      <c r="F9" s="28">
        <v>6</v>
      </c>
      <c r="G9" s="56">
        <v>2</v>
      </c>
      <c r="H9" s="28">
        <v>480</v>
      </c>
      <c r="I9" s="31">
        <v>1</v>
      </c>
      <c r="J9" s="31">
        <v>2</v>
      </c>
    </row>
    <row r="10" ht="18" customHeight="1" spans="1:10" x14ac:dyDescent="0.25">
      <c r="A10" s="36" t="s">
        <v>73</v>
      </c>
      <c r="B10" s="34" t="s">
        <v>72</v>
      </c>
      <c r="C10" s="34" t="s">
        <v>60</v>
      </c>
      <c r="D10" s="34" t="s">
        <v>68</v>
      </c>
      <c r="E10" s="37">
        <v>3</v>
      </c>
      <c r="F10" s="37">
        <v>2</v>
      </c>
      <c r="G10" s="55">
        <v>0.6666666666666666</v>
      </c>
      <c r="H10" s="37">
        <v>160</v>
      </c>
      <c r="I10" s="40">
        <v>1</v>
      </c>
      <c r="J10" s="40">
        <v>1</v>
      </c>
    </row>
    <row r="11" ht="18" customHeight="1" spans="1:10" x14ac:dyDescent="0.25">
      <c r="A11" s="27" t="s">
        <v>77</v>
      </c>
      <c r="B11" s="25" t="s">
        <v>76</v>
      </c>
      <c r="C11" s="25" t="s">
        <v>60</v>
      </c>
      <c r="D11" s="25" t="s">
        <v>68</v>
      </c>
      <c r="E11" s="28">
        <v>3</v>
      </c>
      <c r="F11" s="28">
        <v>2</v>
      </c>
      <c r="G11" s="54">
        <v>0.6666666666666666</v>
      </c>
      <c r="H11" s="28">
        <v>160</v>
      </c>
      <c r="I11" s="31">
        <v>1</v>
      </c>
      <c r="J11" s="31">
        <v>1</v>
      </c>
    </row>
    <row r="12" ht="18" customHeight="1" spans="1:10" x14ac:dyDescent="0.25">
      <c r="A12" s="36" t="s">
        <v>83</v>
      </c>
      <c r="B12" s="34" t="s">
        <v>76</v>
      </c>
      <c r="C12" s="34" t="s">
        <v>70</v>
      </c>
      <c r="D12" s="34" t="s">
        <v>68</v>
      </c>
      <c r="E12" s="37">
        <v>3</v>
      </c>
      <c r="F12" s="37">
        <v>2</v>
      </c>
      <c r="G12" s="55">
        <v>0.6666666666666666</v>
      </c>
      <c r="H12" s="37">
        <v>160</v>
      </c>
      <c r="I12" s="40">
        <v>1</v>
      </c>
      <c r="J12" s="40">
        <v>1</v>
      </c>
    </row>
    <row r="13" ht="18" customHeight="1" spans="1:10" x14ac:dyDescent="0.25">
      <c r="A13" s="27" t="s">
        <v>88</v>
      </c>
      <c r="B13" s="25" t="s">
        <v>86</v>
      </c>
      <c r="C13" s="25" t="s">
        <v>87</v>
      </c>
      <c r="D13" s="25" t="s">
        <v>61</v>
      </c>
      <c r="E13" s="28">
        <v>3</v>
      </c>
      <c r="F13" s="28">
        <v>2</v>
      </c>
      <c r="G13" s="54">
        <v>0.6666666666666666</v>
      </c>
      <c r="H13" s="28">
        <v>160</v>
      </c>
      <c r="I13" s="31">
        <v>1</v>
      </c>
      <c r="J13" s="31">
        <v>1</v>
      </c>
    </row>
    <row r="14" ht="22" customHeight="1" spans="1:10" x14ac:dyDescent="0.25">
      <c r="A14" s="50" t="s">
        <v>91</v>
      </c>
      <c r="B14" s="51"/>
      <c r="C14" s="51"/>
      <c r="D14" s="51"/>
      <c r="E14" s="51"/>
      <c r="F14" s="52">
        <f>SUBTOTAL(109,F7:F13)</f>
        <v>18</v>
      </c>
      <c r="G14" s="51"/>
      <c r="H14" s="52">
        <f>SUBTOTAL(109,H7:H13)</f>
        <v>1360</v>
      </c>
      <c r="I14" s="51"/>
      <c r="J14" s="52">
        <f>SUBTOTAL(109,J7:J13)</f>
        <v>8</v>
      </c>
    </row>
  </sheetData>
  <autoFilter ref="A6:J13"/>
  <pageMargins left="0.4" right="0.4" top="0.5" bottom="0.5" header="0.2" footer="0.2"/>
  <pageSetup orientation="landscape" horizontalDpi="4294967295" verticalDpi="4294967295" scale="100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102E"/>
    <pageSetUpPr fitToPage="1"/>
  </sheetPr>
  <dimension ref="A1:H14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14" customWidth="1"/>
    <col min="4" max="4" width="10" customWidth="1"/>
    <col min="5" max="5" width="32" customWidth="1"/>
    <col min="6" max="6" width="60" customWidth="1"/>
    <col min="7" max="7" width="14" customWidth="1"/>
    <col min="8" max="8" width="12" customWidth="1"/>
  </cols>
  <sheetData>
    <row r="1" ht="8" customHeight="1" spans="1:8" x14ac:dyDescent="0.25">
      <c r="A1" s="1"/>
      <c r="B1" s="1"/>
      <c r="C1" s="1"/>
      <c r="D1" s="1"/>
      <c r="E1" s="1"/>
      <c r="F1" s="1"/>
      <c r="G1" s="1"/>
      <c r="H1" s="1"/>
    </row>
    <row r="2" ht="34" customHeight="1" spans="3:3" x14ac:dyDescent="0.25">
      <c r="C2" s="2" t="s">
        <v>98</v>
      </c>
    </row>
    <row r="3" ht="20" customHeight="1" spans="3:3" x14ac:dyDescent="0.25">
      <c r="C3" s="3" t="s">
        <v>99</v>
      </c>
    </row>
    <row r="4" ht="8" customHeight="1" x14ac:dyDescent="0.25"/>
    <row r="6" ht="30" customHeight="1" spans="1:8" x14ac:dyDescent="0.25">
      <c r="A6" s="24" t="s">
        <v>100</v>
      </c>
      <c r="B6" s="24" t="s">
        <v>101</v>
      </c>
      <c r="C6" s="24" t="s">
        <v>41</v>
      </c>
      <c r="D6" s="24" t="s">
        <v>42</v>
      </c>
      <c r="E6" s="24" t="s">
        <v>43</v>
      </c>
      <c r="F6" s="24" t="s">
        <v>102</v>
      </c>
      <c r="G6" s="24" t="s">
        <v>26</v>
      </c>
      <c r="H6" s="24" t="s">
        <v>103</v>
      </c>
    </row>
    <row r="7" ht="18" customHeight="1" spans="1:8" x14ac:dyDescent="0.25">
      <c r="A7" s="57" t="s">
        <v>104</v>
      </c>
      <c r="B7" s="57" t="s">
        <v>81</v>
      </c>
      <c r="C7" s="25" t="s">
        <v>83</v>
      </c>
      <c r="D7" s="25" t="s">
        <v>84</v>
      </c>
      <c r="E7" s="25" t="s">
        <v>85</v>
      </c>
      <c r="F7" s="58" t="s">
        <v>105</v>
      </c>
      <c r="G7" s="25" t="s">
        <v>32</v>
      </c>
      <c r="H7" s="25" t="s">
        <v>67</v>
      </c>
    </row>
    <row r="8" ht="18" customHeight="1" spans="1:8" x14ac:dyDescent="0.25">
      <c r="A8" s="59" t="s">
        <v>106</v>
      </c>
      <c r="B8" s="59" t="s">
        <v>81</v>
      </c>
      <c r="C8" s="34" t="s">
        <v>71</v>
      </c>
      <c r="D8" s="34" t="s">
        <v>63</v>
      </c>
      <c r="E8" s="34" t="s">
        <v>64</v>
      </c>
      <c r="F8" s="60" t="s">
        <v>107</v>
      </c>
      <c r="G8" s="34" t="s">
        <v>32</v>
      </c>
      <c r="H8" s="34" t="s">
        <v>67</v>
      </c>
    </row>
    <row r="9" ht="18" customHeight="1" spans="1:8" x14ac:dyDescent="0.25">
      <c r="A9" s="57" t="s">
        <v>24</v>
      </c>
      <c r="B9" s="57" t="s">
        <v>81</v>
      </c>
      <c r="C9" s="25" t="s">
        <v>73</v>
      </c>
      <c r="D9" s="25" t="s">
        <v>74</v>
      </c>
      <c r="E9" s="25" t="s">
        <v>75</v>
      </c>
      <c r="F9" s="58" t="s">
        <v>108</v>
      </c>
      <c r="G9" s="25" t="s">
        <v>32</v>
      </c>
      <c r="H9" s="25" t="s">
        <v>67</v>
      </c>
    </row>
    <row r="10" ht="18" customHeight="1" spans="1:8" x14ac:dyDescent="0.25">
      <c r="A10" s="59" t="s">
        <v>109</v>
      </c>
      <c r="B10" s="59" t="s">
        <v>81</v>
      </c>
      <c r="C10" s="34" t="s">
        <v>62</v>
      </c>
      <c r="D10" s="34" t="s">
        <v>63</v>
      </c>
      <c r="E10" s="34" t="s">
        <v>64</v>
      </c>
      <c r="F10" s="60" t="s">
        <v>110</v>
      </c>
      <c r="G10" s="34" t="s">
        <v>32</v>
      </c>
      <c r="H10" s="34" t="s">
        <v>67</v>
      </c>
    </row>
    <row r="11" ht="18" customHeight="1" spans="1:8" x14ac:dyDescent="0.25">
      <c r="A11" s="25" t="s">
        <v>55</v>
      </c>
      <c r="B11" s="25" t="s">
        <v>67</v>
      </c>
      <c r="C11" s="25" t="s">
        <v>77</v>
      </c>
      <c r="D11" s="25" t="s">
        <v>78</v>
      </c>
      <c r="E11" s="25" t="s">
        <v>79</v>
      </c>
      <c r="F11" s="58" t="s">
        <v>82</v>
      </c>
      <c r="G11" s="25" t="s">
        <v>32</v>
      </c>
      <c r="H11" s="25" t="s">
        <v>67</v>
      </c>
    </row>
    <row r="12" ht="32" customHeight="1" spans="1:8" x14ac:dyDescent="0.25">
      <c r="A12" s="34" t="s">
        <v>111</v>
      </c>
      <c r="B12" s="34" t="s">
        <v>67</v>
      </c>
      <c r="C12" s="34" t="s">
        <v>69</v>
      </c>
      <c r="D12" s="34" t="s">
        <v>63</v>
      </c>
      <c r="E12" s="34" t="s">
        <v>64</v>
      </c>
      <c r="F12" s="60" t="s">
        <v>112</v>
      </c>
      <c r="G12" s="34" t="s">
        <v>30</v>
      </c>
      <c r="H12" s="34" t="s">
        <v>67</v>
      </c>
    </row>
    <row r="13" ht="18" customHeight="1" spans="1:8" x14ac:dyDescent="0.25">
      <c r="A13" s="25" t="s">
        <v>113</v>
      </c>
      <c r="B13" s="25" t="s">
        <v>67</v>
      </c>
      <c r="C13" s="25" t="s">
        <v>73</v>
      </c>
      <c r="D13" s="25" t="s">
        <v>74</v>
      </c>
      <c r="E13" s="25" t="s">
        <v>75</v>
      </c>
      <c r="F13" s="58" t="s">
        <v>114</v>
      </c>
      <c r="G13" s="25" t="s">
        <v>32</v>
      </c>
      <c r="H13" s="25" t="s">
        <v>67</v>
      </c>
    </row>
    <row r="14" ht="18" customHeight="1" spans="1:8" x14ac:dyDescent="0.25">
      <c r="A14" s="34" t="s">
        <v>115</v>
      </c>
      <c r="B14" s="34" t="s">
        <v>67</v>
      </c>
      <c r="C14" s="34" t="s">
        <v>71</v>
      </c>
      <c r="D14" s="34" t="s">
        <v>67</v>
      </c>
      <c r="E14" s="34" t="s">
        <v>67</v>
      </c>
      <c r="F14" s="60" t="s">
        <v>116</v>
      </c>
      <c r="G14" s="34" t="s">
        <v>67</v>
      </c>
      <c r="H14" s="34" t="s">
        <v>67</v>
      </c>
    </row>
  </sheetData>
  <autoFilter ref="A6:H14"/>
  <dataValidations count="2">
    <dataValidation type="list" allowBlank="1" sqref="H10:H14">
      <formula1>"✓,Pendiente"</formula1>
    </dataValidation>
    <dataValidation type="list" allowBlank="1" sqref="H7:H14">
      <formula1>"✓,Pendiente"</formula1>
    </dataValidation>
  </dataValidations>
  <pageMargins left="0.4" right="0.4" top="0.5" bottom="0.5" header="0.2" footer="0.2"/>
  <pageSetup orientation="landscape" horizontalDpi="4294967295" verticalDpi="4294967295" scale="100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6B7F"/>
    <pageSetUpPr fitToPage="1"/>
  </sheetPr>
  <dimension ref="A1:F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8" customWidth="1"/>
    <col min="5" max="5" width="18" customWidth="1"/>
    <col min="6" max="6" width="12" customWidth="1"/>
  </cols>
  <sheetData>
    <row r="1" ht="8" customHeight="1" spans="1:6" x14ac:dyDescent="0.25">
      <c r="A1" s="1"/>
      <c r="B1" s="1"/>
      <c r="C1" s="1"/>
      <c r="D1" s="1"/>
      <c r="E1" s="1"/>
      <c r="F1" s="1"/>
    </row>
    <row r="2" ht="34" customHeight="1" spans="3:3" x14ac:dyDescent="0.25">
      <c r="C2" s="2" t="s">
        <v>117</v>
      </c>
    </row>
    <row r="3" ht="20" customHeight="1" spans="3:3" x14ac:dyDescent="0.25">
      <c r="C3" s="3" t="s">
        <v>118</v>
      </c>
    </row>
    <row r="4" ht="8" customHeight="1" x14ac:dyDescent="0.25"/>
    <row r="6" ht="30" customHeight="1" spans="1:6" x14ac:dyDescent="0.25">
      <c r="A6" s="24" t="s">
        <v>41</v>
      </c>
      <c r="B6" s="24" t="s">
        <v>38</v>
      </c>
      <c r="C6" s="24" t="s">
        <v>39</v>
      </c>
      <c r="D6" s="24" t="s">
        <v>40</v>
      </c>
      <c r="E6" s="24" t="s">
        <v>45</v>
      </c>
      <c r="F6" s="24" t="s">
        <v>119</v>
      </c>
    </row>
    <row r="7" ht="18" customHeight="1" spans="1:6" x14ac:dyDescent="0.25">
      <c r="A7" s="25" t="s">
        <v>120</v>
      </c>
      <c r="B7" s="25" t="s">
        <v>121</v>
      </c>
      <c r="C7" s="25" t="s">
        <v>60</v>
      </c>
      <c r="D7" s="25" t="s">
        <v>68</v>
      </c>
      <c r="E7" s="25" t="s">
        <v>67</v>
      </c>
      <c r="F7" s="28">
        <v>3</v>
      </c>
    </row>
    <row r="8" ht="18" customHeight="1" spans="1:6" x14ac:dyDescent="0.25">
      <c r="A8" s="34" t="s">
        <v>122</v>
      </c>
      <c r="B8" s="34" t="s">
        <v>121</v>
      </c>
      <c r="C8" s="34" t="s">
        <v>70</v>
      </c>
      <c r="D8" s="34" t="s">
        <v>61</v>
      </c>
      <c r="E8" s="34" t="s">
        <v>67</v>
      </c>
      <c r="F8" s="37">
        <v>3</v>
      </c>
    </row>
  </sheetData>
  <autoFilter ref="A6:F8"/>
  <pageMargins left="0.4" right="0.4" top="0.5" bottom="0.5" header="0.2" footer="0.2"/>
  <pageSetup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Base</vt:lpstr>
      <vt:lpstr>Por material</vt:lpstr>
      <vt:lpstr>Por ubicación</vt:lpstr>
      <vt:lpstr>Validar</vt:lpstr>
      <vt:lpstr>Sin contar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Inventario</dc:creator>
  <dc:title/>
  <dc:subject/>
  <dc:description/>
  <cp:keywords/>
  <cp:category/>
  <cp:lastModifiedBy>Unknown</cp:lastModifiedBy>
  <dcterms:created xsi:type="dcterms:W3CDTF">2026-09-22T16:35:36Z</dcterms:created>
  <dcterms:modified xsi:type="dcterms:W3CDTF">2026-09-22T16:35:36Z</dcterms:modified>
</cp:coreProperties>
</file>